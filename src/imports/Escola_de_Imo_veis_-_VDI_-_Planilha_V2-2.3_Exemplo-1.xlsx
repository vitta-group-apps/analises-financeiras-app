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d.docs.live.net/327ad9888c5ba254/Documents/Pessoal/EDI/Planilhas ^0 Bônus/"/>
    </mc:Choice>
  </mc:AlternateContent>
  <xr:revisionPtr revIDLastSave="52" documentId="13_ncr:1_{A2AEBD53-5692-4013-9EE5-7397F11E81C3}" xr6:coauthVersionLast="47" xr6:coauthVersionMax="47" xr10:uidLastSave="{23626037-AC69-40ED-A3BD-16FDF006554E}"/>
  <bookViews>
    <workbookView xWindow="-108" yWindow="-108" windowWidth="23256" windowHeight="12456" firstSheet="11" activeTab="11" xr2:uid="{00000000-000D-0000-FFFF-FFFF00000000}"/>
  </bookViews>
  <sheets>
    <sheet name="01-VP_VF" sheetId="1" r:id="rId1"/>
    <sheet name="02-VPL" sheetId="2" r:id="rId2"/>
    <sheet name="03-TIR" sheetId="3" r:id="rId3"/>
    <sheet name="03.1-TIRxVPL" sheetId="4" r:id="rId4"/>
    <sheet name="04-ROI" sheetId="5" r:id="rId5"/>
    <sheet name="05-Payback" sheetId="6" r:id="rId6"/>
    <sheet name="06-CAPYield" sheetId="7" r:id="rId7"/>
    <sheet name="08-SAC" sheetId="8" r:id="rId8"/>
    <sheet name="09-PRICE" sheetId="9" r:id="rId9"/>
    <sheet name="10-Pesquisa Compra" sheetId="10" r:id="rId10"/>
    <sheet name="10.1-Pesquisa Locação" sheetId="11" r:id="rId11"/>
    <sheet name="11-Viabilidade" sheetId="12" r:id="rId12"/>
    <sheet name="11.1 - Auxiliar Viabilidade" sheetId="13" r:id="rId13"/>
    <sheet name="12-SAC Viabilidade" sheetId="14" r:id="rId14"/>
    <sheet name="13-Orçamento Obra" sheetId="15" r:id="rId15"/>
    <sheet name="14-Fluxo Financeiro Mensal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0" roundtripDataSignature="AMtx7mjwl2oMYEtcXY1+pNaLNSKGltZzww=="/>
    </ext>
  </extLst>
</workbook>
</file>

<file path=xl/calcChain.xml><?xml version="1.0" encoding="utf-8"?>
<calcChain xmlns="http://schemas.openxmlformats.org/spreadsheetml/2006/main">
  <c r="K29" i="12" l="1"/>
  <c r="K28" i="12"/>
  <c r="K30" i="12" s="1"/>
  <c r="L23" i="12"/>
  <c r="F13" i="16" l="1"/>
  <c r="F18" i="16" s="1"/>
  <c r="F12" i="16"/>
  <c r="E12" i="16"/>
  <c r="E13" i="16" s="1"/>
  <c r="B17" i="16"/>
  <c r="F24" i="16"/>
  <c r="E24" i="16"/>
  <c r="F23" i="16"/>
  <c r="E23" i="16"/>
  <c r="A11" i="14"/>
  <c r="B11" i="14" s="1"/>
  <c r="G8" i="14"/>
  <c r="I8" i="14" s="1"/>
  <c r="G6" i="14"/>
  <c r="E6" i="14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C52" i="12"/>
  <c r="D52" i="12" s="1"/>
  <c r="E52" i="12" s="1"/>
  <c r="F52" i="12" s="1"/>
  <c r="G52" i="12" s="1"/>
  <c r="H52" i="12" s="1"/>
  <c r="I52" i="12" s="1"/>
  <c r="J52" i="12" s="1"/>
  <c r="K52" i="12" s="1"/>
  <c r="L52" i="12" s="1"/>
  <c r="M52" i="12" s="1"/>
  <c r="N52" i="12" s="1"/>
  <c r="O52" i="12" s="1"/>
  <c r="P52" i="12" s="1"/>
  <c r="Q52" i="12" s="1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C34" i="12"/>
  <c r="D34" i="12" s="1"/>
  <c r="E34" i="12" s="1"/>
  <c r="F34" i="12" s="1"/>
  <c r="G34" i="12" s="1"/>
  <c r="H34" i="12" s="1"/>
  <c r="I34" i="12" s="1"/>
  <c r="J34" i="12" s="1"/>
  <c r="K34" i="12" s="1"/>
  <c r="L34" i="12" s="1"/>
  <c r="M34" i="12" s="1"/>
  <c r="N34" i="12" s="1"/>
  <c r="O34" i="12" s="1"/>
  <c r="P34" i="12" s="1"/>
  <c r="Q34" i="12" s="1"/>
  <c r="G22" i="12"/>
  <c r="D21" i="12"/>
  <c r="D20" i="12"/>
  <c r="D19" i="12"/>
  <c r="C15" i="12"/>
  <c r="G13" i="12" s="1"/>
  <c r="G16" i="12" s="1"/>
  <c r="P14" i="12"/>
  <c r="A8" i="13" s="1"/>
  <c r="B8" i="13" s="1"/>
  <c r="C14" i="12"/>
  <c r="C8" i="14" s="1"/>
  <c r="F11" i="14" s="1"/>
  <c r="L12" i="12"/>
  <c r="H12" i="12"/>
  <c r="L11" i="12"/>
  <c r="P10" i="12"/>
  <c r="AV41" i="11"/>
  <c r="AU41" i="11"/>
  <c r="AT41" i="11"/>
  <c r="AS41" i="11"/>
  <c r="AR41" i="11"/>
  <c r="AP41" i="11"/>
  <c r="AN41" i="11"/>
  <c r="AV40" i="11"/>
  <c r="AU40" i="11"/>
  <c r="AT40" i="11"/>
  <c r="AS40" i="11"/>
  <c r="AR40" i="11"/>
  <c r="AP40" i="11"/>
  <c r="AN40" i="11"/>
  <c r="AV39" i="11"/>
  <c r="AU39" i="11"/>
  <c r="AT39" i="11"/>
  <c r="AS39" i="11"/>
  <c r="AR39" i="11"/>
  <c r="AP39" i="11"/>
  <c r="AN39" i="11"/>
  <c r="AV38" i="11"/>
  <c r="AU38" i="11"/>
  <c r="AT38" i="11"/>
  <c r="AS38" i="11"/>
  <c r="AR38" i="11"/>
  <c r="AP38" i="11"/>
  <c r="AN38" i="11"/>
  <c r="AV37" i="11"/>
  <c r="AU37" i="11"/>
  <c r="AT37" i="11"/>
  <c r="AS37" i="11"/>
  <c r="AR37" i="11"/>
  <c r="AP37" i="11"/>
  <c r="AN37" i="11"/>
  <c r="AV36" i="11"/>
  <c r="AU36" i="11"/>
  <c r="AT36" i="11"/>
  <c r="AS36" i="11"/>
  <c r="AR36" i="11"/>
  <c r="AP36" i="11"/>
  <c r="AN36" i="11"/>
  <c r="AV35" i="11"/>
  <c r="AU35" i="11"/>
  <c r="AT35" i="11"/>
  <c r="AS35" i="11"/>
  <c r="AR35" i="11"/>
  <c r="AP35" i="11"/>
  <c r="AN35" i="11"/>
  <c r="AV34" i="11"/>
  <c r="AU34" i="11"/>
  <c r="AT34" i="11"/>
  <c r="AS34" i="11"/>
  <c r="AR34" i="11"/>
  <c r="AP34" i="11"/>
  <c r="AN34" i="11"/>
  <c r="AV33" i="11"/>
  <c r="AU33" i="11"/>
  <c r="AT33" i="11"/>
  <c r="AS33" i="11"/>
  <c r="AR33" i="11"/>
  <c r="AP33" i="11"/>
  <c r="AN33" i="11"/>
  <c r="AV32" i="11"/>
  <c r="AU32" i="11"/>
  <c r="AT32" i="11"/>
  <c r="AS32" i="11"/>
  <c r="AR32" i="11"/>
  <c r="AP32" i="11"/>
  <c r="AN32" i="11"/>
  <c r="AV31" i="11"/>
  <c r="AU31" i="11"/>
  <c r="AT31" i="11"/>
  <c r="AS31" i="11"/>
  <c r="AR31" i="11"/>
  <c r="AP31" i="11"/>
  <c r="AN31" i="11"/>
  <c r="AV30" i="11"/>
  <c r="AU30" i="11"/>
  <c r="AT30" i="11"/>
  <c r="AS30" i="11"/>
  <c r="AR30" i="11"/>
  <c r="AP30" i="11"/>
  <c r="AN30" i="11"/>
  <c r="AV29" i="11"/>
  <c r="AU29" i="11"/>
  <c r="AT29" i="11"/>
  <c r="AS29" i="11"/>
  <c r="AR29" i="11"/>
  <c r="AP29" i="11"/>
  <c r="AN29" i="11"/>
  <c r="AV28" i="11"/>
  <c r="AU28" i="11"/>
  <c r="AT28" i="11"/>
  <c r="AS28" i="11"/>
  <c r="AR28" i="11"/>
  <c r="AP28" i="11"/>
  <c r="AN28" i="11"/>
  <c r="AV27" i="11"/>
  <c r="AU27" i="11"/>
  <c r="AT27" i="11"/>
  <c r="AS27" i="11"/>
  <c r="AR27" i="11"/>
  <c r="AP27" i="11"/>
  <c r="AN27" i="11"/>
  <c r="AV26" i="11"/>
  <c r="AU26" i="11"/>
  <c r="AT26" i="11"/>
  <c r="AS26" i="11"/>
  <c r="AR26" i="11"/>
  <c r="AP26" i="11"/>
  <c r="AN26" i="11"/>
  <c r="AV25" i="11"/>
  <c r="AU25" i="11"/>
  <c r="AT25" i="11"/>
  <c r="AS25" i="11"/>
  <c r="AR25" i="11"/>
  <c r="AP25" i="11"/>
  <c r="AN25" i="11"/>
  <c r="AV24" i="11"/>
  <c r="AU24" i="11"/>
  <c r="AT24" i="11"/>
  <c r="AS24" i="11"/>
  <c r="AR24" i="11"/>
  <c r="AP24" i="11"/>
  <c r="AN24" i="11"/>
  <c r="AV23" i="11"/>
  <c r="AU23" i="11"/>
  <c r="AT23" i="11"/>
  <c r="AS23" i="11"/>
  <c r="AR23" i="11"/>
  <c r="AP23" i="11"/>
  <c r="AN23" i="11"/>
  <c r="AV22" i="11"/>
  <c r="AU22" i="11"/>
  <c r="AT22" i="11"/>
  <c r="AS22" i="11"/>
  <c r="AR22" i="11"/>
  <c r="AP22" i="11"/>
  <c r="AN22" i="11"/>
  <c r="AV21" i="11"/>
  <c r="AU21" i="11"/>
  <c r="AT21" i="11"/>
  <c r="AS21" i="11"/>
  <c r="AR21" i="11"/>
  <c r="AP21" i="11"/>
  <c r="AN21" i="11"/>
  <c r="AV20" i="11"/>
  <c r="AU20" i="11"/>
  <c r="AT20" i="11"/>
  <c r="AS20" i="11"/>
  <c r="AR20" i="11"/>
  <c r="AP20" i="11"/>
  <c r="AN20" i="11"/>
  <c r="AV19" i="11"/>
  <c r="AU19" i="11"/>
  <c r="AT19" i="11"/>
  <c r="AS19" i="11"/>
  <c r="AR19" i="11"/>
  <c r="AP19" i="11"/>
  <c r="AN19" i="11"/>
  <c r="AV18" i="11"/>
  <c r="AU18" i="11"/>
  <c r="AT18" i="11"/>
  <c r="AS18" i="11"/>
  <c r="AR18" i="11"/>
  <c r="AP18" i="11"/>
  <c r="AN18" i="11"/>
  <c r="AV17" i="11"/>
  <c r="AU17" i="11"/>
  <c r="AT17" i="11"/>
  <c r="AS17" i="11"/>
  <c r="AR17" i="11"/>
  <c r="AP17" i="11"/>
  <c r="AN17" i="11"/>
  <c r="AV16" i="11"/>
  <c r="AU16" i="11"/>
  <c r="AT16" i="11"/>
  <c r="AS16" i="11"/>
  <c r="C8" i="11" s="1"/>
  <c r="AR16" i="11"/>
  <c r="AP16" i="11"/>
  <c r="AN16" i="11"/>
  <c r="AV15" i="11"/>
  <c r="AU15" i="11"/>
  <c r="AT15" i="11"/>
  <c r="AS15" i="11"/>
  <c r="AR15" i="11"/>
  <c r="AP15" i="11"/>
  <c r="AN15" i="11"/>
  <c r="AV14" i="11"/>
  <c r="AU14" i="11"/>
  <c r="AT14" i="11"/>
  <c r="AS14" i="11"/>
  <c r="AR14" i="11"/>
  <c r="AP14" i="11"/>
  <c r="AN14" i="11"/>
  <c r="AV13" i="11"/>
  <c r="AU13" i="11"/>
  <c r="AT13" i="11"/>
  <c r="AS13" i="11"/>
  <c r="AR13" i="11"/>
  <c r="AP13" i="11"/>
  <c r="AN13" i="11"/>
  <c r="AU12" i="11"/>
  <c r="AV12" i="11" s="1"/>
  <c r="AS12" i="11"/>
  <c r="AT12" i="11" s="1"/>
  <c r="AR12" i="11"/>
  <c r="AP12" i="11"/>
  <c r="AN12" i="11"/>
  <c r="T9" i="11"/>
  <c r="AV41" i="10"/>
  <c r="AU41" i="10"/>
  <c r="AT41" i="10"/>
  <c r="AS41" i="10"/>
  <c r="AR41" i="10"/>
  <c r="AQ41" i="10"/>
  <c r="AN41" i="10"/>
  <c r="AV40" i="10"/>
  <c r="AU40" i="10"/>
  <c r="AT40" i="10"/>
  <c r="AS40" i="10"/>
  <c r="AR40" i="10"/>
  <c r="AQ40" i="10"/>
  <c r="AN40" i="10"/>
  <c r="AV39" i="10"/>
  <c r="AU39" i="10"/>
  <c r="AT39" i="10"/>
  <c r="AS39" i="10"/>
  <c r="AR39" i="10"/>
  <c r="AQ39" i="10"/>
  <c r="AN39" i="10"/>
  <c r="AV38" i="10"/>
  <c r="AU38" i="10"/>
  <c r="AT38" i="10"/>
  <c r="AS38" i="10"/>
  <c r="AR38" i="10"/>
  <c r="AQ38" i="10"/>
  <c r="AN38" i="10"/>
  <c r="AV37" i="10"/>
  <c r="AU37" i="10"/>
  <c r="AT37" i="10"/>
  <c r="AS37" i="10"/>
  <c r="AR37" i="10"/>
  <c r="AQ37" i="10"/>
  <c r="AN37" i="10"/>
  <c r="AV36" i="10"/>
  <c r="AU36" i="10"/>
  <c r="AT36" i="10"/>
  <c r="AS36" i="10"/>
  <c r="AR36" i="10"/>
  <c r="AQ36" i="10"/>
  <c r="AN36" i="10"/>
  <c r="AV35" i="10"/>
  <c r="AU35" i="10"/>
  <c r="AT35" i="10"/>
  <c r="AS35" i="10"/>
  <c r="AR35" i="10"/>
  <c r="AQ35" i="10"/>
  <c r="AN35" i="10"/>
  <c r="AV34" i="10"/>
  <c r="AU34" i="10"/>
  <c r="AT34" i="10"/>
  <c r="AS34" i="10"/>
  <c r="AR34" i="10"/>
  <c r="AQ34" i="10"/>
  <c r="AN34" i="10"/>
  <c r="AV33" i="10"/>
  <c r="AU33" i="10"/>
  <c r="AT33" i="10"/>
  <c r="AS33" i="10"/>
  <c r="AR33" i="10"/>
  <c r="AQ33" i="10"/>
  <c r="AN33" i="10"/>
  <c r="AV32" i="10"/>
  <c r="AU32" i="10"/>
  <c r="AT32" i="10"/>
  <c r="AS32" i="10"/>
  <c r="AR32" i="10"/>
  <c r="AQ32" i="10"/>
  <c r="AN32" i="10"/>
  <c r="AV31" i="10"/>
  <c r="AU31" i="10"/>
  <c r="AT31" i="10"/>
  <c r="AS31" i="10"/>
  <c r="AR31" i="10"/>
  <c r="AQ31" i="10"/>
  <c r="AN31" i="10"/>
  <c r="AV30" i="10"/>
  <c r="AU30" i="10"/>
  <c r="AT30" i="10"/>
  <c r="AS30" i="10"/>
  <c r="AR30" i="10"/>
  <c r="AQ30" i="10"/>
  <c r="AN30" i="10"/>
  <c r="AV29" i="10"/>
  <c r="AU29" i="10"/>
  <c r="AT29" i="10"/>
  <c r="AS29" i="10"/>
  <c r="AR29" i="10"/>
  <c r="AQ29" i="10"/>
  <c r="AN29" i="10"/>
  <c r="AV28" i="10"/>
  <c r="AU28" i="10"/>
  <c r="AT28" i="10"/>
  <c r="AS28" i="10"/>
  <c r="AR28" i="10"/>
  <c r="AQ28" i="10"/>
  <c r="AN28" i="10"/>
  <c r="AV27" i="10"/>
  <c r="AU27" i="10"/>
  <c r="AT27" i="10"/>
  <c r="AS27" i="10"/>
  <c r="AR27" i="10"/>
  <c r="AQ27" i="10"/>
  <c r="AN27" i="10"/>
  <c r="AV26" i="10"/>
  <c r="AU26" i="10"/>
  <c r="AT26" i="10"/>
  <c r="AS26" i="10"/>
  <c r="AR26" i="10"/>
  <c r="AQ26" i="10"/>
  <c r="AN26" i="10"/>
  <c r="AV25" i="10"/>
  <c r="AU25" i="10"/>
  <c r="AT25" i="10"/>
  <c r="AS25" i="10"/>
  <c r="AR25" i="10"/>
  <c r="AQ25" i="10"/>
  <c r="AN25" i="10"/>
  <c r="AV24" i="10"/>
  <c r="AU24" i="10"/>
  <c r="AT24" i="10"/>
  <c r="AS24" i="10"/>
  <c r="AR24" i="10"/>
  <c r="AQ24" i="10"/>
  <c r="AN24" i="10"/>
  <c r="AV23" i="10"/>
  <c r="AU23" i="10"/>
  <c r="AT23" i="10"/>
  <c r="AS23" i="10"/>
  <c r="AR23" i="10"/>
  <c r="AQ23" i="10"/>
  <c r="AN23" i="10"/>
  <c r="AV22" i="10"/>
  <c r="AU22" i="10"/>
  <c r="AT22" i="10"/>
  <c r="AS22" i="10"/>
  <c r="AR22" i="10"/>
  <c r="AQ22" i="10"/>
  <c r="AN22" i="10"/>
  <c r="AV21" i="10"/>
  <c r="AU21" i="10"/>
  <c r="AT21" i="10"/>
  <c r="AS21" i="10"/>
  <c r="AR21" i="10"/>
  <c r="AQ21" i="10"/>
  <c r="AN21" i="10"/>
  <c r="AV20" i="10"/>
  <c r="AU20" i="10"/>
  <c r="AT20" i="10"/>
  <c r="AS20" i="10"/>
  <c r="AR20" i="10"/>
  <c r="AQ20" i="10"/>
  <c r="AN20" i="10"/>
  <c r="AV19" i="10"/>
  <c r="AU19" i="10"/>
  <c r="AT19" i="10"/>
  <c r="AS19" i="10"/>
  <c r="AR19" i="10"/>
  <c r="AQ19" i="10"/>
  <c r="AN19" i="10"/>
  <c r="AV18" i="10"/>
  <c r="AU18" i="10"/>
  <c r="AT18" i="10"/>
  <c r="AS18" i="10"/>
  <c r="AR18" i="10"/>
  <c r="AQ18" i="10"/>
  <c r="AN18" i="10"/>
  <c r="AV17" i="10"/>
  <c r="AU17" i="10"/>
  <c r="AT17" i="10"/>
  <c r="AS17" i="10"/>
  <c r="AR17" i="10"/>
  <c r="AQ17" i="10"/>
  <c r="AN17" i="10"/>
  <c r="AV16" i="10"/>
  <c r="AU16" i="10"/>
  <c r="AT16" i="10"/>
  <c r="AS16" i="10"/>
  <c r="AR16" i="10"/>
  <c r="AQ16" i="10"/>
  <c r="AN16" i="10"/>
  <c r="AV15" i="10"/>
  <c r="AU15" i="10"/>
  <c r="AT15" i="10"/>
  <c r="AS15" i="10"/>
  <c r="AR15" i="10"/>
  <c r="AQ15" i="10"/>
  <c r="AN15" i="10"/>
  <c r="AV14" i="10"/>
  <c r="AU14" i="10"/>
  <c r="AT14" i="10"/>
  <c r="AS14" i="10"/>
  <c r="AR14" i="10"/>
  <c r="AQ14" i="10"/>
  <c r="AN14" i="10"/>
  <c r="AS13" i="10"/>
  <c r="AT13" i="10" s="1"/>
  <c r="AU13" i="10" s="1"/>
  <c r="AR13" i="10"/>
  <c r="AQ13" i="10"/>
  <c r="AV13" i="10" s="1"/>
  <c r="AN13" i="10"/>
  <c r="AT12" i="10"/>
  <c r="E8" i="10" s="1"/>
  <c r="AS12" i="10"/>
  <c r="AV12" i="10" s="1"/>
  <c r="C8" i="10" s="1"/>
  <c r="AR12" i="10"/>
  <c r="AQ12" i="10"/>
  <c r="AN12" i="10"/>
  <c r="T9" i="10"/>
  <c r="A11" i="9"/>
  <c r="B11" i="9" s="1"/>
  <c r="I8" i="9"/>
  <c r="C8" i="9"/>
  <c r="A11" i="8"/>
  <c r="B11" i="8" s="1"/>
  <c r="I8" i="8"/>
  <c r="C8" i="8"/>
  <c r="F11" i="8" s="1"/>
  <c r="M34" i="7"/>
  <c r="L34" i="7"/>
  <c r="K34" i="7"/>
  <c r="J34" i="7"/>
  <c r="I34" i="7"/>
  <c r="H34" i="7"/>
  <c r="G34" i="7"/>
  <c r="M33" i="7"/>
  <c r="L33" i="7"/>
  <c r="K33" i="7"/>
  <c r="J33" i="7"/>
  <c r="I33" i="7"/>
  <c r="H33" i="7"/>
  <c r="G33" i="7"/>
  <c r="D30" i="7"/>
  <c r="D29" i="7"/>
  <c r="D28" i="7"/>
  <c r="M24" i="7"/>
  <c r="L24" i="7"/>
  <c r="K24" i="7"/>
  <c r="J24" i="7"/>
  <c r="I24" i="7"/>
  <c r="H24" i="7"/>
  <c r="G24" i="7"/>
  <c r="M23" i="7"/>
  <c r="L23" i="7"/>
  <c r="K23" i="7"/>
  <c r="J23" i="7"/>
  <c r="I23" i="7"/>
  <c r="H23" i="7"/>
  <c r="G23" i="7"/>
  <c r="D20" i="7"/>
  <c r="D19" i="7"/>
  <c r="D18" i="7"/>
  <c r="M14" i="7"/>
  <c r="L14" i="7"/>
  <c r="K14" i="7"/>
  <c r="J14" i="7"/>
  <c r="I14" i="7"/>
  <c r="H14" i="7"/>
  <c r="D10" i="7" s="1"/>
  <c r="G14" i="7"/>
  <c r="M13" i="7"/>
  <c r="L13" i="7"/>
  <c r="K13" i="7"/>
  <c r="J13" i="7"/>
  <c r="I13" i="7"/>
  <c r="H13" i="7"/>
  <c r="G13" i="7"/>
  <c r="D9" i="7"/>
  <c r="D8" i="7"/>
  <c r="M29" i="6"/>
  <c r="L29" i="6"/>
  <c r="K29" i="6"/>
  <c r="J29" i="6"/>
  <c r="I29" i="6"/>
  <c r="H29" i="6"/>
  <c r="G29" i="6"/>
  <c r="H30" i="6" s="1"/>
  <c r="I30" i="6" s="1"/>
  <c r="J30" i="6" s="1"/>
  <c r="K30" i="6" s="1"/>
  <c r="H21" i="6"/>
  <c r="I21" i="6" s="1"/>
  <c r="J21" i="6" s="1"/>
  <c r="M20" i="6"/>
  <c r="L20" i="6"/>
  <c r="K20" i="6"/>
  <c r="J20" i="6"/>
  <c r="I20" i="6"/>
  <c r="H20" i="6"/>
  <c r="G20" i="6"/>
  <c r="M11" i="6"/>
  <c r="L11" i="6"/>
  <c r="K11" i="6"/>
  <c r="J11" i="6"/>
  <c r="I11" i="6"/>
  <c r="H11" i="6"/>
  <c r="G11" i="6"/>
  <c r="H12" i="6" s="1"/>
  <c r="I12" i="6" s="1"/>
  <c r="J12" i="6" s="1"/>
  <c r="K12" i="6" s="1"/>
  <c r="L12" i="6" s="1"/>
  <c r="M27" i="5"/>
  <c r="L27" i="5"/>
  <c r="K27" i="5"/>
  <c r="J27" i="5"/>
  <c r="I27" i="5"/>
  <c r="H27" i="5"/>
  <c r="G27" i="5"/>
  <c r="M19" i="5"/>
  <c r="L19" i="5"/>
  <c r="D18" i="5" s="1"/>
  <c r="K19" i="5"/>
  <c r="J19" i="5"/>
  <c r="I19" i="5"/>
  <c r="H19" i="5"/>
  <c r="G19" i="5"/>
  <c r="D17" i="5" a="1"/>
  <c r="D17" i="5" s="1"/>
  <c r="M11" i="5"/>
  <c r="L11" i="5"/>
  <c r="K11" i="5"/>
  <c r="J11" i="5"/>
  <c r="I11" i="5"/>
  <c r="H11" i="5"/>
  <c r="G11" i="5"/>
  <c r="L35" i="4"/>
  <c r="K35" i="4"/>
  <c r="C33" i="4" s="1" a="1"/>
  <c r="C33" i="4" s="1"/>
  <c r="J35" i="4"/>
  <c r="I35" i="4"/>
  <c r="H35" i="4"/>
  <c r="G35" i="4"/>
  <c r="F35" i="4"/>
  <c r="L27" i="4"/>
  <c r="K27" i="4"/>
  <c r="J27" i="4"/>
  <c r="I27" i="4"/>
  <c r="H27" i="4"/>
  <c r="G27" i="4"/>
  <c r="C25" i="4" s="1" a="1"/>
  <c r="C25" i="4" s="1"/>
  <c r="F27" i="4"/>
  <c r="C26" i="4" s="1"/>
  <c r="C27" i="4"/>
  <c r="L19" i="4"/>
  <c r="K19" i="4"/>
  <c r="J19" i="4"/>
  <c r="I19" i="4"/>
  <c r="H19" i="4"/>
  <c r="G19" i="4"/>
  <c r="F19" i="4"/>
  <c r="C18" i="4" s="1"/>
  <c r="L11" i="4"/>
  <c r="C10" i="4" s="1"/>
  <c r="K11" i="4"/>
  <c r="J11" i="4"/>
  <c r="I11" i="4"/>
  <c r="H11" i="4"/>
  <c r="G11" i="4"/>
  <c r="F11" i="4"/>
  <c r="C9" i="4" a="1"/>
  <c r="C9" i="4" s="1"/>
  <c r="M27" i="3"/>
  <c r="L27" i="3"/>
  <c r="K27" i="3"/>
  <c r="J27" i="3"/>
  <c r="I27" i="3"/>
  <c r="H27" i="3"/>
  <c r="G27" i="3"/>
  <c r="D26" i="3" s="1"/>
  <c r="M19" i="3"/>
  <c r="L19" i="3"/>
  <c r="K19" i="3"/>
  <c r="J19" i="3"/>
  <c r="I19" i="3"/>
  <c r="H19" i="3"/>
  <c r="G19" i="3"/>
  <c r="M11" i="3"/>
  <c r="L11" i="3"/>
  <c r="K11" i="3"/>
  <c r="D9" i="3" s="1" a="1"/>
  <c r="D9" i="3" s="1"/>
  <c r="J11" i="3"/>
  <c r="I11" i="3"/>
  <c r="H11" i="3"/>
  <c r="G11" i="3"/>
  <c r="M27" i="2"/>
  <c r="D25" i="2" s="1" a="1"/>
  <c r="D25" i="2" s="1"/>
  <c r="L27" i="2"/>
  <c r="K27" i="2"/>
  <c r="J27" i="2"/>
  <c r="I27" i="2"/>
  <c r="H27" i="2"/>
  <c r="G27" i="2"/>
  <c r="M19" i="2"/>
  <c r="L19" i="2"/>
  <c r="K19" i="2"/>
  <c r="J19" i="2"/>
  <c r="I19" i="2"/>
  <c r="H19" i="2"/>
  <c r="G19" i="2"/>
  <c r="D17" i="2" a="1"/>
  <c r="D17" i="2" s="1"/>
  <c r="M11" i="2"/>
  <c r="L11" i="2"/>
  <c r="K11" i="2"/>
  <c r="J11" i="2"/>
  <c r="I11" i="2"/>
  <c r="H11" i="2"/>
  <c r="G11" i="2"/>
  <c r="H19" i="1"/>
  <c r="D19" i="1"/>
  <c r="H11" i="1"/>
  <c r="D11" i="1"/>
  <c r="C54" i="12" l="1"/>
  <c r="C61" i="12"/>
  <c r="C25" i="12"/>
  <c r="C36" i="12"/>
  <c r="G14" i="12"/>
  <c r="O8" i="13" s="1"/>
  <c r="G15" i="12"/>
  <c r="P8" i="13" s="1"/>
  <c r="C28" i="12"/>
  <c r="E18" i="16"/>
  <c r="E15" i="16"/>
  <c r="F15" i="16"/>
  <c r="F19" i="16"/>
  <c r="E19" i="16"/>
  <c r="L30" i="6"/>
  <c r="D26" i="6"/>
  <c r="D12" i="5"/>
  <c r="D28" i="5"/>
  <c r="D10" i="5"/>
  <c r="D11" i="5"/>
  <c r="D9" i="5" a="1"/>
  <c r="D9" i="5" s="1"/>
  <c r="D27" i="5"/>
  <c r="D26" i="5"/>
  <c r="D25" i="5" a="1"/>
  <c r="D25" i="5" s="1"/>
  <c r="G11" i="9"/>
  <c r="H11" i="9" s="1"/>
  <c r="E11" i="9"/>
  <c r="D11" i="9"/>
  <c r="C11" i="9"/>
  <c r="B12" i="9"/>
  <c r="D9" i="2" a="1"/>
  <c r="D9" i="2" s="1"/>
  <c r="D25" i="3" a="1"/>
  <c r="D25" i="3" s="1"/>
  <c r="D10" i="3"/>
  <c r="D18" i="3"/>
  <c r="D17" i="3" a="1"/>
  <c r="D17" i="3" s="1"/>
  <c r="C19" i="4"/>
  <c r="C17" i="4" a="1"/>
  <c r="C17" i="4" s="1"/>
  <c r="C35" i="4"/>
  <c r="C34" i="4"/>
  <c r="K21" i="6"/>
  <c r="L21" i="6" s="1"/>
  <c r="D17" i="6"/>
  <c r="C11" i="4"/>
  <c r="D20" i="5"/>
  <c r="D19" i="5"/>
  <c r="C11" i="8"/>
  <c r="B12" i="8"/>
  <c r="Q38" i="12"/>
  <c r="Q56" i="12"/>
  <c r="C26" i="12"/>
  <c r="D54" i="12"/>
  <c r="C27" i="12"/>
  <c r="D61" i="12"/>
  <c r="E8" i="11"/>
  <c r="C43" i="12"/>
  <c r="AU12" i="10"/>
  <c r="C8" i="13"/>
  <c r="D8" i="13" s="1"/>
  <c r="H8" i="13" s="1"/>
  <c r="Q8" i="13"/>
  <c r="B9" i="13"/>
  <c r="C11" i="14"/>
  <c r="D11" i="14" s="1"/>
  <c r="E11" i="14" s="1"/>
  <c r="B12" i="14"/>
  <c r="R8" i="13" l="1"/>
  <c r="S8" i="13" s="1"/>
  <c r="T8" i="13" s="1"/>
  <c r="U8" i="13" s="1"/>
  <c r="Y8" i="13" s="1"/>
  <c r="E11" i="8"/>
  <c r="Q9" i="13"/>
  <c r="P9" i="13"/>
  <c r="B10" i="13"/>
  <c r="C9" i="13"/>
  <c r="D9" i="13" s="1"/>
  <c r="H9" i="13" s="1"/>
  <c r="G11" i="14"/>
  <c r="H11" i="14" s="1"/>
  <c r="G12" i="9"/>
  <c r="D12" i="9"/>
  <c r="B13" i="9"/>
  <c r="C12" i="9"/>
  <c r="D11" i="8"/>
  <c r="F12" i="14"/>
  <c r="B13" i="14"/>
  <c r="G8" i="13"/>
  <c r="F8" i="13"/>
  <c r="K8" i="13" s="1"/>
  <c r="E8" i="13"/>
  <c r="B13" i="8"/>
  <c r="F12" i="8"/>
  <c r="K8" i="9"/>
  <c r="F11" i="9"/>
  <c r="AA8" i="13" l="1"/>
  <c r="R9" i="13"/>
  <c r="S9" i="13" s="1"/>
  <c r="Z8" i="13"/>
  <c r="J8" i="13"/>
  <c r="C12" i="14"/>
  <c r="D12" i="14" s="1"/>
  <c r="G12" i="14" s="1"/>
  <c r="C10" i="13"/>
  <c r="D10" i="13" s="1"/>
  <c r="H10" i="13" s="1"/>
  <c r="Q10" i="13"/>
  <c r="P10" i="13"/>
  <c r="B11" i="13"/>
  <c r="E12" i="9"/>
  <c r="H12" i="9" s="1"/>
  <c r="T9" i="13"/>
  <c r="U9" i="13" s="1"/>
  <c r="Y9" i="13" s="1"/>
  <c r="F12" i="9"/>
  <c r="K8" i="14"/>
  <c r="I8" i="13"/>
  <c r="L8" i="13" s="1"/>
  <c r="F13" i="8"/>
  <c r="B14" i="8"/>
  <c r="M8" i="13"/>
  <c r="G11" i="8"/>
  <c r="H11" i="8" s="1"/>
  <c r="C12" i="8" s="1"/>
  <c r="F13" i="14"/>
  <c r="B14" i="14"/>
  <c r="B14" i="9"/>
  <c r="G13" i="9"/>
  <c r="C13" i="9"/>
  <c r="G9" i="13"/>
  <c r="F9" i="13"/>
  <c r="K9" i="13" s="1"/>
  <c r="E9" i="13"/>
  <c r="X8" i="13"/>
  <c r="W8" i="13"/>
  <c r="AB8" i="13" s="1"/>
  <c r="V8" i="13"/>
  <c r="R10" i="13" l="1"/>
  <c r="S10" i="13" s="1"/>
  <c r="T10" i="13" s="1"/>
  <c r="U10" i="13" s="1"/>
  <c r="Y10" i="13" s="1"/>
  <c r="I9" i="13"/>
  <c r="L9" i="13" s="1"/>
  <c r="Z9" i="13"/>
  <c r="E12" i="14"/>
  <c r="H12" i="14" s="1"/>
  <c r="AD8" i="13"/>
  <c r="E12" i="8"/>
  <c r="D12" i="8"/>
  <c r="M9" i="13"/>
  <c r="E13" i="9"/>
  <c r="H13" i="9" s="1"/>
  <c r="C14" i="9" s="1"/>
  <c r="D13" i="9"/>
  <c r="AC8" i="13"/>
  <c r="Q11" i="13"/>
  <c r="P11" i="13"/>
  <c r="B12" i="13"/>
  <c r="C11" i="13"/>
  <c r="D11" i="13" s="1"/>
  <c r="H11" i="13" s="1"/>
  <c r="F13" i="9"/>
  <c r="F14" i="8"/>
  <c r="B15" i="8"/>
  <c r="G10" i="13"/>
  <c r="F10" i="13"/>
  <c r="E10" i="13"/>
  <c r="K8" i="8"/>
  <c r="B15" i="9"/>
  <c r="G14" i="9"/>
  <c r="B15" i="14"/>
  <c r="F14" i="14"/>
  <c r="X9" i="13"/>
  <c r="W9" i="13"/>
  <c r="V9" i="13"/>
  <c r="R11" i="13" l="1"/>
  <c r="S11" i="13" s="1"/>
  <c r="T11" i="13" s="1"/>
  <c r="U11" i="13" s="1"/>
  <c r="Y11" i="13" s="1"/>
  <c r="J9" i="13"/>
  <c r="C13" i="14"/>
  <c r="AA9" i="13"/>
  <c r="K10" i="13"/>
  <c r="M10" i="13" s="1"/>
  <c r="D14" i="9"/>
  <c r="E14" i="9" s="1"/>
  <c r="H14" i="9" s="1"/>
  <c r="C15" i="9" s="1"/>
  <c r="F15" i="8"/>
  <c r="B16" i="8"/>
  <c r="V10" i="13"/>
  <c r="X10" i="13"/>
  <c r="W10" i="13"/>
  <c r="AB10" i="13" s="1"/>
  <c r="B16" i="14"/>
  <c r="F15" i="14"/>
  <c r="G11" i="13"/>
  <c r="F11" i="13"/>
  <c r="K11" i="13" s="1"/>
  <c r="E11" i="13"/>
  <c r="AB9" i="13"/>
  <c r="AD9" i="13" s="1"/>
  <c r="P12" i="13"/>
  <c r="B13" i="13"/>
  <c r="C12" i="13"/>
  <c r="D12" i="13" s="1"/>
  <c r="H12" i="13" s="1"/>
  <c r="Q12" i="13"/>
  <c r="G12" i="8"/>
  <c r="B16" i="9"/>
  <c r="G15" i="9"/>
  <c r="D13" i="14" l="1"/>
  <c r="G13" i="14" s="1"/>
  <c r="M11" i="13"/>
  <c r="D15" i="9"/>
  <c r="E15" i="9" s="1"/>
  <c r="H15" i="9" s="1"/>
  <c r="C16" i="9" s="1"/>
  <c r="C13" i="13"/>
  <c r="D13" i="13" s="1"/>
  <c r="H13" i="13" s="1"/>
  <c r="Q13" i="13"/>
  <c r="P13" i="13"/>
  <c r="B14" i="13"/>
  <c r="B17" i="9"/>
  <c r="G16" i="9"/>
  <c r="R12" i="13"/>
  <c r="S12" i="13" s="1"/>
  <c r="AD10" i="13"/>
  <c r="B17" i="14"/>
  <c r="F16" i="14"/>
  <c r="X11" i="13"/>
  <c r="W11" i="13"/>
  <c r="AB11" i="13" s="1"/>
  <c r="V11" i="13"/>
  <c r="F14" i="9"/>
  <c r="B17" i="8"/>
  <c r="F16" i="8"/>
  <c r="AC9" i="13"/>
  <c r="H12" i="8"/>
  <c r="C13" i="8" s="1"/>
  <c r="F15" i="9"/>
  <c r="F12" i="13"/>
  <c r="K12" i="13" s="1"/>
  <c r="E12" i="13"/>
  <c r="G12" i="13"/>
  <c r="E13" i="14" l="1"/>
  <c r="H13" i="14" s="1"/>
  <c r="AA10" i="13" s="1"/>
  <c r="R13" i="13"/>
  <c r="S13" i="13" s="1"/>
  <c r="I10" i="13"/>
  <c r="L10" i="13" s="1"/>
  <c r="Z10" i="13"/>
  <c r="AC10" i="13" s="1"/>
  <c r="AD11" i="13"/>
  <c r="D16" i="9"/>
  <c r="E16" i="9" s="1"/>
  <c r="H16" i="9" s="1"/>
  <c r="C17" i="9" s="1"/>
  <c r="M12" i="13"/>
  <c r="Q14" i="13"/>
  <c r="P14" i="13"/>
  <c r="B15" i="13"/>
  <c r="C14" i="13"/>
  <c r="D14" i="13" s="1"/>
  <c r="H14" i="13" s="1"/>
  <c r="T12" i="13"/>
  <c r="U12" i="13" s="1"/>
  <c r="Y12" i="13" s="1"/>
  <c r="B18" i="8"/>
  <c r="F17" i="8"/>
  <c r="G13" i="13"/>
  <c r="F13" i="13"/>
  <c r="K13" i="13" s="1"/>
  <c r="E13" i="13"/>
  <c r="D13" i="8"/>
  <c r="E13" i="8"/>
  <c r="B18" i="14"/>
  <c r="F17" i="14"/>
  <c r="B18" i="9"/>
  <c r="G17" i="9"/>
  <c r="C14" i="14" l="1"/>
  <c r="D14" i="14" s="1"/>
  <c r="E14" i="14" s="1"/>
  <c r="J10" i="13"/>
  <c r="M13" i="13"/>
  <c r="E17" i="9"/>
  <c r="H17" i="9" s="1"/>
  <c r="C18" i="9" s="1"/>
  <c r="D17" i="9"/>
  <c r="G14" i="13"/>
  <c r="F14" i="13"/>
  <c r="K14" i="13" s="1"/>
  <c r="E14" i="13"/>
  <c r="B16" i="13"/>
  <c r="C15" i="13"/>
  <c r="D15" i="13" s="1"/>
  <c r="H15" i="13" s="1"/>
  <c r="Q15" i="13"/>
  <c r="P15" i="13"/>
  <c r="F17" i="9"/>
  <c r="G13" i="8"/>
  <c r="F16" i="9"/>
  <c r="B19" i="8"/>
  <c r="F18" i="8"/>
  <c r="R14" i="13"/>
  <c r="S14" i="13" s="1"/>
  <c r="G14" i="14"/>
  <c r="B19" i="14"/>
  <c r="F18" i="14"/>
  <c r="T13" i="13"/>
  <c r="U13" i="13" s="1"/>
  <c r="Y13" i="13" s="1"/>
  <c r="H13" i="8"/>
  <c r="C14" i="8" s="1"/>
  <c r="B19" i="9"/>
  <c r="G18" i="9"/>
  <c r="X12" i="13"/>
  <c r="W12" i="13"/>
  <c r="V12" i="13"/>
  <c r="R15" i="13" l="1"/>
  <c r="S15" i="13" s="1"/>
  <c r="T15" i="13" s="1"/>
  <c r="U15" i="13" s="1"/>
  <c r="Y15" i="13" s="1"/>
  <c r="E18" i="9"/>
  <c r="H18" i="9" s="1"/>
  <c r="C19" i="9" s="1"/>
  <c r="D18" i="9"/>
  <c r="M14" i="13"/>
  <c r="X13" i="13"/>
  <c r="W13" i="13"/>
  <c r="AB13" i="13" s="1"/>
  <c r="V13" i="13"/>
  <c r="B20" i="8"/>
  <c r="F19" i="8"/>
  <c r="Q16" i="13"/>
  <c r="P16" i="13"/>
  <c r="B17" i="13"/>
  <c r="C16" i="13"/>
  <c r="D16" i="13" s="1"/>
  <c r="H16" i="13" s="1"/>
  <c r="G19" i="9"/>
  <c r="B20" i="9"/>
  <c r="I11" i="13"/>
  <c r="L11" i="13" s="1"/>
  <c r="Z11" i="13"/>
  <c r="AC11" i="13" s="1"/>
  <c r="E14" i="8"/>
  <c r="D14" i="8"/>
  <c r="F18" i="9"/>
  <c r="AB12" i="13"/>
  <c r="AD12" i="13" s="1"/>
  <c r="E15" i="13"/>
  <c r="G15" i="13"/>
  <c r="F15" i="13"/>
  <c r="K15" i="13" s="1"/>
  <c r="T14" i="13"/>
  <c r="U14" i="13" s="1"/>
  <c r="Y14" i="13" s="1"/>
  <c r="H14" i="14"/>
  <c r="F19" i="14"/>
  <c r="B20" i="14"/>
  <c r="R16" i="13" l="1"/>
  <c r="S16" i="13" s="1"/>
  <c r="T16" i="13" s="1"/>
  <c r="U16" i="13" s="1"/>
  <c r="Y16" i="13" s="1"/>
  <c r="D19" i="9"/>
  <c r="E19" i="9" s="1"/>
  <c r="H19" i="9" s="1"/>
  <c r="C20" i="9" s="1"/>
  <c r="F20" i="14"/>
  <c r="B21" i="14"/>
  <c r="M15" i="13"/>
  <c r="G20" i="9"/>
  <c r="B21" i="9"/>
  <c r="AD13" i="13"/>
  <c r="W15" i="13"/>
  <c r="AB15" i="13" s="1"/>
  <c r="V15" i="13"/>
  <c r="X15" i="13"/>
  <c r="G14" i="8"/>
  <c r="X14" i="13"/>
  <c r="W14" i="13"/>
  <c r="V14" i="13"/>
  <c r="H14" i="8"/>
  <c r="C15" i="8" s="1"/>
  <c r="F19" i="9"/>
  <c r="J11" i="13"/>
  <c r="C15" i="14"/>
  <c r="AA11" i="13"/>
  <c r="G16" i="13"/>
  <c r="F16" i="13"/>
  <c r="E16" i="13"/>
  <c r="F20" i="8"/>
  <c r="B21" i="8"/>
  <c r="Q17" i="13"/>
  <c r="P17" i="13"/>
  <c r="B18" i="13"/>
  <c r="C17" i="13"/>
  <c r="D17" i="13" s="1"/>
  <c r="H17" i="13" s="1"/>
  <c r="R17" i="13" l="1"/>
  <c r="S17" i="13" s="1"/>
  <c r="T17" i="13" s="1"/>
  <c r="U17" i="13" s="1"/>
  <c r="Y17" i="13" s="1"/>
  <c r="AD15" i="13"/>
  <c r="D20" i="9"/>
  <c r="F20" i="9" s="1"/>
  <c r="C18" i="13"/>
  <c r="D18" i="13" s="1"/>
  <c r="H18" i="13" s="1"/>
  <c r="Q18" i="13"/>
  <c r="P18" i="13"/>
  <c r="B19" i="13"/>
  <c r="X16" i="13"/>
  <c r="W16" i="13"/>
  <c r="AB16" i="13" s="1"/>
  <c r="V16" i="13"/>
  <c r="G17" i="13"/>
  <c r="F17" i="13"/>
  <c r="E17" i="13"/>
  <c r="K16" i="13"/>
  <c r="M16" i="13" s="1"/>
  <c r="D15" i="8"/>
  <c r="D15" i="14"/>
  <c r="G15" i="14" s="1"/>
  <c r="AB14" i="13"/>
  <c r="AD14" i="13" s="1"/>
  <c r="B22" i="9"/>
  <c r="G21" i="9"/>
  <c r="F21" i="14"/>
  <c r="B22" i="14"/>
  <c r="F21" i="8"/>
  <c r="B22" i="8"/>
  <c r="R18" i="13" l="1"/>
  <c r="S18" i="13" s="1"/>
  <c r="T18" i="13" s="1"/>
  <c r="U18" i="13" s="1"/>
  <c r="Y18" i="13" s="1"/>
  <c r="E15" i="14"/>
  <c r="H15" i="14" s="1"/>
  <c r="J12" i="13" s="1"/>
  <c r="AD16" i="13"/>
  <c r="E20" i="9"/>
  <c r="H20" i="9" s="1"/>
  <c r="C21" i="9" s="1"/>
  <c r="G15" i="8"/>
  <c r="F22" i="8"/>
  <c r="B23" i="8"/>
  <c r="X17" i="13"/>
  <c r="W17" i="13"/>
  <c r="AB17" i="13" s="1"/>
  <c r="V17" i="13"/>
  <c r="Q19" i="13"/>
  <c r="P19" i="13"/>
  <c r="B20" i="13"/>
  <c r="C19" i="13"/>
  <c r="D19" i="13" s="1"/>
  <c r="H19" i="13" s="1"/>
  <c r="G18" i="13"/>
  <c r="F18" i="13"/>
  <c r="K18" i="13" s="1"/>
  <c r="E18" i="13"/>
  <c r="E15" i="8"/>
  <c r="H15" i="8" s="1"/>
  <c r="C16" i="8" s="1"/>
  <c r="K17" i="13"/>
  <c r="M17" i="13" s="1"/>
  <c r="B23" i="14"/>
  <c r="F22" i="14"/>
  <c r="B23" i="9"/>
  <c r="G22" i="9"/>
  <c r="I12" i="13"/>
  <c r="L12" i="13" s="1"/>
  <c r="Z12" i="13"/>
  <c r="AC12" i="13" s="1"/>
  <c r="R19" i="13" l="1"/>
  <c r="S19" i="13" s="1"/>
  <c r="T19" i="13" s="1"/>
  <c r="U19" i="13" s="1"/>
  <c r="Y19" i="13" s="1"/>
  <c r="AA12" i="13"/>
  <c r="C16" i="14"/>
  <c r="D16" i="14" s="1"/>
  <c r="G16" i="14" s="1"/>
  <c r="M18" i="13"/>
  <c r="AD17" i="13"/>
  <c r="P20" i="13"/>
  <c r="B21" i="13"/>
  <c r="C20" i="13"/>
  <c r="D20" i="13" s="1"/>
  <c r="H20" i="13" s="1"/>
  <c r="Q20" i="13"/>
  <c r="B24" i="9"/>
  <c r="G23" i="9"/>
  <c r="F23" i="8"/>
  <c r="B24" i="8"/>
  <c r="G19" i="13"/>
  <c r="F19" i="13"/>
  <c r="K19" i="13" s="1"/>
  <c r="E19" i="13"/>
  <c r="D21" i="9"/>
  <c r="F21" i="9" s="1"/>
  <c r="D16" i="8"/>
  <c r="G16" i="8" s="1"/>
  <c r="V18" i="13"/>
  <c r="X18" i="13"/>
  <c r="W18" i="13"/>
  <c r="AB18" i="13" s="1"/>
  <c r="B24" i="14"/>
  <c r="F23" i="14"/>
  <c r="AD18" i="13" l="1"/>
  <c r="M19" i="13"/>
  <c r="C37" i="12" s="1"/>
  <c r="E21" i="9"/>
  <c r="H21" i="9" s="1"/>
  <c r="C22" i="9" s="1"/>
  <c r="B25" i="9"/>
  <c r="G24" i="9"/>
  <c r="E16" i="14"/>
  <c r="H16" i="14" s="1"/>
  <c r="X19" i="13"/>
  <c r="W19" i="13"/>
  <c r="AB19" i="13" s="1"/>
  <c r="V19" i="13"/>
  <c r="F20" i="13"/>
  <c r="K20" i="13" s="1"/>
  <c r="E20" i="13"/>
  <c r="G20" i="13"/>
  <c r="B25" i="14"/>
  <c r="F24" i="14"/>
  <c r="E16" i="8"/>
  <c r="H16" i="8" s="1"/>
  <c r="C17" i="8" s="1"/>
  <c r="C21" i="13"/>
  <c r="D21" i="13" s="1"/>
  <c r="H21" i="13" s="1"/>
  <c r="Q21" i="13"/>
  <c r="P21" i="13"/>
  <c r="B22" i="13"/>
  <c r="I13" i="13"/>
  <c r="L13" i="13" s="1"/>
  <c r="Z13" i="13"/>
  <c r="AC13" i="13" s="1"/>
  <c r="B25" i="8"/>
  <c r="F24" i="8"/>
  <c r="R20" i="13"/>
  <c r="S20" i="13" s="1"/>
  <c r="M20" i="13" l="1"/>
  <c r="AD19" i="13"/>
  <c r="C55" i="12" s="1"/>
  <c r="C58" i="12" s="1"/>
  <c r="T20" i="13"/>
  <c r="U20" i="13" s="1"/>
  <c r="Y20" i="13" s="1"/>
  <c r="B26" i="9"/>
  <c r="G25" i="9"/>
  <c r="Q22" i="13"/>
  <c r="P22" i="13"/>
  <c r="B23" i="13"/>
  <c r="C22" i="13"/>
  <c r="D22" i="13" s="1"/>
  <c r="H22" i="13" s="1"/>
  <c r="R21" i="13"/>
  <c r="S21" i="13" s="1"/>
  <c r="G21" i="13"/>
  <c r="F21" i="13"/>
  <c r="K21" i="13" s="1"/>
  <c r="E21" i="13"/>
  <c r="J13" i="13"/>
  <c r="C17" i="14"/>
  <c r="AA13" i="13"/>
  <c r="B26" i="14"/>
  <c r="F25" i="14"/>
  <c r="D22" i="9"/>
  <c r="F22" i="9" s="1"/>
  <c r="E22" i="9"/>
  <c r="H22" i="9" s="1"/>
  <c r="C23" i="9" s="1"/>
  <c r="B26" i="8"/>
  <c r="F25" i="8"/>
  <c r="D17" i="8"/>
  <c r="G17" i="8" s="1"/>
  <c r="C40" i="12"/>
  <c r="C39" i="12"/>
  <c r="R22" i="13" l="1"/>
  <c r="S22" i="13" s="1"/>
  <c r="T22" i="13" s="1"/>
  <c r="U22" i="13" s="1"/>
  <c r="Y22" i="13" s="1"/>
  <c r="M21" i="13"/>
  <c r="C57" i="12"/>
  <c r="G22" i="13"/>
  <c r="F22" i="13"/>
  <c r="K22" i="13" s="1"/>
  <c r="E22" i="13"/>
  <c r="B27" i="14"/>
  <c r="F26" i="14"/>
  <c r="E17" i="8"/>
  <c r="H17" i="8" s="1"/>
  <c r="C18" i="8" s="1"/>
  <c r="B24" i="13"/>
  <c r="C23" i="13"/>
  <c r="D23" i="13" s="1"/>
  <c r="H23" i="13" s="1"/>
  <c r="Q23" i="13"/>
  <c r="P23" i="13"/>
  <c r="D17" i="14"/>
  <c r="G17" i="14" s="1"/>
  <c r="X20" i="13"/>
  <c r="W20" i="13"/>
  <c r="AB20" i="13" s="1"/>
  <c r="V20" i="13"/>
  <c r="B27" i="8"/>
  <c r="F26" i="8"/>
  <c r="D23" i="9"/>
  <c r="F23" i="9" s="1"/>
  <c r="T21" i="13"/>
  <c r="U21" i="13" s="1"/>
  <c r="Y21" i="13" s="1"/>
  <c r="G26" i="9"/>
  <c r="B27" i="9"/>
  <c r="AD20" i="13" l="1"/>
  <c r="M22" i="13"/>
  <c r="X21" i="13"/>
  <c r="W21" i="13"/>
  <c r="V21" i="13"/>
  <c r="R23" i="13"/>
  <c r="S23" i="13" s="1"/>
  <c r="F27" i="14"/>
  <c r="B28" i="14"/>
  <c r="G27" i="9"/>
  <c r="B28" i="9"/>
  <c r="E23" i="13"/>
  <c r="G23" i="13"/>
  <c r="F23" i="13"/>
  <c r="K23" i="13" s="1"/>
  <c r="B28" i="8"/>
  <c r="F27" i="8"/>
  <c r="E23" i="9"/>
  <c r="H23" i="9" s="1"/>
  <c r="C24" i="9" s="1"/>
  <c r="Q24" i="13"/>
  <c r="P24" i="13"/>
  <c r="R24" i="13" s="1"/>
  <c r="B25" i="13"/>
  <c r="C24" i="13"/>
  <c r="D24" i="13" s="1"/>
  <c r="H24" i="13" s="1"/>
  <c r="E18" i="8"/>
  <c r="H18" i="8" s="1"/>
  <c r="C19" i="8" s="1"/>
  <c r="D18" i="8"/>
  <c r="G18" i="8" s="1"/>
  <c r="X22" i="13"/>
  <c r="W22" i="13"/>
  <c r="AB22" i="13" s="1"/>
  <c r="V22" i="13"/>
  <c r="I14" i="13"/>
  <c r="L14" i="13" s="1"/>
  <c r="Z14" i="13"/>
  <c r="AC14" i="13" s="1"/>
  <c r="E17" i="14"/>
  <c r="H17" i="14" s="1"/>
  <c r="S24" i="13" l="1"/>
  <c r="T24" i="13" s="1"/>
  <c r="U24" i="13" s="1"/>
  <c r="Y24" i="13" s="1"/>
  <c r="AD22" i="13"/>
  <c r="G28" i="9"/>
  <c r="B29" i="9"/>
  <c r="B29" i="8"/>
  <c r="F28" i="8"/>
  <c r="AB21" i="13"/>
  <c r="AD21" i="13" s="1"/>
  <c r="B26" i="13"/>
  <c r="Q25" i="13"/>
  <c r="P25" i="13"/>
  <c r="C25" i="13"/>
  <c r="D25" i="13" s="1"/>
  <c r="H25" i="13" s="1"/>
  <c r="M23" i="13"/>
  <c r="T23" i="13"/>
  <c r="U23" i="13" s="1"/>
  <c r="Y23" i="13" s="1"/>
  <c r="G24" i="13"/>
  <c r="F24" i="13"/>
  <c r="K24" i="13" s="1"/>
  <c r="E24" i="13"/>
  <c r="E19" i="8"/>
  <c r="H19" i="8" s="1"/>
  <c r="C20" i="8" s="1"/>
  <c r="D19" i="8"/>
  <c r="G19" i="8" s="1"/>
  <c r="J14" i="13"/>
  <c r="C18" i="14"/>
  <c r="AA14" i="13"/>
  <c r="E24" i="9"/>
  <c r="H24" i="9" s="1"/>
  <c r="C25" i="9" s="1"/>
  <c r="D24" i="9"/>
  <c r="F24" i="9" s="1"/>
  <c r="F28" i="14"/>
  <c r="B29" i="14"/>
  <c r="M24" i="13" l="1"/>
  <c r="D25" i="9"/>
  <c r="F25" i="9" s="1"/>
  <c r="E25" i="9"/>
  <c r="H25" i="9" s="1"/>
  <c r="C26" i="9" s="1"/>
  <c r="D18" i="14"/>
  <c r="G18" i="14" s="1"/>
  <c r="X24" i="13"/>
  <c r="W24" i="13"/>
  <c r="AB24" i="13" s="1"/>
  <c r="V24" i="13"/>
  <c r="Q26" i="13"/>
  <c r="B27" i="13"/>
  <c r="P26" i="13"/>
  <c r="C26" i="13"/>
  <c r="D26" i="13" s="1"/>
  <c r="H26" i="13" s="1"/>
  <c r="D20" i="8"/>
  <c r="G20" i="8" s="1"/>
  <c r="G25" i="13"/>
  <c r="F25" i="13"/>
  <c r="K25" i="13" s="1"/>
  <c r="E25" i="13"/>
  <c r="F29" i="8"/>
  <c r="B30" i="8"/>
  <c r="W23" i="13"/>
  <c r="AB23" i="13" s="1"/>
  <c r="V23" i="13"/>
  <c r="X23" i="13"/>
  <c r="F29" i="14"/>
  <c r="B30" i="14"/>
  <c r="B30" i="9"/>
  <c r="G29" i="9"/>
  <c r="R25" i="13"/>
  <c r="S25" i="13" s="1"/>
  <c r="E18" i="14" l="1"/>
  <c r="H18" i="14" s="1"/>
  <c r="J15" i="13" s="1"/>
  <c r="R26" i="13"/>
  <c r="S26" i="13" s="1"/>
  <c r="T26" i="13" s="1"/>
  <c r="U26" i="13" s="1"/>
  <c r="Y26" i="13" s="1"/>
  <c r="AD23" i="13"/>
  <c r="M25" i="13"/>
  <c r="AD24" i="13"/>
  <c r="Q27" i="13"/>
  <c r="P27" i="13"/>
  <c r="C27" i="13"/>
  <c r="D27" i="13" s="1"/>
  <c r="H27" i="13" s="1"/>
  <c r="B28" i="13"/>
  <c r="B31" i="9"/>
  <c r="G30" i="9"/>
  <c r="I15" i="13"/>
  <c r="L15" i="13" s="1"/>
  <c r="Z15" i="13"/>
  <c r="AC15" i="13" s="1"/>
  <c r="B31" i="14"/>
  <c r="F30" i="14"/>
  <c r="D26" i="9"/>
  <c r="F26" i="9" s="1"/>
  <c r="F30" i="8"/>
  <c r="B31" i="8"/>
  <c r="T25" i="13"/>
  <c r="U25" i="13" s="1"/>
  <c r="Y25" i="13" s="1"/>
  <c r="E20" i="8"/>
  <c r="H20" i="8" s="1"/>
  <c r="C21" i="8" s="1"/>
  <c r="G26" i="13"/>
  <c r="F26" i="13"/>
  <c r="K26" i="13" s="1"/>
  <c r="E26" i="13"/>
  <c r="R27" i="13" l="1"/>
  <c r="AA15" i="13"/>
  <c r="C19" i="14"/>
  <c r="D19" i="14" s="1"/>
  <c r="G19" i="14" s="1"/>
  <c r="S27" i="13"/>
  <c r="T27" i="13" s="1"/>
  <c r="U27" i="13" s="1"/>
  <c r="Y27" i="13" s="1"/>
  <c r="M26" i="13"/>
  <c r="W25" i="13"/>
  <c r="AB25" i="13" s="1"/>
  <c r="X25" i="13"/>
  <c r="V25" i="13"/>
  <c r="F31" i="8"/>
  <c r="B32" i="8"/>
  <c r="E26" i="9"/>
  <c r="H26" i="9" s="1"/>
  <c r="C27" i="9" s="1"/>
  <c r="B32" i="9"/>
  <c r="G31" i="9"/>
  <c r="W26" i="13"/>
  <c r="AB26" i="13" s="1"/>
  <c r="V26" i="13"/>
  <c r="X26" i="13"/>
  <c r="E21" i="8"/>
  <c r="H21" i="8" s="1"/>
  <c r="C22" i="8" s="1"/>
  <c r="D21" i="8"/>
  <c r="G21" i="8" s="1"/>
  <c r="Q28" i="13"/>
  <c r="B29" i="13"/>
  <c r="P28" i="13"/>
  <c r="C28" i="13"/>
  <c r="D28" i="13" s="1"/>
  <c r="H28" i="13" s="1"/>
  <c r="B32" i="14"/>
  <c r="F31" i="14"/>
  <c r="G27" i="13"/>
  <c r="E27" i="13"/>
  <c r="F27" i="13"/>
  <c r="E19" i="14" l="1"/>
  <c r="H19" i="14" s="1"/>
  <c r="J16" i="13" s="1"/>
  <c r="AD26" i="13"/>
  <c r="AD25" i="13"/>
  <c r="Q29" i="13"/>
  <c r="P29" i="13"/>
  <c r="R29" i="13" s="1"/>
  <c r="B30" i="13"/>
  <c r="C29" i="13"/>
  <c r="D29" i="13" s="1"/>
  <c r="H29" i="13" s="1"/>
  <c r="E22" i="8"/>
  <c r="H22" i="8" s="1"/>
  <c r="C23" i="8" s="1"/>
  <c r="D22" i="8"/>
  <c r="G22" i="8" s="1"/>
  <c r="V27" i="13"/>
  <c r="X27" i="13"/>
  <c r="W27" i="13"/>
  <c r="AB27" i="13" s="1"/>
  <c r="B33" i="9"/>
  <c r="G32" i="9"/>
  <c r="B33" i="8"/>
  <c r="F32" i="8"/>
  <c r="B33" i="14"/>
  <c r="F32" i="14"/>
  <c r="K27" i="13"/>
  <c r="M27" i="13" s="1"/>
  <c r="D27" i="9"/>
  <c r="F27" i="9" s="1"/>
  <c r="G28" i="13"/>
  <c r="F28" i="13"/>
  <c r="K28" i="13" s="1"/>
  <c r="E28" i="13"/>
  <c r="R28" i="13"/>
  <c r="S28" i="13" s="1"/>
  <c r="I16" i="13"/>
  <c r="L16" i="13" s="1"/>
  <c r="Z16" i="13"/>
  <c r="AC16" i="13" s="1"/>
  <c r="AA16" i="13" l="1"/>
  <c r="C20" i="14"/>
  <c r="D20" i="14" s="1"/>
  <c r="G20" i="14" s="1"/>
  <c r="S29" i="13"/>
  <c r="T29" i="13" s="1"/>
  <c r="U29" i="13" s="1"/>
  <c r="Y29" i="13" s="1"/>
  <c r="AD27" i="13"/>
  <c r="M28" i="13"/>
  <c r="D23" i="8"/>
  <c r="G23" i="8" s="1"/>
  <c r="B34" i="8"/>
  <c r="F33" i="8"/>
  <c r="G29" i="13"/>
  <c r="F29" i="13"/>
  <c r="E29" i="13"/>
  <c r="Q30" i="13"/>
  <c r="P30" i="13"/>
  <c r="B31" i="13"/>
  <c r="C30" i="13"/>
  <c r="D30" i="13" s="1"/>
  <c r="H30" i="13" s="1"/>
  <c r="B34" i="14"/>
  <c r="F33" i="14"/>
  <c r="G33" i="9"/>
  <c r="B34" i="9"/>
  <c r="T28" i="13"/>
  <c r="U28" i="13" s="1"/>
  <c r="Y28" i="13" s="1"/>
  <c r="E27" i="9"/>
  <c r="H27" i="9" s="1"/>
  <c r="C28" i="9" s="1"/>
  <c r="R30" i="13" l="1"/>
  <c r="S30" i="13" s="1"/>
  <c r="T30" i="13" s="1"/>
  <c r="U30" i="13" s="1"/>
  <c r="Y30" i="13" s="1"/>
  <c r="K29" i="13"/>
  <c r="M29" i="13" s="1"/>
  <c r="D28" i="9"/>
  <c r="F28" i="9" s="1"/>
  <c r="B35" i="8"/>
  <c r="F34" i="8"/>
  <c r="C31" i="13"/>
  <c r="D31" i="13" s="1"/>
  <c r="H31" i="13" s="1"/>
  <c r="Q31" i="13"/>
  <c r="P31" i="13"/>
  <c r="B32" i="13"/>
  <c r="V28" i="13"/>
  <c r="X28" i="13"/>
  <c r="W28" i="13"/>
  <c r="B35" i="14"/>
  <c r="F34" i="14"/>
  <c r="E20" i="14"/>
  <c r="H20" i="14" s="1"/>
  <c r="E23" i="8"/>
  <c r="H23" i="8" s="1"/>
  <c r="C24" i="8" s="1"/>
  <c r="I17" i="13"/>
  <c r="L17" i="13" s="1"/>
  <c r="Z17" i="13"/>
  <c r="AC17" i="13" s="1"/>
  <c r="G34" i="9"/>
  <c r="B35" i="9"/>
  <c r="X29" i="13"/>
  <c r="W29" i="13"/>
  <c r="AB29" i="13" s="1"/>
  <c r="V29" i="13"/>
  <c r="G30" i="13"/>
  <c r="F30" i="13"/>
  <c r="K30" i="13" s="1"/>
  <c r="E30" i="13"/>
  <c r="R31" i="13" l="1"/>
  <c r="S31" i="13" s="1"/>
  <c r="T31" i="13" s="1"/>
  <c r="U31" i="13" s="1"/>
  <c r="Y31" i="13" s="1"/>
  <c r="M30" i="13"/>
  <c r="J17" i="13"/>
  <c r="C21" i="14"/>
  <c r="AA17" i="13"/>
  <c r="G31" i="13"/>
  <c r="F31" i="13"/>
  <c r="K31" i="13" s="1"/>
  <c r="E31" i="13"/>
  <c r="X30" i="13"/>
  <c r="W30" i="13"/>
  <c r="AB30" i="13" s="1"/>
  <c r="V30" i="13"/>
  <c r="B36" i="8"/>
  <c r="F35" i="8"/>
  <c r="AD29" i="13"/>
  <c r="AB28" i="13"/>
  <c r="AD28" i="13" s="1"/>
  <c r="Q32" i="13"/>
  <c r="P32" i="13"/>
  <c r="B33" i="13"/>
  <c r="C32" i="13"/>
  <c r="D32" i="13" s="1"/>
  <c r="H32" i="13" s="1"/>
  <c r="F35" i="14"/>
  <c r="B36" i="14"/>
  <c r="D24" i="8"/>
  <c r="G24" i="8" s="1"/>
  <c r="E24" i="8"/>
  <c r="H24" i="8" s="1"/>
  <c r="C25" i="8" s="1"/>
  <c r="B36" i="9"/>
  <c r="G35" i="9"/>
  <c r="E28" i="9"/>
  <c r="H28" i="9" s="1"/>
  <c r="C29" i="9" s="1"/>
  <c r="R32" i="13" l="1"/>
  <c r="S32" i="13" s="1"/>
  <c r="T32" i="13" s="1"/>
  <c r="U32" i="13" s="1"/>
  <c r="Y32" i="13" s="1"/>
  <c r="AD30" i="13"/>
  <c r="M31" i="13"/>
  <c r="D37" i="12" s="1"/>
  <c r="B37" i="9"/>
  <c r="G36" i="9"/>
  <c r="P33" i="13"/>
  <c r="B34" i="13"/>
  <c r="C33" i="13"/>
  <c r="D33" i="13" s="1"/>
  <c r="H33" i="13" s="1"/>
  <c r="Q33" i="13"/>
  <c r="D21" i="14"/>
  <c r="G21" i="14" s="1"/>
  <c r="D25" i="8"/>
  <c r="G25" i="8" s="1"/>
  <c r="D29" i="9"/>
  <c r="F29" i="9" s="1"/>
  <c r="E29" i="9"/>
  <c r="H29" i="9" s="1"/>
  <c r="C30" i="9" s="1"/>
  <c r="V31" i="13"/>
  <c r="W31" i="13"/>
  <c r="AB31" i="13" s="1"/>
  <c r="X31" i="13"/>
  <c r="G32" i="13"/>
  <c r="F32" i="13"/>
  <c r="K32" i="13" s="1"/>
  <c r="E32" i="13"/>
  <c r="F36" i="14"/>
  <c r="B37" i="14"/>
  <c r="B37" i="8"/>
  <c r="F36" i="8"/>
  <c r="E21" i="14" l="1"/>
  <c r="H21" i="14" s="1"/>
  <c r="R33" i="13"/>
  <c r="S33" i="13" s="1"/>
  <c r="T33" i="13" s="1"/>
  <c r="U33" i="13" s="1"/>
  <c r="Y33" i="13" s="1"/>
  <c r="AD31" i="13"/>
  <c r="D55" i="12" s="1"/>
  <c r="D57" i="12" s="1"/>
  <c r="M32" i="13"/>
  <c r="F37" i="8"/>
  <c r="B38" i="8"/>
  <c r="E25" i="8"/>
  <c r="H25" i="8" s="1"/>
  <c r="C26" i="8" s="1"/>
  <c r="J18" i="13"/>
  <c r="C22" i="14"/>
  <c r="AA18" i="13"/>
  <c r="I18" i="13"/>
  <c r="L18" i="13" s="1"/>
  <c r="Z18" i="13"/>
  <c r="AC18" i="13" s="1"/>
  <c r="X32" i="13"/>
  <c r="W32" i="13"/>
  <c r="AB32" i="13" s="1"/>
  <c r="V32" i="13"/>
  <c r="F33" i="13"/>
  <c r="K33" i="13" s="1"/>
  <c r="E33" i="13"/>
  <c r="G33" i="13"/>
  <c r="B38" i="9"/>
  <c r="G37" i="9"/>
  <c r="F37" i="14"/>
  <c r="B38" i="14"/>
  <c r="D30" i="9"/>
  <c r="F30" i="9" s="1"/>
  <c r="E30" i="9"/>
  <c r="H30" i="9" s="1"/>
  <c r="C31" i="9" s="1"/>
  <c r="C34" i="13"/>
  <c r="D34" i="13" s="1"/>
  <c r="H34" i="13" s="1"/>
  <c r="Q34" i="13"/>
  <c r="P34" i="13"/>
  <c r="B35" i="13"/>
  <c r="D39" i="12"/>
  <c r="D40" i="12"/>
  <c r="R34" i="13" l="1"/>
  <c r="S34" i="13" s="1"/>
  <c r="T34" i="13" s="1"/>
  <c r="U34" i="13" s="1"/>
  <c r="Y34" i="13" s="1"/>
  <c r="D58" i="12"/>
  <c r="M33" i="13"/>
  <c r="B39" i="14"/>
  <c r="F38" i="14"/>
  <c r="AD32" i="13"/>
  <c r="D26" i="8"/>
  <c r="G26" i="8" s="1"/>
  <c r="X33" i="13"/>
  <c r="W33" i="13"/>
  <c r="AB33" i="13" s="1"/>
  <c r="V33" i="13"/>
  <c r="B39" i="9"/>
  <c r="G38" i="9"/>
  <c r="F38" i="8"/>
  <c r="B39" i="8"/>
  <c r="Q35" i="13"/>
  <c r="P35" i="13"/>
  <c r="B36" i="13"/>
  <c r="C35" i="13"/>
  <c r="D35" i="13" s="1"/>
  <c r="H35" i="13" s="1"/>
  <c r="G34" i="13"/>
  <c r="F34" i="13"/>
  <c r="K34" i="13" s="1"/>
  <c r="E34" i="13"/>
  <c r="D31" i="9"/>
  <c r="F31" i="9" s="1"/>
  <c r="E31" i="9"/>
  <c r="H31" i="9" s="1"/>
  <c r="C32" i="9" s="1"/>
  <c r="D22" i="14"/>
  <c r="G22" i="14" s="1"/>
  <c r="R35" i="13" l="1"/>
  <c r="S35" i="13" s="1"/>
  <c r="T35" i="13" s="1"/>
  <c r="U35" i="13" s="1"/>
  <c r="Y35" i="13" s="1"/>
  <c r="E22" i="14"/>
  <c r="H22" i="14" s="1"/>
  <c r="J19" i="13" s="1"/>
  <c r="M34" i="13"/>
  <c r="AD33" i="13"/>
  <c r="AA19" i="13"/>
  <c r="F39" i="8"/>
  <c r="B40" i="8"/>
  <c r="E26" i="8"/>
  <c r="H26" i="8" s="1"/>
  <c r="C27" i="8" s="1"/>
  <c r="X34" i="13"/>
  <c r="W34" i="13"/>
  <c r="AB34" i="13" s="1"/>
  <c r="V34" i="13"/>
  <c r="B40" i="14"/>
  <c r="F39" i="14"/>
  <c r="G35" i="13"/>
  <c r="F35" i="13"/>
  <c r="E35" i="13"/>
  <c r="B37" i="13"/>
  <c r="C36" i="13"/>
  <c r="D36" i="13" s="1"/>
  <c r="H36" i="13" s="1"/>
  <c r="P36" i="13"/>
  <c r="Q36" i="13"/>
  <c r="B40" i="9"/>
  <c r="G39" i="9"/>
  <c r="D32" i="9"/>
  <c r="F32" i="9" s="1"/>
  <c r="I19" i="13"/>
  <c r="L19" i="13" s="1"/>
  <c r="C44" i="12" s="1"/>
  <c r="Z19" i="13"/>
  <c r="AC19" i="13" s="1"/>
  <c r="C62" i="12" s="1"/>
  <c r="C23" i="14" l="1"/>
  <c r="R36" i="13"/>
  <c r="S36" i="13" s="1"/>
  <c r="T36" i="13" s="1"/>
  <c r="U36" i="13" s="1"/>
  <c r="Y36" i="13" s="1"/>
  <c r="AD34" i="13"/>
  <c r="C65" i="12"/>
  <c r="C64" i="12"/>
  <c r="B41" i="14"/>
  <c r="F40" i="14"/>
  <c r="D27" i="8"/>
  <c r="G27" i="8" s="1"/>
  <c r="C47" i="12"/>
  <c r="C46" i="12"/>
  <c r="K35" i="13"/>
  <c r="M35" i="13" s="1"/>
  <c r="B41" i="8"/>
  <c r="F40" i="8"/>
  <c r="D23" i="14"/>
  <c r="G23" i="14" s="1"/>
  <c r="E36" i="13"/>
  <c r="G36" i="13"/>
  <c r="F36" i="13"/>
  <c r="Q37" i="13"/>
  <c r="P37" i="13"/>
  <c r="C37" i="13"/>
  <c r="D37" i="13" s="1"/>
  <c r="H37" i="13" s="1"/>
  <c r="B38" i="13"/>
  <c r="E32" i="9"/>
  <c r="H32" i="9" s="1"/>
  <c r="C33" i="9" s="1"/>
  <c r="X35" i="13"/>
  <c r="W35" i="13"/>
  <c r="AB35" i="13" s="1"/>
  <c r="V35" i="13"/>
  <c r="B41" i="9"/>
  <c r="G40" i="9"/>
  <c r="R37" i="13" l="1"/>
  <c r="S37" i="13" s="1"/>
  <c r="T37" i="13" s="1"/>
  <c r="U37" i="13" s="1"/>
  <c r="Y37" i="13" s="1"/>
  <c r="E23" i="14"/>
  <c r="H23" i="14" s="1"/>
  <c r="C24" i="14" s="1"/>
  <c r="AD35" i="13"/>
  <c r="U46" i="12"/>
  <c r="E27" i="8"/>
  <c r="H27" i="8" s="1"/>
  <c r="C28" i="8" s="1"/>
  <c r="D33" i="9"/>
  <c r="F33" i="9" s="1"/>
  <c r="E33" i="9"/>
  <c r="H33" i="9" s="1"/>
  <c r="C34" i="9" s="1"/>
  <c r="W36" i="13"/>
  <c r="V36" i="13"/>
  <c r="X36" i="13"/>
  <c r="Q38" i="13"/>
  <c r="P38" i="13"/>
  <c r="B39" i="13"/>
  <c r="C38" i="13"/>
  <c r="D38" i="13" s="1"/>
  <c r="H38" i="13" s="1"/>
  <c r="B42" i="14"/>
  <c r="F41" i="14"/>
  <c r="K36" i="13"/>
  <c r="M36" i="13" s="1"/>
  <c r="G37" i="13"/>
  <c r="F37" i="13"/>
  <c r="K37" i="13" s="1"/>
  <c r="E37" i="13"/>
  <c r="G41" i="9"/>
  <c r="B42" i="9"/>
  <c r="I20" i="13"/>
  <c r="L20" i="13" s="1"/>
  <c r="Z20" i="13"/>
  <c r="AC20" i="13" s="1"/>
  <c r="B42" i="8"/>
  <c r="F41" i="8"/>
  <c r="AA20" i="13" l="1"/>
  <c r="J20" i="13"/>
  <c r="R38" i="13"/>
  <c r="S38" i="13" s="1"/>
  <c r="T38" i="13" s="1"/>
  <c r="U38" i="13" s="1"/>
  <c r="Y38" i="13" s="1"/>
  <c r="M37" i="13"/>
  <c r="D24" i="14"/>
  <c r="G24" i="14" s="1"/>
  <c r="AB36" i="13"/>
  <c r="AD36" i="13" s="1"/>
  <c r="D34" i="9"/>
  <c r="F34" i="9" s="1"/>
  <c r="G42" i="9"/>
  <c r="B43" i="9"/>
  <c r="X37" i="13"/>
  <c r="W37" i="13"/>
  <c r="AB37" i="13" s="1"/>
  <c r="V37" i="13"/>
  <c r="B43" i="14"/>
  <c r="F42" i="14"/>
  <c r="G38" i="13"/>
  <c r="F38" i="13"/>
  <c r="K38" i="13" s="1"/>
  <c r="E38" i="13"/>
  <c r="D28" i="8"/>
  <c r="G28" i="8" s="1"/>
  <c r="B43" i="8"/>
  <c r="F42" i="8"/>
  <c r="C39" i="13"/>
  <c r="D39" i="13" s="1"/>
  <c r="H39" i="13" s="1"/>
  <c r="Q39" i="13"/>
  <c r="P39" i="13"/>
  <c r="B40" i="13"/>
  <c r="R39" i="13" l="1"/>
  <c r="S39" i="13" s="1"/>
  <c r="E24" i="14"/>
  <c r="H24" i="14" s="1"/>
  <c r="J21" i="13" s="1"/>
  <c r="AD37" i="13"/>
  <c r="M38" i="13"/>
  <c r="I21" i="13"/>
  <c r="L21" i="13" s="1"/>
  <c r="Z21" i="13"/>
  <c r="AC21" i="13" s="1"/>
  <c r="F43" i="14"/>
  <c r="B44" i="14"/>
  <c r="T39" i="13"/>
  <c r="U39" i="13" s="1"/>
  <c r="Y39" i="13" s="1"/>
  <c r="E34" i="9"/>
  <c r="H34" i="9" s="1"/>
  <c r="C35" i="9" s="1"/>
  <c r="Q40" i="13"/>
  <c r="P40" i="13"/>
  <c r="B41" i="13"/>
  <c r="C40" i="13"/>
  <c r="D40" i="13" s="1"/>
  <c r="H40" i="13" s="1"/>
  <c r="G39" i="13"/>
  <c r="F39" i="13"/>
  <c r="K39" i="13" s="1"/>
  <c r="E39" i="13"/>
  <c r="X38" i="13"/>
  <c r="W38" i="13"/>
  <c r="AB38" i="13" s="1"/>
  <c r="V38" i="13"/>
  <c r="B44" i="8"/>
  <c r="F43" i="8"/>
  <c r="B44" i="9"/>
  <c r="G43" i="9"/>
  <c r="E28" i="8"/>
  <c r="H28" i="8" s="1"/>
  <c r="C29" i="8" s="1"/>
  <c r="AA21" i="13" l="1"/>
  <c r="C25" i="14"/>
  <c r="D25" i="14" s="1"/>
  <c r="G25" i="14" s="1"/>
  <c r="M39" i="13"/>
  <c r="F44" i="8"/>
  <c r="B45" i="8"/>
  <c r="V39" i="13"/>
  <c r="X39" i="13"/>
  <c r="W39" i="13"/>
  <c r="AB39" i="13" s="1"/>
  <c r="G40" i="13"/>
  <c r="F40" i="13"/>
  <c r="K40" i="13" s="1"/>
  <c r="E40" i="13"/>
  <c r="D29" i="8"/>
  <c r="G29" i="8" s="1"/>
  <c r="F44" i="14"/>
  <c r="B45" i="14"/>
  <c r="D35" i="9"/>
  <c r="F35" i="9" s="1"/>
  <c r="E35" i="9"/>
  <c r="H35" i="9" s="1"/>
  <c r="C36" i="9" s="1"/>
  <c r="AD38" i="13"/>
  <c r="P41" i="13"/>
  <c r="B42" i="13"/>
  <c r="C41" i="13"/>
  <c r="D41" i="13" s="1"/>
  <c r="H41" i="13" s="1"/>
  <c r="Q41" i="13"/>
  <c r="B45" i="9"/>
  <c r="G44" i="9"/>
  <c r="R40" i="13"/>
  <c r="S40" i="13" s="1"/>
  <c r="R41" i="13" l="1"/>
  <c r="S41" i="13" s="1"/>
  <c r="AD39" i="13"/>
  <c r="M40" i="13"/>
  <c r="D36" i="9"/>
  <c r="F36" i="9" s="1"/>
  <c r="B46" i="9"/>
  <c r="G45" i="9"/>
  <c r="E29" i="8"/>
  <c r="H29" i="8" s="1"/>
  <c r="C30" i="8" s="1"/>
  <c r="I22" i="13"/>
  <c r="L22" i="13" s="1"/>
  <c r="Z22" i="13"/>
  <c r="AC22" i="13" s="1"/>
  <c r="T40" i="13"/>
  <c r="U40" i="13" s="1"/>
  <c r="Y40" i="13" s="1"/>
  <c r="F41" i="13"/>
  <c r="K41" i="13" s="1"/>
  <c r="E41" i="13"/>
  <c r="G41" i="13"/>
  <c r="F45" i="14"/>
  <c r="B46" i="14"/>
  <c r="E25" i="14"/>
  <c r="H25" i="14" s="1"/>
  <c r="P42" i="13"/>
  <c r="C42" i="13"/>
  <c r="D42" i="13" s="1"/>
  <c r="H42" i="13" s="1"/>
  <c r="B43" i="13"/>
  <c r="Q42" i="13"/>
  <c r="F45" i="8"/>
  <c r="B46" i="8"/>
  <c r="M41" i="13" l="1"/>
  <c r="D30" i="8"/>
  <c r="G30" i="8" s="1"/>
  <c r="T41" i="13"/>
  <c r="U41" i="13" s="1"/>
  <c r="Y41" i="13" s="1"/>
  <c r="C43" i="13"/>
  <c r="D43" i="13" s="1"/>
  <c r="H43" i="13" s="1"/>
  <c r="Q43" i="13"/>
  <c r="P43" i="13"/>
  <c r="B44" i="13"/>
  <c r="E36" i="9"/>
  <c r="H36" i="9" s="1"/>
  <c r="C37" i="9" s="1"/>
  <c r="G42" i="13"/>
  <c r="F42" i="13"/>
  <c r="K42" i="13" s="1"/>
  <c r="E42" i="13"/>
  <c r="F46" i="8"/>
  <c r="B47" i="8"/>
  <c r="R42" i="13"/>
  <c r="S42" i="13" s="1"/>
  <c r="X40" i="13"/>
  <c r="W40" i="13"/>
  <c r="AB40" i="13" s="1"/>
  <c r="V40" i="13"/>
  <c r="J22" i="13"/>
  <c r="C26" i="14"/>
  <c r="AA22" i="13"/>
  <c r="B47" i="14"/>
  <c r="F46" i="14"/>
  <c r="B47" i="9"/>
  <c r="G46" i="9"/>
  <c r="M42" i="13" l="1"/>
  <c r="AD40" i="13"/>
  <c r="G43" i="13"/>
  <c r="F43" i="13"/>
  <c r="K43" i="13" s="1"/>
  <c r="E43" i="13"/>
  <c r="B48" i="9"/>
  <c r="G47" i="9"/>
  <c r="X41" i="13"/>
  <c r="W41" i="13"/>
  <c r="V41" i="13"/>
  <c r="B48" i="14"/>
  <c r="F47" i="14"/>
  <c r="D26" i="14"/>
  <c r="G26" i="14" s="1"/>
  <c r="T42" i="13"/>
  <c r="U42" i="13" s="1"/>
  <c r="Y42" i="13" s="1"/>
  <c r="D37" i="9"/>
  <c r="F37" i="9" s="1"/>
  <c r="F47" i="8"/>
  <c r="B48" i="8"/>
  <c r="B45" i="13"/>
  <c r="Q44" i="13"/>
  <c r="P44" i="13"/>
  <c r="C44" i="13"/>
  <c r="D44" i="13" s="1"/>
  <c r="H44" i="13" s="1"/>
  <c r="E30" i="8"/>
  <c r="H30" i="8" s="1"/>
  <c r="C31" i="8" s="1"/>
  <c r="R43" i="13"/>
  <c r="S43" i="13" s="1"/>
  <c r="R44" i="13" l="1"/>
  <c r="S44" i="13" s="1"/>
  <c r="T44" i="13" s="1"/>
  <c r="U44" i="13" s="1"/>
  <c r="Y44" i="13" s="1"/>
  <c r="M43" i="13"/>
  <c r="E37" i="12" s="1"/>
  <c r="E39" i="12" s="1"/>
  <c r="X42" i="13"/>
  <c r="W42" i="13"/>
  <c r="AB42" i="13" s="1"/>
  <c r="V42" i="13"/>
  <c r="I23" i="13"/>
  <c r="L23" i="13" s="1"/>
  <c r="Z23" i="13"/>
  <c r="AC23" i="13" s="1"/>
  <c r="G44" i="13"/>
  <c r="F44" i="13"/>
  <c r="K44" i="13" s="1"/>
  <c r="E44" i="13"/>
  <c r="B49" i="14"/>
  <c r="F48" i="14"/>
  <c r="AB41" i="13"/>
  <c r="AD41" i="13" s="1"/>
  <c r="B49" i="9"/>
  <c r="G48" i="9"/>
  <c r="B46" i="13"/>
  <c r="C45" i="13"/>
  <c r="D45" i="13" s="1"/>
  <c r="H45" i="13" s="1"/>
  <c r="Q45" i="13"/>
  <c r="P45" i="13"/>
  <c r="B49" i="8"/>
  <c r="F48" i="8"/>
  <c r="E37" i="9"/>
  <c r="H37" i="9" s="1"/>
  <c r="C38" i="9" s="1"/>
  <c r="D31" i="8"/>
  <c r="G31" i="8" s="1"/>
  <c r="E26" i="14"/>
  <c r="H26" i="14" s="1"/>
  <c r="T43" i="13"/>
  <c r="U43" i="13" s="1"/>
  <c r="Y43" i="13" s="1"/>
  <c r="M44" i="13" l="1"/>
  <c r="E40" i="12"/>
  <c r="AD42" i="13"/>
  <c r="B50" i="14"/>
  <c r="F49" i="14"/>
  <c r="Q46" i="13"/>
  <c r="P46" i="13"/>
  <c r="C46" i="13"/>
  <c r="D46" i="13" s="1"/>
  <c r="H46" i="13" s="1"/>
  <c r="B47" i="13"/>
  <c r="E45" i="13"/>
  <c r="G45" i="13"/>
  <c r="F45" i="13"/>
  <c r="K45" i="13" s="1"/>
  <c r="J23" i="13"/>
  <c r="C27" i="14"/>
  <c r="AA23" i="13"/>
  <c r="B50" i="8"/>
  <c r="F49" i="8"/>
  <c r="E31" i="8"/>
  <c r="H31" i="8" s="1"/>
  <c r="C32" i="8" s="1"/>
  <c r="D38" i="9"/>
  <c r="F38" i="9" s="1"/>
  <c r="R45" i="13"/>
  <c r="S45" i="13" s="1"/>
  <c r="V44" i="13"/>
  <c r="X44" i="13"/>
  <c r="W44" i="13"/>
  <c r="AB44" i="13" s="1"/>
  <c r="X43" i="13"/>
  <c r="W43" i="13"/>
  <c r="AB43" i="13" s="1"/>
  <c r="V43" i="13"/>
  <c r="G49" i="9"/>
  <c r="B50" i="9"/>
  <c r="R46" i="13" l="1"/>
  <c r="S46" i="13" s="1"/>
  <c r="AD43" i="13"/>
  <c r="E55" i="12" s="1"/>
  <c r="E57" i="12" s="1"/>
  <c r="M45" i="13"/>
  <c r="T45" i="13"/>
  <c r="U45" i="13" s="1"/>
  <c r="Y45" i="13" s="1"/>
  <c r="E38" i="9"/>
  <c r="H38" i="9" s="1"/>
  <c r="C39" i="9" s="1"/>
  <c r="D27" i="14"/>
  <c r="G27" i="14" s="1"/>
  <c r="AD44" i="13"/>
  <c r="D32" i="8"/>
  <c r="G32" i="8" s="1"/>
  <c r="Q47" i="13"/>
  <c r="P47" i="13"/>
  <c r="B48" i="13"/>
  <c r="C47" i="13"/>
  <c r="D47" i="13" s="1"/>
  <c r="H47" i="13" s="1"/>
  <c r="B51" i="14"/>
  <c r="F50" i="14"/>
  <c r="G46" i="13"/>
  <c r="F46" i="13"/>
  <c r="K46" i="13" s="1"/>
  <c r="E46" i="13"/>
  <c r="B51" i="8"/>
  <c r="F50" i="8"/>
  <c r="G50" i="9"/>
  <c r="B51" i="9"/>
  <c r="E27" i="14" l="1"/>
  <c r="H27" i="14" s="1"/>
  <c r="C28" i="14" s="1"/>
  <c r="E58" i="12"/>
  <c r="M46" i="13"/>
  <c r="B52" i="8"/>
  <c r="F51" i="8"/>
  <c r="J24" i="13"/>
  <c r="AA24" i="13"/>
  <c r="G47" i="13"/>
  <c r="F47" i="13"/>
  <c r="K47" i="13" s="1"/>
  <c r="E47" i="13"/>
  <c r="I24" i="13"/>
  <c r="L24" i="13" s="1"/>
  <c r="Z24" i="13"/>
  <c r="AC24" i="13" s="1"/>
  <c r="W45" i="13"/>
  <c r="AB45" i="13" s="1"/>
  <c r="V45" i="13"/>
  <c r="X45" i="13"/>
  <c r="T46" i="13"/>
  <c r="U46" i="13" s="1"/>
  <c r="Y46" i="13" s="1"/>
  <c r="C48" i="13"/>
  <c r="D48" i="13" s="1"/>
  <c r="H48" i="13" s="1"/>
  <c r="P48" i="13"/>
  <c r="B49" i="13"/>
  <c r="Q48" i="13"/>
  <c r="D39" i="9"/>
  <c r="F39" i="9" s="1"/>
  <c r="B52" i="9"/>
  <c r="G51" i="9"/>
  <c r="F51" i="14"/>
  <c r="B52" i="14"/>
  <c r="E32" i="8"/>
  <c r="H32" i="8" s="1"/>
  <c r="C33" i="8" s="1"/>
  <c r="R47" i="13"/>
  <c r="S47" i="13" s="1"/>
  <c r="AD45" i="13" l="1"/>
  <c r="M47" i="13"/>
  <c r="F52" i="14"/>
  <c r="B53" i="14"/>
  <c r="E39" i="9"/>
  <c r="H39" i="9" s="1"/>
  <c r="C40" i="9" s="1"/>
  <c r="X46" i="13"/>
  <c r="V46" i="13"/>
  <c r="W46" i="13"/>
  <c r="AB46" i="13" s="1"/>
  <c r="D28" i="14"/>
  <c r="G28" i="14" s="1"/>
  <c r="R48" i="13"/>
  <c r="S48" i="13" s="1"/>
  <c r="B53" i="8"/>
  <c r="F52" i="8"/>
  <c r="B53" i="9"/>
  <c r="G52" i="9"/>
  <c r="T47" i="13"/>
  <c r="U47" i="13" s="1"/>
  <c r="Y47" i="13" s="1"/>
  <c r="F48" i="13"/>
  <c r="K48" i="13" s="1"/>
  <c r="E48" i="13"/>
  <c r="G48" i="13"/>
  <c r="Q49" i="13"/>
  <c r="P49" i="13"/>
  <c r="B50" i="13"/>
  <c r="C49" i="13"/>
  <c r="D49" i="13" s="1"/>
  <c r="H49" i="13" s="1"/>
  <c r="E33" i="8"/>
  <c r="H33" i="8" s="1"/>
  <c r="C34" i="8" s="1"/>
  <c r="D33" i="8"/>
  <c r="G33" i="8" s="1"/>
  <c r="AD46" i="13" l="1"/>
  <c r="M48" i="13"/>
  <c r="P50" i="13"/>
  <c r="B51" i="13"/>
  <c r="C50" i="13"/>
  <c r="D50" i="13" s="1"/>
  <c r="H50" i="13" s="1"/>
  <c r="Q50" i="13"/>
  <c r="R49" i="13"/>
  <c r="S49" i="13" s="1"/>
  <c r="B54" i="9"/>
  <c r="G53" i="9"/>
  <c r="T48" i="13"/>
  <c r="U48" i="13" s="1"/>
  <c r="Y48" i="13" s="1"/>
  <c r="D40" i="9"/>
  <c r="F40" i="9" s="1"/>
  <c r="I25" i="13"/>
  <c r="L25" i="13" s="1"/>
  <c r="Z25" i="13"/>
  <c r="AC25" i="13" s="1"/>
  <c r="F53" i="8"/>
  <c r="B54" i="8"/>
  <c r="F53" i="14"/>
  <c r="B54" i="14"/>
  <c r="E28" i="14"/>
  <c r="H28" i="14" s="1"/>
  <c r="D34" i="8"/>
  <c r="G34" i="8" s="1"/>
  <c r="G49" i="13"/>
  <c r="F49" i="13"/>
  <c r="K49" i="13" s="1"/>
  <c r="E49" i="13"/>
  <c r="X47" i="13"/>
  <c r="W47" i="13"/>
  <c r="AB47" i="13" s="1"/>
  <c r="V47" i="13"/>
  <c r="M49" i="13" l="1"/>
  <c r="AD47" i="13"/>
  <c r="F50" i="13"/>
  <c r="K50" i="13" s="1"/>
  <c r="E50" i="13"/>
  <c r="G50" i="13"/>
  <c r="V48" i="13"/>
  <c r="X48" i="13"/>
  <c r="W48" i="13"/>
  <c r="AB48" i="13" s="1"/>
  <c r="B55" i="14"/>
  <c r="F54" i="14"/>
  <c r="E40" i="9"/>
  <c r="H40" i="9" s="1"/>
  <c r="C41" i="9" s="1"/>
  <c r="C51" i="13"/>
  <c r="D51" i="13" s="1"/>
  <c r="H51" i="13" s="1"/>
  <c r="Q51" i="13"/>
  <c r="B52" i="13"/>
  <c r="P51" i="13"/>
  <c r="E34" i="8"/>
  <c r="H34" i="8" s="1"/>
  <c r="C35" i="8" s="1"/>
  <c r="F54" i="8"/>
  <c r="B55" i="8"/>
  <c r="B55" i="9"/>
  <c r="G54" i="9"/>
  <c r="R50" i="13"/>
  <c r="S50" i="13" s="1"/>
  <c r="T49" i="13"/>
  <c r="U49" i="13" s="1"/>
  <c r="Y49" i="13" s="1"/>
  <c r="J25" i="13"/>
  <c r="C29" i="14"/>
  <c r="AA25" i="13"/>
  <c r="R51" i="13" l="1"/>
  <c r="S51" i="13" s="1"/>
  <c r="T51" i="13" s="1"/>
  <c r="U51" i="13" s="1"/>
  <c r="Y51" i="13" s="1"/>
  <c r="AD48" i="13"/>
  <c r="M50" i="13"/>
  <c r="X49" i="13"/>
  <c r="W49" i="13"/>
  <c r="AB49" i="13" s="1"/>
  <c r="V49" i="13"/>
  <c r="F55" i="8"/>
  <c r="B56" i="8"/>
  <c r="Q52" i="13"/>
  <c r="P52" i="13"/>
  <c r="B53" i="13"/>
  <c r="C52" i="13"/>
  <c r="D52" i="13" s="1"/>
  <c r="H52" i="13" s="1"/>
  <c r="D35" i="8"/>
  <c r="G35" i="8" s="1"/>
  <c r="T50" i="13"/>
  <c r="U50" i="13" s="1"/>
  <c r="Y50" i="13" s="1"/>
  <c r="G51" i="13"/>
  <c r="E51" i="13"/>
  <c r="F51" i="13"/>
  <c r="K51" i="13" s="1"/>
  <c r="B56" i="14"/>
  <c r="F55" i="14"/>
  <c r="D29" i="14"/>
  <c r="G29" i="14" s="1"/>
  <c r="B56" i="9"/>
  <c r="G55" i="9"/>
  <c r="D41" i="9"/>
  <c r="F41" i="9" s="1"/>
  <c r="AD49" i="13" l="1"/>
  <c r="R52" i="13"/>
  <c r="S52" i="13" s="1"/>
  <c r="T52" i="13" s="1"/>
  <c r="U52" i="13" s="1"/>
  <c r="Y52" i="13" s="1"/>
  <c r="M51" i="13"/>
  <c r="G52" i="13"/>
  <c r="F52" i="13"/>
  <c r="K52" i="13" s="1"/>
  <c r="E52" i="13"/>
  <c r="B54" i="13"/>
  <c r="C53" i="13"/>
  <c r="D53" i="13" s="1"/>
  <c r="H53" i="13" s="1"/>
  <c r="Q53" i="13"/>
  <c r="P53" i="13"/>
  <c r="B57" i="8"/>
  <c r="F56" i="8"/>
  <c r="E29" i="14"/>
  <c r="H29" i="14" s="1"/>
  <c r="G56" i="9"/>
  <c r="B57" i="9"/>
  <c r="B57" i="14"/>
  <c r="F56" i="14"/>
  <c r="X50" i="13"/>
  <c r="W50" i="13"/>
  <c r="V50" i="13"/>
  <c r="I26" i="13"/>
  <c r="L26" i="13" s="1"/>
  <c r="Z26" i="13"/>
  <c r="AC26" i="13" s="1"/>
  <c r="E41" i="9"/>
  <c r="H41" i="9" s="1"/>
  <c r="C42" i="9" s="1"/>
  <c r="E35" i="8"/>
  <c r="H35" i="8" s="1"/>
  <c r="C36" i="8" s="1"/>
  <c r="W51" i="13"/>
  <c r="AB51" i="13" s="1"/>
  <c r="X51" i="13"/>
  <c r="V51" i="13"/>
  <c r="R53" i="13" l="1"/>
  <c r="S53" i="13" s="1"/>
  <c r="T53" i="13" s="1"/>
  <c r="U53" i="13" s="1"/>
  <c r="Y53" i="13" s="1"/>
  <c r="M52" i="13"/>
  <c r="J26" i="13"/>
  <c r="C30" i="14"/>
  <c r="AA26" i="13"/>
  <c r="X52" i="13"/>
  <c r="W52" i="13"/>
  <c r="AB52" i="13" s="1"/>
  <c r="V52" i="13"/>
  <c r="D42" i="9"/>
  <c r="F42" i="9" s="1"/>
  <c r="AD51" i="13"/>
  <c r="E53" i="13"/>
  <c r="G53" i="13"/>
  <c r="F53" i="13"/>
  <c r="K53" i="13" s="1"/>
  <c r="B58" i="14"/>
  <c r="F57" i="14"/>
  <c r="B58" i="9"/>
  <c r="G57" i="9"/>
  <c r="AB50" i="13"/>
  <c r="AD50" i="13" s="1"/>
  <c r="Q54" i="13"/>
  <c r="P54" i="13"/>
  <c r="C54" i="13"/>
  <c r="D54" i="13" s="1"/>
  <c r="H54" i="13" s="1"/>
  <c r="B55" i="13"/>
  <c r="D36" i="8"/>
  <c r="G36" i="8" s="1"/>
  <c r="B58" i="8"/>
  <c r="F57" i="8"/>
  <c r="R54" i="13" l="1"/>
  <c r="S54" i="13" s="1"/>
  <c r="T54" i="13" s="1"/>
  <c r="U54" i="13" s="1"/>
  <c r="Y54" i="13" s="1"/>
  <c r="M53" i="13"/>
  <c r="AD52" i="13"/>
  <c r="W53" i="13"/>
  <c r="AB53" i="13" s="1"/>
  <c r="V53" i="13"/>
  <c r="X53" i="13"/>
  <c r="Q55" i="13"/>
  <c r="P55" i="13"/>
  <c r="B56" i="13"/>
  <c r="C55" i="13"/>
  <c r="D55" i="13" s="1"/>
  <c r="H55" i="13" s="1"/>
  <c r="B59" i="14"/>
  <c r="F58" i="14"/>
  <c r="D30" i="14"/>
  <c r="G30" i="14" s="1"/>
  <c r="B59" i="8"/>
  <c r="F58" i="8"/>
  <c r="E36" i="8"/>
  <c r="H36" i="8" s="1"/>
  <c r="C37" i="8" s="1"/>
  <c r="G54" i="13"/>
  <c r="F54" i="13"/>
  <c r="K54" i="13" s="1"/>
  <c r="E54" i="13"/>
  <c r="B59" i="9"/>
  <c r="G58" i="9"/>
  <c r="E42" i="9"/>
  <c r="H42" i="9" s="1"/>
  <c r="C43" i="9" s="1"/>
  <c r="AD53" i="13" l="1"/>
  <c r="I27" i="13"/>
  <c r="L27" i="13" s="1"/>
  <c r="Z27" i="13"/>
  <c r="AC27" i="13" s="1"/>
  <c r="B60" i="9"/>
  <c r="G59" i="9"/>
  <c r="G55" i="13"/>
  <c r="F55" i="13"/>
  <c r="K55" i="13" s="1"/>
  <c r="E55" i="13"/>
  <c r="E30" i="14"/>
  <c r="H30" i="14" s="1"/>
  <c r="M54" i="13"/>
  <c r="C56" i="13"/>
  <c r="D56" i="13" s="1"/>
  <c r="H56" i="13" s="1"/>
  <c r="P56" i="13"/>
  <c r="B57" i="13"/>
  <c r="Q56" i="13"/>
  <c r="X54" i="13"/>
  <c r="V54" i="13"/>
  <c r="W54" i="13"/>
  <c r="AB54" i="13" s="1"/>
  <c r="R55" i="13"/>
  <c r="S55" i="13" s="1"/>
  <c r="E37" i="8"/>
  <c r="H37" i="8" s="1"/>
  <c r="C38" i="8" s="1"/>
  <c r="D37" i="8"/>
  <c r="G37" i="8" s="1"/>
  <c r="D43" i="9"/>
  <c r="F43" i="9" s="1"/>
  <c r="B60" i="8"/>
  <c r="F59" i="8"/>
  <c r="F59" i="14"/>
  <c r="B60" i="14"/>
  <c r="R56" i="13" l="1"/>
  <c r="AD54" i="13"/>
  <c r="M55" i="13"/>
  <c r="F37" i="12" s="1"/>
  <c r="F39" i="12" s="1"/>
  <c r="T55" i="13"/>
  <c r="U55" i="13" s="1"/>
  <c r="Y55" i="13" s="1"/>
  <c r="B61" i="8"/>
  <c r="F60" i="8"/>
  <c r="F60" i="14"/>
  <c r="B61" i="14"/>
  <c r="S56" i="13"/>
  <c r="D38" i="8"/>
  <c r="G38" i="8" s="1"/>
  <c r="E38" i="8"/>
  <c r="H38" i="8" s="1"/>
  <c r="C39" i="8" s="1"/>
  <c r="Q57" i="13"/>
  <c r="P57" i="13"/>
  <c r="B58" i="13"/>
  <c r="C57" i="13"/>
  <c r="D57" i="13" s="1"/>
  <c r="H57" i="13" s="1"/>
  <c r="F56" i="13"/>
  <c r="E56" i="13"/>
  <c r="G56" i="13"/>
  <c r="E43" i="9"/>
  <c r="H43" i="9" s="1"/>
  <c r="C44" i="9" s="1"/>
  <c r="G60" i="9"/>
  <c r="B61" i="9"/>
  <c r="J27" i="13"/>
  <c r="C31" i="14"/>
  <c r="AA27" i="13"/>
  <c r="R57" i="13" l="1"/>
  <c r="S57" i="13" s="1"/>
  <c r="F40" i="12"/>
  <c r="K56" i="13"/>
  <c r="M56" i="13" s="1"/>
  <c r="X55" i="13"/>
  <c r="W55" i="13"/>
  <c r="AB55" i="13" s="1"/>
  <c r="V55" i="13"/>
  <c r="D39" i="8"/>
  <c r="G39" i="8" s="1"/>
  <c r="D44" i="9"/>
  <c r="F44" i="9" s="1"/>
  <c r="E44" i="9"/>
  <c r="H44" i="9" s="1"/>
  <c r="C45" i="9" s="1"/>
  <c r="F61" i="14"/>
  <c r="B62" i="14"/>
  <c r="P58" i="13"/>
  <c r="B59" i="13"/>
  <c r="C58" i="13"/>
  <c r="D58" i="13" s="1"/>
  <c r="H58" i="13" s="1"/>
  <c r="Q58" i="13"/>
  <c r="T56" i="13"/>
  <c r="U56" i="13" s="1"/>
  <c r="Y56" i="13" s="1"/>
  <c r="D31" i="14"/>
  <c r="G31" i="14" s="1"/>
  <c r="F61" i="8"/>
  <c r="B62" i="8"/>
  <c r="G57" i="13"/>
  <c r="F57" i="13"/>
  <c r="K57" i="13" s="1"/>
  <c r="E57" i="13"/>
  <c r="G61" i="9"/>
  <c r="B62" i="9"/>
  <c r="R58" i="13" l="1"/>
  <c r="S58" i="13" s="1"/>
  <c r="M57" i="13"/>
  <c r="AD55" i="13"/>
  <c r="F55" i="12" s="1"/>
  <c r="C59" i="13"/>
  <c r="D59" i="13" s="1"/>
  <c r="H59" i="13" s="1"/>
  <c r="Q59" i="13"/>
  <c r="B60" i="13"/>
  <c r="P59" i="13"/>
  <c r="E45" i="9"/>
  <c r="H45" i="9" s="1"/>
  <c r="C46" i="9" s="1"/>
  <c r="D45" i="9"/>
  <c r="F45" i="9" s="1"/>
  <c r="F62" i="8"/>
  <c r="B63" i="8"/>
  <c r="E31" i="14"/>
  <c r="H31" i="14" s="1"/>
  <c r="B63" i="14"/>
  <c r="F62" i="14"/>
  <c r="B63" i="9"/>
  <c r="G62" i="9"/>
  <c r="I28" i="13"/>
  <c r="L28" i="13" s="1"/>
  <c r="Z28" i="13"/>
  <c r="AC28" i="13" s="1"/>
  <c r="V56" i="13"/>
  <c r="X56" i="13"/>
  <c r="W56" i="13"/>
  <c r="E39" i="8"/>
  <c r="H39" i="8" s="1"/>
  <c r="C40" i="8" s="1"/>
  <c r="T57" i="13"/>
  <c r="U57" i="13" s="1"/>
  <c r="Y57" i="13" s="1"/>
  <c r="F58" i="13"/>
  <c r="K58" i="13" s="1"/>
  <c r="E58" i="13"/>
  <c r="G58" i="13"/>
  <c r="R59" i="13" l="1"/>
  <c r="S59" i="13" s="1"/>
  <c r="T59" i="13" s="1"/>
  <c r="U59" i="13" s="1"/>
  <c r="Y59" i="13" s="1"/>
  <c r="F63" i="8"/>
  <c r="B64" i="8"/>
  <c r="X57" i="13"/>
  <c r="W57" i="13"/>
  <c r="AB57" i="13" s="1"/>
  <c r="V57" i="13"/>
  <c r="AB56" i="13"/>
  <c r="AD56" i="13" s="1"/>
  <c r="D46" i="9"/>
  <c r="F46" i="9" s="1"/>
  <c r="B64" i="9"/>
  <c r="G63" i="9"/>
  <c r="B64" i="14"/>
  <c r="F63" i="14"/>
  <c r="D40" i="8"/>
  <c r="G40" i="8" s="1"/>
  <c r="M58" i="13"/>
  <c r="Q60" i="13"/>
  <c r="P60" i="13"/>
  <c r="B61" i="13"/>
  <c r="C60" i="13"/>
  <c r="D60" i="13" s="1"/>
  <c r="H60" i="13" s="1"/>
  <c r="G59" i="13"/>
  <c r="E59" i="13"/>
  <c r="F59" i="13"/>
  <c r="K59" i="13" s="1"/>
  <c r="T58" i="13"/>
  <c r="U58" i="13" s="1"/>
  <c r="Y58" i="13" s="1"/>
  <c r="J28" i="13"/>
  <c r="C32" i="14"/>
  <c r="AA28" i="13"/>
  <c r="F57" i="12"/>
  <c r="F58" i="12"/>
  <c r="R60" i="13" l="1"/>
  <c r="S60" i="13" s="1"/>
  <c r="T60" i="13" s="1"/>
  <c r="U60" i="13" s="1"/>
  <c r="Y60" i="13" s="1"/>
  <c r="M59" i="13"/>
  <c r="X58" i="13"/>
  <c r="W58" i="13"/>
  <c r="AB58" i="13" s="1"/>
  <c r="V58" i="13"/>
  <c r="W59" i="13"/>
  <c r="AB59" i="13" s="1"/>
  <c r="V59" i="13"/>
  <c r="X59" i="13"/>
  <c r="E46" i="9"/>
  <c r="H46" i="9" s="1"/>
  <c r="C47" i="9" s="1"/>
  <c r="E40" i="8"/>
  <c r="H40" i="8" s="1"/>
  <c r="C41" i="8" s="1"/>
  <c r="AD57" i="13"/>
  <c r="D32" i="14"/>
  <c r="G32" i="14" s="1"/>
  <c r="B65" i="14"/>
  <c r="F64" i="14"/>
  <c r="G60" i="13"/>
  <c r="F60" i="13"/>
  <c r="K60" i="13" s="1"/>
  <c r="E60" i="13"/>
  <c r="B62" i="13"/>
  <c r="C61" i="13"/>
  <c r="D61" i="13" s="1"/>
  <c r="H61" i="13" s="1"/>
  <c r="Q61" i="13"/>
  <c r="P61" i="13"/>
  <c r="G64" i="9"/>
  <c r="B65" i="9"/>
  <c r="B65" i="8"/>
  <c r="F64" i="8"/>
  <c r="R61" i="13" l="1"/>
  <c r="S61" i="13" s="1"/>
  <c r="T61" i="13" s="1"/>
  <c r="U61" i="13" s="1"/>
  <c r="Y61" i="13" s="1"/>
  <c r="M60" i="13"/>
  <c r="AD59" i="13"/>
  <c r="X60" i="13"/>
  <c r="W60" i="13"/>
  <c r="AB60" i="13" s="1"/>
  <c r="V60" i="13"/>
  <c r="AD58" i="13"/>
  <c r="E41" i="8"/>
  <c r="H41" i="8" s="1"/>
  <c r="C42" i="8" s="1"/>
  <c r="D41" i="8"/>
  <c r="G41" i="8" s="1"/>
  <c r="D47" i="9"/>
  <c r="F47" i="9" s="1"/>
  <c r="B66" i="14"/>
  <c r="F65" i="14"/>
  <c r="B66" i="8"/>
  <c r="F65" i="8"/>
  <c r="B66" i="9"/>
  <c r="G65" i="9"/>
  <c r="Q62" i="13"/>
  <c r="P62" i="13"/>
  <c r="C62" i="13"/>
  <c r="D62" i="13" s="1"/>
  <c r="H62" i="13" s="1"/>
  <c r="B63" i="13"/>
  <c r="E32" i="14"/>
  <c r="H32" i="14" s="1"/>
  <c r="E61" i="13"/>
  <c r="G61" i="13"/>
  <c r="F61" i="13"/>
  <c r="K61" i="13" s="1"/>
  <c r="I29" i="13"/>
  <c r="L29" i="13" s="1"/>
  <c r="Z29" i="13"/>
  <c r="AC29" i="13" s="1"/>
  <c r="R62" i="13" l="1"/>
  <c r="S62" i="13" s="1"/>
  <c r="T62" i="13" s="1"/>
  <c r="U62" i="13" s="1"/>
  <c r="Y62" i="13" s="1"/>
  <c r="AD60" i="13"/>
  <c r="M61" i="13"/>
  <c r="E47" i="9"/>
  <c r="H47" i="9" s="1"/>
  <c r="C48" i="9" s="1"/>
  <c r="W61" i="13"/>
  <c r="AB61" i="13" s="1"/>
  <c r="V61" i="13"/>
  <c r="X61" i="13"/>
  <c r="Q63" i="13"/>
  <c r="P63" i="13"/>
  <c r="B64" i="13"/>
  <c r="C63" i="13"/>
  <c r="D63" i="13" s="1"/>
  <c r="H63" i="13" s="1"/>
  <c r="E42" i="8"/>
  <c r="D42" i="8"/>
  <c r="G42" i="8" s="1"/>
  <c r="G62" i="13"/>
  <c r="F62" i="13"/>
  <c r="K62" i="13" s="1"/>
  <c r="E62" i="13"/>
  <c r="B67" i="14"/>
  <c r="F66" i="14"/>
  <c r="J29" i="13"/>
  <c r="AA29" i="13"/>
  <c r="C33" i="14"/>
  <c r="B67" i="9"/>
  <c r="G66" i="9"/>
  <c r="B67" i="8"/>
  <c r="F66" i="8"/>
  <c r="AD61" i="13" l="1"/>
  <c r="G63" i="13"/>
  <c r="F63" i="13"/>
  <c r="K63" i="13" s="1"/>
  <c r="E63" i="13"/>
  <c r="B68" i="8"/>
  <c r="F67" i="8"/>
  <c r="M62" i="13"/>
  <c r="C64" i="13"/>
  <c r="D64" i="13" s="1"/>
  <c r="H64" i="13" s="1"/>
  <c r="P64" i="13"/>
  <c r="B65" i="13"/>
  <c r="Q64" i="13"/>
  <c r="H42" i="8"/>
  <c r="C43" i="8" s="1"/>
  <c r="R63" i="13"/>
  <c r="S63" i="13" s="1"/>
  <c r="X62" i="13"/>
  <c r="V62" i="13"/>
  <c r="W62" i="13"/>
  <c r="AB62" i="13" s="1"/>
  <c r="B68" i="9"/>
  <c r="G67" i="9"/>
  <c r="F67" i="14"/>
  <c r="B68" i="14"/>
  <c r="E48" i="9"/>
  <c r="H48" i="9" s="1"/>
  <c r="C49" i="9" s="1"/>
  <c r="D48" i="9"/>
  <c r="F48" i="9" s="1"/>
  <c r="D33" i="14"/>
  <c r="G33" i="14" s="1"/>
  <c r="R64" i="13" l="1"/>
  <c r="S64" i="13" s="1"/>
  <c r="M63" i="13"/>
  <c r="AD62" i="13"/>
  <c r="I30" i="13"/>
  <c r="L30" i="13" s="1"/>
  <c r="Z30" i="13"/>
  <c r="AC30" i="13" s="1"/>
  <c r="D43" i="8"/>
  <c r="G43" i="8" s="1"/>
  <c r="E43" i="8"/>
  <c r="H43" i="8" s="1"/>
  <c r="C44" i="8" s="1"/>
  <c r="E33" i="14"/>
  <c r="H33" i="14" s="1"/>
  <c r="T63" i="13"/>
  <c r="U63" i="13" s="1"/>
  <c r="Y63" i="13" s="1"/>
  <c r="B69" i="8"/>
  <c r="F68" i="8"/>
  <c r="Q65" i="13"/>
  <c r="P65" i="13"/>
  <c r="R65" i="13" s="1"/>
  <c r="B66" i="13"/>
  <c r="C65" i="13"/>
  <c r="D65" i="13" s="1"/>
  <c r="H65" i="13" s="1"/>
  <c r="G68" i="9"/>
  <c r="B69" i="9"/>
  <c r="F64" i="13"/>
  <c r="K64" i="13" s="1"/>
  <c r="G64" i="13"/>
  <c r="E64" i="13"/>
  <c r="D49" i="9"/>
  <c r="F49" i="9" s="1"/>
  <c r="E49" i="9"/>
  <c r="H49" i="9" s="1"/>
  <c r="C50" i="9" s="1"/>
  <c r="F68" i="14"/>
  <c r="B69" i="14"/>
  <c r="M64" i="13" l="1"/>
  <c r="D50" i="9"/>
  <c r="F50" i="9" s="1"/>
  <c r="T64" i="13"/>
  <c r="U64" i="13" s="1"/>
  <c r="Y64" i="13" s="1"/>
  <c r="F69" i="8"/>
  <c r="B70" i="8"/>
  <c r="J30" i="13"/>
  <c r="C34" i="14"/>
  <c r="AA30" i="13"/>
  <c r="D44" i="8"/>
  <c r="G44" i="8" s="1"/>
  <c r="F69" i="14"/>
  <c r="B70" i="14"/>
  <c r="P66" i="13"/>
  <c r="B67" i="13"/>
  <c r="C66" i="13"/>
  <c r="D66" i="13" s="1"/>
  <c r="H66" i="13" s="1"/>
  <c r="Q66" i="13"/>
  <c r="G65" i="13"/>
  <c r="F65" i="13"/>
  <c r="K65" i="13" s="1"/>
  <c r="E65" i="13"/>
  <c r="G69" i="9"/>
  <c r="B70" i="9"/>
  <c r="S65" i="13"/>
  <c r="X63" i="13"/>
  <c r="W63" i="13"/>
  <c r="V63" i="13"/>
  <c r="M65" i="13" l="1"/>
  <c r="B71" i="14"/>
  <c r="F70" i="14"/>
  <c r="B71" i="9"/>
  <c r="G70" i="9"/>
  <c r="T65" i="13"/>
  <c r="U65" i="13" s="1"/>
  <c r="Y65" i="13" s="1"/>
  <c r="V64" i="13"/>
  <c r="X64" i="13"/>
  <c r="W64" i="13"/>
  <c r="AB64" i="13" s="1"/>
  <c r="D34" i="14"/>
  <c r="G34" i="14" s="1"/>
  <c r="C67" i="13"/>
  <c r="D67" i="13" s="1"/>
  <c r="H67" i="13" s="1"/>
  <c r="Q67" i="13"/>
  <c r="B68" i="13"/>
  <c r="P67" i="13"/>
  <c r="F66" i="13"/>
  <c r="K66" i="13" s="1"/>
  <c r="E66" i="13"/>
  <c r="G66" i="13"/>
  <c r="E50" i="9"/>
  <c r="H50" i="9" s="1"/>
  <c r="C51" i="9" s="1"/>
  <c r="F70" i="8"/>
  <c r="B71" i="8"/>
  <c r="AB63" i="13"/>
  <c r="AD63" i="13" s="1"/>
  <c r="R66" i="13"/>
  <c r="S66" i="13" s="1"/>
  <c r="E44" i="8"/>
  <c r="H44" i="8" s="1"/>
  <c r="C45" i="8" s="1"/>
  <c r="E34" i="14" l="1"/>
  <c r="H34" i="14" s="1"/>
  <c r="J31" i="13" s="1"/>
  <c r="R67" i="13"/>
  <c r="S67" i="13" s="1"/>
  <c r="T67" i="13" s="1"/>
  <c r="U67" i="13" s="1"/>
  <c r="Y67" i="13" s="1"/>
  <c r="M66" i="13"/>
  <c r="AD64" i="13"/>
  <c r="G67" i="13"/>
  <c r="E67" i="13"/>
  <c r="F67" i="13"/>
  <c r="K67" i="13" s="1"/>
  <c r="F71" i="8"/>
  <c r="B72" i="8"/>
  <c r="AA31" i="13"/>
  <c r="C35" i="14"/>
  <c r="B72" i="9"/>
  <c r="G71" i="9"/>
  <c r="B72" i="14"/>
  <c r="F71" i="14"/>
  <c r="D51" i="9"/>
  <c r="F51" i="9" s="1"/>
  <c r="I31" i="13"/>
  <c r="L31" i="13" s="1"/>
  <c r="D44" i="12" s="1"/>
  <c r="Z31" i="13"/>
  <c r="AC31" i="13" s="1"/>
  <c r="D62" i="12" s="1"/>
  <c r="X65" i="13"/>
  <c r="W65" i="13"/>
  <c r="AB65" i="13" s="1"/>
  <c r="V65" i="13"/>
  <c r="Q68" i="13"/>
  <c r="P68" i="13"/>
  <c r="B69" i="13"/>
  <c r="C68" i="13"/>
  <c r="D68" i="13" s="1"/>
  <c r="H68" i="13" s="1"/>
  <c r="D45" i="8"/>
  <c r="G45" i="8" s="1"/>
  <c r="T66" i="13"/>
  <c r="U66" i="13" s="1"/>
  <c r="Y66" i="13" s="1"/>
  <c r="M67" i="13" l="1"/>
  <c r="G37" i="12" s="1"/>
  <c r="G39" i="12" s="1"/>
  <c r="B73" i="9"/>
  <c r="G72" i="9"/>
  <c r="X66" i="13"/>
  <c r="W66" i="13"/>
  <c r="AB66" i="13" s="1"/>
  <c r="V66" i="13"/>
  <c r="D46" i="12"/>
  <c r="D47" i="12"/>
  <c r="D35" i="14"/>
  <c r="G35" i="14" s="1"/>
  <c r="W67" i="13"/>
  <c r="X67" i="13"/>
  <c r="V67" i="13"/>
  <c r="G68" i="13"/>
  <c r="F68" i="13"/>
  <c r="K68" i="13" s="1"/>
  <c r="E68" i="13"/>
  <c r="B73" i="14"/>
  <c r="F72" i="14"/>
  <c r="B70" i="13"/>
  <c r="C69" i="13"/>
  <c r="D69" i="13" s="1"/>
  <c r="H69" i="13" s="1"/>
  <c r="Q69" i="13"/>
  <c r="P69" i="13"/>
  <c r="AD65" i="13"/>
  <c r="E51" i="9"/>
  <c r="H51" i="9" s="1"/>
  <c r="C52" i="9" s="1"/>
  <c r="D65" i="12"/>
  <c r="D64" i="12"/>
  <c r="E45" i="8"/>
  <c r="H45" i="8" s="1"/>
  <c r="C46" i="8" s="1"/>
  <c r="R68" i="13"/>
  <c r="S68" i="13" s="1"/>
  <c r="B73" i="8"/>
  <c r="F72" i="8"/>
  <c r="G40" i="12" l="1"/>
  <c r="E35" i="14"/>
  <c r="H35" i="14" s="1"/>
  <c r="J32" i="13" s="1"/>
  <c r="AD66" i="13"/>
  <c r="D52" i="9"/>
  <c r="F52" i="9" s="1"/>
  <c r="M68" i="13"/>
  <c r="G73" i="9"/>
  <c r="B74" i="9"/>
  <c r="AB67" i="13"/>
  <c r="AD67" i="13" s="1"/>
  <c r="B74" i="8"/>
  <c r="F73" i="8"/>
  <c r="R69" i="13"/>
  <c r="S69" i="13" s="1"/>
  <c r="B74" i="14"/>
  <c r="F73" i="14"/>
  <c r="T68" i="13"/>
  <c r="U68" i="13" s="1"/>
  <c r="Y68" i="13" s="1"/>
  <c r="E69" i="13"/>
  <c r="G69" i="13"/>
  <c r="F69" i="13"/>
  <c r="K69" i="13" s="1"/>
  <c r="I32" i="13"/>
  <c r="L32" i="13" s="1"/>
  <c r="Z32" i="13"/>
  <c r="AC32" i="13" s="1"/>
  <c r="D46" i="8"/>
  <c r="G46" i="8" s="1"/>
  <c r="Q70" i="13"/>
  <c r="P70" i="13"/>
  <c r="C70" i="13"/>
  <c r="D70" i="13" s="1"/>
  <c r="H70" i="13" s="1"/>
  <c r="B71" i="13"/>
  <c r="U64" i="12"/>
  <c r="R70" i="13" l="1"/>
  <c r="S70" i="13" s="1"/>
  <c r="T70" i="13" s="1"/>
  <c r="U70" i="13" s="1"/>
  <c r="Y70" i="13" s="1"/>
  <c r="AA32" i="13"/>
  <c r="C36" i="14"/>
  <c r="D36" i="14" s="1"/>
  <c r="G36" i="14" s="1"/>
  <c r="G55" i="12"/>
  <c r="G57" i="12" s="1"/>
  <c r="M69" i="13"/>
  <c r="T69" i="13"/>
  <c r="U69" i="13" s="1"/>
  <c r="Y69" i="13" s="1"/>
  <c r="E46" i="8"/>
  <c r="H46" i="8" s="1"/>
  <c r="C47" i="8" s="1"/>
  <c r="B75" i="9"/>
  <c r="G74" i="9"/>
  <c r="E52" i="9"/>
  <c r="H52" i="9" s="1"/>
  <c r="C53" i="9" s="1"/>
  <c r="B75" i="14"/>
  <c r="F74" i="14"/>
  <c r="B75" i="8"/>
  <c r="F74" i="8"/>
  <c r="Q71" i="13"/>
  <c r="P71" i="13"/>
  <c r="B72" i="13"/>
  <c r="C71" i="13"/>
  <c r="D71" i="13" s="1"/>
  <c r="H71" i="13" s="1"/>
  <c r="X68" i="13"/>
  <c r="W68" i="13"/>
  <c r="AB68" i="13" s="1"/>
  <c r="V68" i="13"/>
  <c r="G70" i="13"/>
  <c r="F70" i="13"/>
  <c r="K70" i="13" s="1"/>
  <c r="E70" i="13"/>
  <c r="E36" i="14" l="1"/>
  <c r="H36" i="14" s="1"/>
  <c r="J33" i="13" s="1"/>
  <c r="M70" i="13"/>
  <c r="R71" i="13"/>
  <c r="S71" i="13" s="1"/>
  <c r="T71" i="13" s="1"/>
  <c r="U71" i="13" s="1"/>
  <c r="Y71" i="13" s="1"/>
  <c r="G58" i="12"/>
  <c r="AD68" i="13"/>
  <c r="X70" i="13"/>
  <c r="V70" i="13"/>
  <c r="W70" i="13"/>
  <c r="AB70" i="13" s="1"/>
  <c r="D47" i="8"/>
  <c r="G47" i="8" s="1"/>
  <c r="B76" i="8"/>
  <c r="F75" i="8"/>
  <c r="AA33" i="13"/>
  <c r="W69" i="13"/>
  <c r="V69" i="13"/>
  <c r="X69" i="13"/>
  <c r="G71" i="13"/>
  <c r="F71" i="13"/>
  <c r="E71" i="13"/>
  <c r="I33" i="13"/>
  <c r="L33" i="13" s="1"/>
  <c r="Z33" i="13"/>
  <c r="AC33" i="13" s="1"/>
  <c r="F75" i="14"/>
  <c r="B76" i="14"/>
  <c r="D53" i="9"/>
  <c r="F53" i="9" s="1"/>
  <c r="C72" i="13"/>
  <c r="D72" i="13" s="1"/>
  <c r="H72" i="13" s="1"/>
  <c r="Q72" i="13"/>
  <c r="P72" i="13"/>
  <c r="B73" i="13"/>
  <c r="B76" i="9"/>
  <c r="G75" i="9"/>
  <c r="C37" i="14" l="1"/>
  <c r="D37" i="14" s="1"/>
  <c r="G37" i="14" s="1"/>
  <c r="R72" i="13"/>
  <c r="S72" i="13" s="1"/>
  <c r="T72" i="13" s="1"/>
  <c r="U72" i="13" s="1"/>
  <c r="Y72" i="13" s="1"/>
  <c r="B77" i="8"/>
  <c r="F76" i="8"/>
  <c r="AD70" i="13"/>
  <c r="F76" i="14"/>
  <c r="B77" i="14"/>
  <c r="K71" i="13"/>
  <c r="M71" i="13" s="1"/>
  <c r="AB69" i="13"/>
  <c r="AD69" i="13" s="1"/>
  <c r="E47" i="8"/>
  <c r="H47" i="8" s="1"/>
  <c r="C48" i="8" s="1"/>
  <c r="Q73" i="13"/>
  <c r="P73" i="13"/>
  <c r="B74" i="13"/>
  <c r="C73" i="13"/>
  <c r="D73" i="13" s="1"/>
  <c r="H73" i="13" s="1"/>
  <c r="X71" i="13"/>
  <c r="W71" i="13"/>
  <c r="AB71" i="13" s="1"/>
  <c r="V71" i="13"/>
  <c r="B77" i="9"/>
  <c r="G76" i="9"/>
  <c r="E53" i="9"/>
  <c r="H53" i="9" s="1"/>
  <c r="C54" i="9" s="1"/>
  <c r="G72" i="13"/>
  <c r="F72" i="13"/>
  <c r="K72" i="13" s="1"/>
  <c r="E72" i="13"/>
  <c r="R73" i="13" l="1"/>
  <c r="S73" i="13" s="1"/>
  <c r="T73" i="13" s="1"/>
  <c r="U73" i="13" s="1"/>
  <c r="Y73" i="13" s="1"/>
  <c r="M72" i="13"/>
  <c r="AD71" i="13"/>
  <c r="F77" i="8"/>
  <c r="B78" i="8"/>
  <c r="D54" i="9"/>
  <c r="F54" i="9" s="1"/>
  <c r="V72" i="13"/>
  <c r="X72" i="13"/>
  <c r="W72" i="13"/>
  <c r="AB72" i="13" s="1"/>
  <c r="I34" i="13"/>
  <c r="L34" i="13" s="1"/>
  <c r="Z34" i="13"/>
  <c r="AC34" i="13" s="1"/>
  <c r="G73" i="13"/>
  <c r="F73" i="13"/>
  <c r="K73" i="13" s="1"/>
  <c r="E73" i="13"/>
  <c r="G77" i="9"/>
  <c r="B78" i="9"/>
  <c r="E37" i="14"/>
  <c r="H37" i="14" s="1"/>
  <c r="E48" i="8"/>
  <c r="D48" i="8"/>
  <c r="G48" i="8" s="1"/>
  <c r="P74" i="13"/>
  <c r="B75" i="13"/>
  <c r="C74" i="13"/>
  <c r="D74" i="13" s="1"/>
  <c r="H74" i="13" s="1"/>
  <c r="Q74" i="13"/>
  <c r="F77" i="14"/>
  <c r="B78" i="14"/>
  <c r="AD72" i="13" l="1"/>
  <c r="M73" i="13"/>
  <c r="F78" i="8"/>
  <c r="B79" i="8"/>
  <c r="X73" i="13"/>
  <c r="W73" i="13"/>
  <c r="AB73" i="13" s="1"/>
  <c r="V73" i="13"/>
  <c r="B79" i="14"/>
  <c r="F78" i="14"/>
  <c r="H48" i="8"/>
  <c r="C49" i="8" s="1"/>
  <c r="F74" i="13"/>
  <c r="K74" i="13" s="1"/>
  <c r="E74" i="13"/>
  <c r="G74" i="13"/>
  <c r="C75" i="13"/>
  <c r="D75" i="13" s="1"/>
  <c r="H75" i="13" s="1"/>
  <c r="Q75" i="13"/>
  <c r="P75" i="13"/>
  <c r="B76" i="13"/>
  <c r="J34" i="13"/>
  <c r="AA34" i="13"/>
  <c r="C38" i="14"/>
  <c r="R74" i="13"/>
  <c r="S74" i="13" s="1"/>
  <c r="B79" i="9"/>
  <c r="G78" i="9"/>
  <c r="E54" i="9"/>
  <c r="H54" i="9" s="1"/>
  <c r="C55" i="9" s="1"/>
  <c r="M74" i="13" l="1"/>
  <c r="R75" i="13"/>
  <c r="S75" i="13" s="1"/>
  <c r="AD73" i="13"/>
  <c r="G75" i="13"/>
  <c r="F75" i="13"/>
  <c r="E75" i="13"/>
  <c r="Q76" i="13"/>
  <c r="P76" i="13"/>
  <c r="B77" i="13"/>
  <c r="C76" i="13"/>
  <c r="D76" i="13" s="1"/>
  <c r="H76" i="13" s="1"/>
  <c r="B80" i="9"/>
  <c r="G79" i="9"/>
  <c r="B80" i="14"/>
  <c r="F79" i="14"/>
  <c r="D38" i="14"/>
  <c r="G38" i="14" s="1"/>
  <c r="F79" i="8"/>
  <c r="B80" i="8"/>
  <c r="D49" i="8"/>
  <c r="G49" i="8" s="1"/>
  <c r="E49" i="8"/>
  <c r="H49" i="8" s="1"/>
  <c r="C50" i="8" s="1"/>
  <c r="D55" i="9"/>
  <c r="F55" i="9" s="1"/>
  <c r="T74" i="13"/>
  <c r="U74" i="13" s="1"/>
  <c r="Y74" i="13" s="1"/>
  <c r="R76" i="13" l="1"/>
  <c r="S76" i="13" s="1"/>
  <c r="T76" i="13" s="1"/>
  <c r="U76" i="13" s="1"/>
  <c r="Y76" i="13" s="1"/>
  <c r="B81" i="14"/>
  <c r="F80" i="14"/>
  <c r="B81" i="8"/>
  <c r="F80" i="8"/>
  <c r="I35" i="13"/>
  <c r="L35" i="13" s="1"/>
  <c r="Z35" i="13"/>
  <c r="AC35" i="13" s="1"/>
  <c r="K75" i="13"/>
  <c r="M75" i="13" s="1"/>
  <c r="G76" i="13"/>
  <c r="F76" i="13"/>
  <c r="E76" i="13"/>
  <c r="X74" i="13"/>
  <c r="W74" i="13"/>
  <c r="AB74" i="13" s="1"/>
  <c r="V74" i="13"/>
  <c r="T75" i="13"/>
  <c r="U75" i="13" s="1"/>
  <c r="Y75" i="13" s="1"/>
  <c r="D50" i="8"/>
  <c r="G50" i="8" s="1"/>
  <c r="E38" i="14"/>
  <c r="H38" i="14" s="1"/>
  <c r="B78" i="13"/>
  <c r="C77" i="13"/>
  <c r="D77" i="13" s="1"/>
  <c r="H77" i="13" s="1"/>
  <c r="Q77" i="13"/>
  <c r="P77" i="13"/>
  <c r="E55" i="9"/>
  <c r="H55" i="9" s="1"/>
  <c r="C56" i="9" s="1"/>
  <c r="B81" i="9"/>
  <c r="G80" i="9"/>
  <c r="R77" i="13" l="1"/>
  <c r="S77" i="13" s="1"/>
  <c r="T77" i="13" s="1"/>
  <c r="U77" i="13" s="1"/>
  <c r="Y77" i="13" s="1"/>
  <c r="D56" i="9"/>
  <c r="F56" i="9" s="1"/>
  <c r="E50" i="8"/>
  <c r="H50" i="8" s="1"/>
  <c r="C51" i="8" s="1"/>
  <c r="AD74" i="13"/>
  <c r="X75" i="13"/>
  <c r="W75" i="13"/>
  <c r="AB75" i="13" s="1"/>
  <c r="V75" i="13"/>
  <c r="K76" i="13"/>
  <c r="M76" i="13" s="1"/>
  <c r="E77" i="13"/>
  <c r="G77" i="13"/>
  <c r="F77" i="13"/>
  <c r="X76" i="13"/>
  <c r="W76" i="13"/>
  <c r="AB76" i="13" s="1"/>
  <c r="V76" i="13"/>
  <c r="B82" i="14"/>
  <c r="F81" i="14"/>
  <c r="G81" i="9"/>
  <c r="B82" i="9"/>
  <c r="Q78" i="13"/>
  <c r="P78" i="13"/>
  <c r="B79" i="13"/>
  <c r="C78" i="13"/>
  <c r="D78" i="13" s="1"/>
  <c r="H78" i="13" s="1"/>
  <c r="J35" i="13"/>
  <c r="AA35" i="13"/>
  <c r="C39" i="14"/>
  <c r="B82" i="8"/>
  <c r="F81" i="8"/>
  <c r="R78" i="13" l="1"/>
  <c r="S78" i="13" s="1"/>
  <c r="T78" i="13" s="1"/>
  <c r="U78" i="13" s="1"/>
  <c r="Y78" i="13" s="1"/>
  <c r="AD75" i="13"/>
  <c r="AD76" i="13"/>
  <c r="B83" i="14"/>
  <c r="F82" i="14"/>
  <c r="G78" i="13"/>
  <c r="F78" i="13"/>
  <c r="K78" i="13" s="1"/>
  <c r="E78" i="13"/>
  <c r="D39" i="14"/>
  <c r="G39" i="14" s="1"/>
  <c r="E56" i="9"/>
  <c r="H56" i="9" s="1"/>
  <c r="C57" i="9" s="1"/>
  <c r="K77" i="13"/>
  <c r="M77" i="13" s="1"/>
  <c r="W77" i="13"/>
  <c r="AB77" i="13" s="1"/>
  <c r="V77" i="13"/>
  <c r="X77" i="13"/>
  <c r="Q79" i="13"/>
  <c r="P79" i="13"/>
  <c r="B80" i="13"/>
  <c r="C79" i="13"/>
  <c r="D79" i="13" s="1"/>
  <c r="H79" i="13" s="1"/>
  <c r="B83" i="9"/>
  <c r="G82" i="9"/>
  <c r="B83" i="8"/>
  <c r="F82" i="8"/>
  <c r="D51" i="8"/>
  <c r="G51" i="8" s="1"/>
  <c r="E39" i="14" l="1"/>
  <c r="H39" i="14" s="1"/>
  <c r="J36" i="13" s="1"/>
  <c r="AD77" i="13"/>
  <c r="M78" i="13"/>
  <c r="F83" i="14"/>
  <c r="B84" i="14"/>
  <c r="D57" i="9"/>
  <c r="F57" i="9" s="1"/>
  <c r="X78" i="13"/>
  <c r="W78" i="13"/>
  <c r="AB78" i="13" s="1"/>
  <c r="V78" i="13"/>
  <c r="G79" i="13"/>
  <c r="F79" i="13"/>
  <c r="K79" i="13" s="1"/>
  <c r="E79" i="13"/>
  <c r="B84" i="9"/>
  <c r="G83" i="9"/>
  <c r="B84" i="8"/>
  <c r="F83" i="8"/>
  <c r="C80" i="13"/>
  <c r="D80" i="13" s="1"/>
  <c r="H80" i="13" s="1"/>
  <c r="B81" i="13"/>
  <c r="Q80" i="13"/>
  <c r="P80" i="13"/>
  <c r="E51" i="8"/>
  <c r="H51" i="8" s="1"/>
  <c r="C52" i="8" s="1"/>
  <c r="R79" i="13"/>
  <c r="S79" i="13" s="1"/>
  <c r="I36" i="13"/>
  <c r="L36" i="13" s="1"/>
  <c r="Z36" i="13"/>
  <c r="AC36" i="13" s="1"/>
  <c r="C40" i="14" l="1"/>
  <c r="D40" i="14" s="1"/>
  <c r="G40" i="14" s="1"/>
  <c r="AA36" i="13"/>
  <c r="AD78" i="13"/>
  <c r="R80" i="13"/>
  <c r="S80" i="13" s="1"/>
  <c r="M79" i="13"/>
  <c r="H37" i="12" s="1"/>
  <c r="H40" i="12" s="1"/>
  <c r="D52" i="8"/>
  <c r="G52" i="8" s="1"/>
  <c r="E52" i="8"/>
  <c r="H52" i="8" s="1"/>
  <c r="C53" i="8" s="1"/>
  <c r="T79" i="13"/>
  <c r="U79" i="13" s="1"/>
  <c r="Y79" i="13" s="1"/>
  <c r="F84" i="14"/>
  <c r="B85" i="14"/>
  <c r="C81" i="13"/>
  <c r="D81" i="13" s="1"/>
  <c r="H81" i="13" s="1"/>
  <c r="Q81" i="13"/>
  <c r="P81" i="13"/>
  <c r="B82" i="13"/>
  <c r="B85" i="8"/>
  <c r="F84" i="8"/>
  <c r="B85" i="9"/>
  <c r="G84" i="9"/>
  <c r="G80" i="13"/>
  <c r="F80" i="13"/>
  <c r="K80" i="13" s="1"/>
  <c r="E80" i="13"/>
  <c r="E57" i="9"/>
  <c r="H57" i="9" s="1"/>
  <c r="C58" i="9" s="1"/>
  <c r="R81" i="13" l="1"/>
  <c r="S81" i="13" s="1"/>
  <c r="H39" i="12"/>
  <c r="M80" i="13"/>
  <c r="X79" i="13"/>
  <c r="W79" i="13"/>
  <c r="AB79" i="13" s="1"/>
  <c r="V79" i="13"/>
  <c r="B83" i="13"/>
  <c r="Q82" i="13"/>
  <c r="P82" i="13"/>
  <c r="C82" i="13"/>
  <c r="D82" i="13" s="1"/>
  <c r="H82" i="13" s="1"/>
  <c r="E53" i="8"/>
  <c r="H53" i="8" s="1"/>
  <c r="C54" i="8" s="1"/>
  <c r="D53" i="8"/>
  <c r="G53" i="8" s="1"/>
  <c r="F85" i="8"/>
  <c r="B86" i="8"/>
  <c r="F85" i="14"/>
  <c r="B86" i="14"/>
  <c r="I37" i="13"/>
  <c r="L37" i="13" s="1"/>
  <c r="Z37" i="13"/>
  <c r="AC37" i="13" s="1"/>
  <c r="G85" i="9"/>
  <c r="B86" i="9"/>
  <c r="E40" i="14"/>
  <c r="H40" i="14" s="1"/>
  <c r="T80" i="13"/>
  <c r="U80" i="13" s="1"/>
  <c r="Y80" i="13" s="1"/>
  <c r="D58" i="9"/>
  <c r="F58" i="9" s="1"/>
  <c r="E58" i="9"/>
  <c r="H58" i="9" s="1"/>
  <c r="C59" i="9" s="1"/>
  <c r="E81" i="13"/>
  <c r="G81" i="13"/>
  <c r="F81" i="13"/>
  <c r="K81" i="13" s="1"/>
  <c r="AD79" i="13" l="1"/>
  <c r="H55" i="12" s="1"/>
  <c r="H57" i="12" s="1"/>
  <c r="M81" i="13"/>
  <c r="T81" i="13"/>
  <c r="U81" i="13" s="1"/>
  <c r="Y81" i="13" s="1"/>
  <c r="D54" i="8"/>
  <c r="G54" i="8" s="1"/>
  <c r="E82" i="13"/>
  <c r="G82" i="13"/>
  <c r="F82" i="13"/>
  <c r="K82" i="13" s="1"/>
  <c r="F86" i="8"/>
  <c r="B87" i="8"/>
  <c r="R82" i="13"/>
  <c r="S82" i="13" s="1"/>
  <c r="J37" i="13"/>
  <c r="C41" i="14"/>
  <c r="AA37" i="13"/>
  <c r="B87" i="14"/>
  <c r="F86" i="14"/>
  <c r="B87" i="9"/>
  <c r="G86" i="9"/>
  <c r="P83" i="13"/>
  <c r="B84" i="13"/>
  <c r="C83" i="13"/>
  <c r="D83" i="13" s="1"/>
  <c r="H83" i="13" s="1"/>
  <c r="Q83" i="13"/>
  <c r="E59" i="9"/>
  <c r="H59" i="9" s="1"/>
  <c r="C60" i="9" s="1"/>
  <c r="D59" i="9"/>
  <c r="F59" i="9" s="1"/>
  <c r="X80" i="13"/>
  <c r="W80" i="13"/>
  <c r="AB80" i="13" s="1"/>
  <c r="V80" i="13"/>
  <c r="H58" i="12" l="1"/>
  <c r="AD80" i="13"/>
  <c r="M82" i="13"/>
  <c r="T82" i="13"/>
  <c r="U82" i="13" s="1"/>
  <c r="Y82" i="13" s="1"/>
  <c r="E54" i="8"/>
  <c r="H54" i="8" s="1"/>
  <c r="C55" i="8" s="1"/>
  <c r="X81" i="13"/>
  <c r="W81" i="13"/>
  <c r="AB81" i="13" s="1"/>
  <c r="V81" i="13"/>
  <c r="D60" i="9"/>
  <c r="F60" i="9" s="1"/>
  <c r="E60" i="9"/>
  <c r="H60" i="9" s="1"/>
  <c r="C61" i="9" s="1"/>
  <c r="B88" i="9"/>
  <c r="G87" i="9"/>
  <c r="B88" i="14"/>
  <c r="F87" i="14"/>
  <c r="F87" i="8"/>
  <c r="B88" i="8"/>
  <c r="E83" i="13"/>
  <c r="G83" i="13"/>
  <c r="F83" i="13"/>
  <c r="K83" i="13" s="1"/>
  <c r="B85" i="13"/>
  <c r="C84" i="13"/>
  <c r="D84" i="13" s="1"/>
  <c r="H84" i="13" s="1"/>
  <c r="Q84" i="13"/>
  <c r="P84" i="13"/>
  <c r="R83" i="13"/>
  <c r="S83" i="13" s="1"/>
  <c r="D41" i="14"/>
  <c r="G41" i="14" s="1"/>
  <c r="R84" i="13" l="1"/>
  <c r="S84" i="13" s="1"/>
  <c r="T84" i="13" s="1"/>
  <c r="U84" i="13" s="1"/>
  <c r="Y84" i="13" s="1"/>
  <c r="AD81" i="13"/>
  <c r="M83" i="13"/>
  <c r="B89" i="14"/>
  <c r="F88" i="14"/>
  <c r="D55" i="8"/>
  <c r="G55" i="8" s="1"/>
  <c r="Q85" i="13"/>
  <c r="C85" i="13"/>
  <c r="D85" i="13" s="1"/>
  <c r="H85" i="13" s="1"/>
  <c r="P85" i="13"/>
  <c r="B86" i="13"/>
  <c r="W82" i="13"/>
  <c r="AB82" i="13" s="1"/>
  <c r="V82" i="13"/>
  <c r="X82" i="13"/>
  <c r="E84" i="13"/>
  <c r="G84" i="13"/>
  <c r="F84" i="13"/>
  <c r="K84" i="13" s="1"/>
  <c r="B89" i="8"/>
  <c r="F88" i="8"/>
  <c r="E61" i="9"/>
  <c r="H61" i="9" s="1"/>
  <c r="C62" i="9" s="1"/>
  <c r="D61" i="9"/>
  <c r="F61" i="9" s="1"/>
  <c r="E41" i="14"/>
  <c r="H41" i="14" s="1"/>
  <c r="I38" i="13"/>
  <c r="L38" i="13" s="1"/>
  <c r="Z38" i="13"/>
  <c r="AC38" i="13" s="1"/>
  <c r="T83" i="13"/>
  <c r="U83" i="13" s="1"/>
  <c r="Y83" i="13" s="1"/>
  <c r="B89" i="9"/>
  <c r="G88" i="9"/>
  <c r="M84" i="13" l="1"/>
  <c r="AD82" i="13"/>
  <c r="W84" i="13"/>
  <c r="AB84" i="13" s="1"/>
  <c r="V84" i="13"/>
  <c r="X84" i="13"/>
  <c r="B90" i="14"/>
  <c r="F89" i="14"/>
  <c r="B90" i="9"/>
  <c r="G89" i="9"/>
  <c r="J38" i="13"/>
  <c r="C42" i="14"/>
  <c r="AA38" i="13"/>
  <c r="Q86" i="13"/>
  <c r="P86" i="13"/>
  <c r="B87" i="13"/>
  <c r="C86" i="13"/>
  <c r="D86" i="13" s="1"/>
  <c r="H86" i="13" s="1"/>
  <c r="E55" i="8"/>
  <c r="H55" i="8" s="1"/>
  <c r="C56" i="8" s="1"/>
  <c r="B90" i="8"/>
  <c r="F89" i="8"/>
  <c r="R85" i="13"/>
  <c r="S85" i="13" s="1"/>
  <c r="X83" i="13"/>
  <c r="W83" i="13"/>
  <c r="AB83" i="13" s="1"/>
  <c r="V83" i="13"/>
  <c r="D62" i="9"/>
  <c r="F62" i="9" s="1"/>
  <c r="G85" i="13"/>
  <c r="F85" i="13"/>
  <c r="K85" i="13" s="1"/>
  <c r="E85" i="13"/>
  <c r="AD84" i="13" l="1"/>
  <c r="AD83" i="13"/>
  <c r="B91" i="8"/>
  <c r="F90" i="8"/>
  <c r="E62" i="9"/>
  <c r="H62" i="9" s="1"/>
  <c r="C63" i="9" s="1"/>
  <c r="D56" i="8"/>
  <c r="G56" i="8" s="1"/>
  <c r="C87" i="13"/>
  <c r="D87" i="13" s="1"/>
  <c r="H87" i="13" s="1"/>
  <c r="P87" i="13"/>
  <c r="B88" i="13"/>
  <c r="Q87" i="13"/>
  <c r="G90" i="9"/>
  <c r="B91" i="9"/>
  <c r="B91" i="14"/>
  <c r="F90" i="14"/>
  <c r="D42" i="14"/>
  <c r="G42" i="14" s="1"/>
  <c r="T85" i="13"/>
  <c r="U85" i="13" s="1"/>
  <c r="Y85" i="13" s="1"/>
  <c r="M85" i="13"/>
  <c r="R86" i="13"/>
  <c r="S86" i="13" s="1"/>
  <c r="G86" i="13"/>
  <c r="F86" i="13"/>
  <c r="K86" i="13" s="1"/>
  <c r="E86" i="13"/>
  <c r="R87" i="13" l="1"/>
  <c r="S87" i="13" s="1"/>
  <c r="E42" i="14"/>
  <c r="H42" i="14" s="1"/>
  <c r="J39" i="13" s="1"/>
  <c r="M86" i="13"/>
  <c r="I39" i="13"/>
  <c r="L39" i="13" s="1"/>
  <c r="Z39" i="13"/>
  <c r="AC39" i="13" s="1"/>
  <c r="Q88" i="13"/>
  <c r="P88" i="13"/>
  <c r="C88" i="13"/>
  <c r="D88" i="13" s="1"/>
  <c r="H88" i="13" s="1"/>
  <c r="B89" i="13"/>
  <c r="B92" i="9"/>
  <c r="G91" i="9"/>
  <c r="F87" i="13"/>
  <c r="G87" i="13"/>
  <c r="E87" i="13"/>
  <c r="B92" i="8"/>
  <c r="F91" i="8"/>
  <c r="E56" i="8"/>
  <c r="H56" i="8" s="1"/>
  <c r="C57" i="8" s="1"/>
  <c r="T86" i="13"/>
  <c r="U86" i="13" s="1"/>
  <c r="Y86" i="13" s="1"/>
  <c r="F91" i="14"/>
  <c r="B92" i="14"/>
  <c r="D63" i="9"/>
  <c r="F63" i="9" s="1"/>
  <c r="AA39" i="13"/>
  <c r="V85" i="13"/>
  <c r="X85" i="13"/>
  <c r="W85" i="13"/>
  <c r="AB85" i="13" s="1"/>
  <c r="R88" i="13" l="1"/>
  <c r="S88" i="13" s="1"/>
  <c r="C43" i="14"/>
  <c r="D43" i="14" s="1"/>
  <c r="G43" i="14" s="1"/>
  <c r="AD85" i="13"/>
  <c r="X86" i="13"/>
  <c r="W86" i="13"/>
  <c r="AB86" i="13" s="1"/>
  <c r="V86" i="13"/>
  <c r="B93" i="8"/>
  <c r="F92" i="8"/>
  <c r="K87" i="13"/>
  <c r="M87" i="13" s="1"/>
  <c r="P89" i="13"/>
  <c r="B90" i="13"/>
  <c r="C89" i="13"/>
  <c r="D89" i="13" s="1"/>
  <c r="H89" i="13" s="1"/>
  <c r="Q89" i="13"/>
  <c r="G88" i="13"/>
  <c r="F88" i="13"/>
  <c r="K88" i="13" s="1"/>
  <c r="E88" i="13"/>
  <c r="B93" i="9"/>
  <c r="G92" i="9"/>
  <c r="D57" i="8"/>
  <c r="G57" i="8" s="1"/>
  <c r="E57" i="8"/>
  <c r="H57" i="8" s="1"/>
  <c r="C58" i="8" s="1"/>
  <c r="F92" i="14"/>
  <c r="B93" i="14"/>
  <c r="T87" i="13"/>
  <c r="U87" i="13" s="1"/>
  <c r="Y87" i="13" s="1"/>
  <c r="E63" i="9"/>
  <c r="H63" i="9" s="1"/>
  <c r="C64" i="9" s="1"/>
  <c r="M88" i="13" l="1"/>
  <c r="E43" i="14"/>
  <c r="H43" i="14" s="1"/>
  <c r="G93" i="9"/>
  <c r="B94" i="9"/>
  <c r="AD86" i="13"/>
  <c r="F89" i="13"/>
  <c r="K89" i="13" s="1"/>
  <c r="E89" i="13"/>
  <c r="G89" i="13"/>
  <c r="V87" i="13"/>
  <c r="X87" i="13"/>
  <c r="W87" i="13"/>
  <c r="D64" i="9"/>
  <c r="F64" i="9" s="1"/>
  <c r="E64" i="9"/>
  <c r="H64" i="9" s="1"/>
  <c r="C65" i="9" s="1"/>
  <c r="F93" i="14"/>
  <c r="B94" i="14"/>
  <c r="D58" i="8"/>
  <c r="G58" i="8" s="1"/>
  <c r="C90" i="13"/>
  <c r="D90" i="13" s="1"/>
  <c r="H90" i="13" s="1"/>
  <c r="Q90" i="13"/>
  <c r="B91" i="13"/>
  <c r="P90" i="13"/>
  <c r="R89" i="13"/>
  <c r="S89" i="13" s="1"/>
  <c r="I40" i="13"/>
  <c r="L40" i="13" s="1"/>
  <c r="Z40" i="13"/>
  <c r="AC40" i="13" s="1"/>
  <c r="T88" i="13"/>
  <c r="U88" i="13" s="1"/>
  <c r="Y88" i="13" s="1"/>
  <c r="F93" i="8"/>
  <c r="B94" i="8"/>
  <c r="R90" i="13" l="1"/>
  <c r="S90" i="13" s="1"/>
  <c r="M89" i="13"/>
  <c r="G94" i="9"/>
  <c r="B95" i="9"/>
  <c r="T89" i="13"/>
  <c r="U89" i="13" s="1"/>
  <c r="Y89" i="13" s="1"/>
  <c r="X88" i="13"/>
  <c r="W88" i="13"/>
  <c r="AB88" i="13" s="1"/>
  <c r="V88" i="13"/>
  <c r="AB87" i="13"/>
  <c r="AD87" i="13" s="1"/>
  <c r="B95" i="14"/>
  <c r="F94" i="14"/>
  <c r="Q91" i="13"/>
  <c r="P91" i="13"/>
  <c r="R91" i="13" s="1"/>
  <c r="B92" i="13"/>
  <c r="C91" i="13"/>
  <c r="D91" i="13" s="1"/>
  <c r="H91" i="13" s="1"/>
  <c r="G90" i="13"/>
  <c r="E90" i="13"/>
  <c r="F90" i="13"/>
  <c r="K90" i="13" s="1"/>
  <c r="E58" i="8"/>
  <c r="H58" i="8" s="1"/>
  <c r="C59" i="8" s="1"/>
  <c r="F94" i="8"/>
  <c r="B95" i="8"/>
  <c r="D65" i="9"/>
  <c r="F65" i="9" s="1"/>
  <c r="E65" i="9"/>
  <c r="H65" i="9" s="1"/>
  <c r="C66" i="9" s="1"/>
  <c r="J40" i="13"/>
  <c r="C44" i="14"/>
  <c r="AA40" i="13"/>
  <c r="S91" i="13" l="1"/>
  <c r="T91" i="13" s="1"/>
  <c r="U91" i="13" s="1"/>
  <c r="Y91" i="13" s="1"/>
  <c r="AD88" i="13"/>
  <c r="G91" i="13"/>
  <c r="F91" i="13"/>
  <c r="K91" i="13" s="1"/>
  <c r="E91" i="13"/>
  <c r="B93" i="13"/>
  <c r="C92" i="13"/>
  <c r="D92" i="13" s="1"/>
  <c r="H92" i="13" s="1"/>
  <c r="Q92" i="13"/>
  <c r="P92" i="13"/>
  <c r="F95" i="8"/>
  <c r="B96" i="8"/>
  <c r="T90" i="13"/>
  <c r="U90" i="13" s="1"/>
  <c r="Y90" i="13" s="1"/>
  <c r="B96" i="14"/>
  <c r="F95" i="14"/>
  <c r="M90" i="13"/>
  <c r="D59" i="8"/>
  <c r="G59" i="8" s="1"/>
  <c r="D66" i="9"/>
  <c r="F66" i="9" s="1"/>
  <c r="X89" i="13"/>
  <c r="W89" i="13"/>
  <c r="AB89" i="13" s="1"/>
  <c r="V89" i="13"/>
  <c r="D44" i="14"/>
  <c r="G44" i="14" s="1"/>
  <c r="B96" i="9"/>
  <c r="G95" i="9"/>
  <c r="R92" i="13" l="1"/>
  <c r="S92" i="13" s="1"/>
  <c r="T92" i="13" s="1"/>
  <c r="U92" i="13" s="1"/>
  <c r="Y92" i="13" s="1"/>
  <c r="AD89" i="13"/>
  <c r="M91" i="13"/>
  <c r="I37" i="12" s="1"/>
  <c r="I41" i="13"/>
  <c r="L41" i="13" s="1"/>
  <c r="Z41" i="13"/>
  <c r="AC41" i="13" s="1"/>
  <c r="X91" i="13"/>
  <c r="W91" i="13"/>
  <c r="AB91" i="13" s="1"/>
  <c r="V91" i="13"/>
  <c r="E92" i="13"/>
  <c r="G92" i="13"/>
  <c r="F92" i="13"/>
  <c r="K92" i="13" s="1"/>
  <c r="E66" i="9"/>
  <c r="H66" i="9" s="1"/>
  <c r="C67" i="9" s="1"/>
  <c r="B97" i="14"/>
  <c r="F96" i="14"/>
  <c r="Q93" i="13"/>
  <c r="P93" i="13"/>
  <c r="C93" i="13"/>
  <c r="D93" i="13" s="1"/>
  <c r="H93" i="13" s="1"/>
  <c r="B94" i="13"/>
  <c r="W90" i="13"/>
  <c r="AB90" i="13" s="1"/>
  <c r="X90" i="13"/>
  <c r="V90" i="13"/>
  <c r="B97" i="8"/>
  <c r="F96" i="8"/>
  <c r="B97" i="9"/>
  <c r="G96" i="9"/>
  <c r="E59" i="8"/>
  <c r="H59" i="8" s="1"/>
  <c r="C60" i="8" s="1"/>
  <c r="E44" i="14"/>
  <c r="H44" i="14" s="1"/>
  <c r="AD91" i="13" l="1"/>
  <c r="R93" i="13"/>
  <c r="S93" i="13" s="1"/>
  <c r="T93" i="13" s="1"/>
  <c r="U93" i="13" s="1"/>
  <c r="Y93" i="13" s="1"/>
  <c r="AD90" i="13"/>
  <c r="M92" i="13"/>
  <c r="D60" i="8"/>
  <c r="G60" i="8" s="1"/>
  <c r="E60" i="8"/>
  <c r="H60" i="8" s="1"/>
  <c r="C61" i="8" s="1"/>
  <c r="W92" i="13"/>
  <c r="V92" i="13"/>
  <c r="X92" i="13"/>
  <c r="D67" i="9"/>
  <c r="F67" i="9" s="1"/>
  <c r="E67" i="9"/>
  <c r="H67" i="9" s="1"/>
  <c r="C68" i="9" s="1"/>
  <c r="B98" i="8"/>
  <c r="F97" i="8"/>
  <c r="Q94" i="13"/>
  <c r="P94" i="13"/>
  <c r="B95" i="13"/>
  <c r="C94" i="13"/>
  <c r="D94" i="13" s="1"/>
  <c r="H94" i="13" s="1"/>
  <c r="B98" i="9"/>
  <c r="G97" i="9"/>
  <c r="J41" i="13"/>
  <c r="C45" i="14"/>
  <c r="AA41" i="13"/>
  <c r="G93" i="13"/>
  <c r="F93" i="13"/>
  <c r="K93" i="13" s="1"/>
  <c r="E93" i="13"/>
  <c r="B98" i="14"/>
  <c r="F97" i="14"/>
  <c r="I39" i="12"/>
  <c r="I40" i="12"/>
  <c r="R94" i="13" l="1"/>
  <c r="S94" i="13" s="1"/>
  <c r="T94" i="13" s="1"/>
  <c r="U94" i="13" s="1"/>
  <c r="Y94" i="13" s="1"/>
  <c r="I55" i="12"/>
  <c r="I57" i="12" s="1"/>
  <c r="G94" i="13"/>
  <c r="F94" i="13"/>
  <c r="K94" i="13" s="1"/>
  <c r="E94" i="13"/>
  <c r="B99" i="8"/>
  <c r="F98" i="8"/>
  <c r="D61" i="8"/>
  <c r="G61" i="8" s="1"/>
  <c r="D68" i="9"/>
  <c r="F68" i="9" s="1"/>
  <c r="C95" i="13"/>
  <c r="D95" i="13" s="1"/>
  <c r="H95" i="13" s="1"/>
  <c r="P95" i="13"/>
  <c r="Q95" i="13"/>
  <c r="B96" i="13"/>
  <c r="M93" i="13"/>
  <c r="B99" i="14"/>
  <c r="F98" i="14"/>
  <c r="AB92" i="13"/>
  <c r="AD92" i="13" s="1"/>
  <c r="X93" i="13"/>
  <c r="V93" i="13"/>
  <c r="W93" i="13"/>
  <c r="G98" i="9"/>
  <c r="B99" i="9"/>
  <c r="D45" i="14"/>
  <c r="G45" i="14" s="1"/>
  <c r="I58" i="12" l="1"/>
  <c r="E45" i="14"/>
  <c r="H45" i="14" s="1"/>
  <c r="J42" i="13" s="1"/>
  <c r="X94" i="13"/>
  <c r="W94" i="13"/>
  <c r="V94" i="13"/>
  <c r="AB93" i="13"/>
  <c r="AD93" i="13" s="1"/>
  <c r="E68" i="9"/>
  <c r="H68" i="9" s="1"/>
  <c r="C69" i="9" s="1"/>
  <c r="M94" i="13"/>
  <c r="B100" i="8"/>
  <c r="F99" i="8"/>
  <c r="B100" i="9"/>
  <c r="G99" i="9"/>
  <c r="Q96" i="13"/>
  <c r="P96" i="13"/>
  <c r="B97" i="13"/>
  <c r="C96" i="13"/>
  <c r="D96" i="13" s="1"/>
  <c r="H96" i="13" s="1"/>
  <c r="E61" i="8"/>
  <c r="H61" i="8" s="1"/>
  <c r="C62" i="8" s="1"/>
  <c r="F99" i="14"/>
  <c r="B100" i="14"/>
  <c r="R95" i="13"/>
  <c r="S95" i="13" s="1"/>
  <c r="AA42" i="13"/>
  <c r="I42" i="13"/>
  <c r="L42" i="13" s="1"/>
  <c r="Z42" i="13"/>
  <c r="AC42" i="13" s="1"/>
  <c r="F95" i="13"/>
  <c r="K95" i="13" s="1"/>
  <c r="G95" i="13"/>
  <c r="E95" i="13"/>
  <c r="C46" i="14" l="1"/>
  <c r="R96" i="13"/>
  <c r="S96" i="13" s="1"/>
  <c r="T96" i="13" s="1"/>
  <c r="U96" i="13" s="1"/>
  <c r="Y96" i="13" s="1"/>
  <c r="G96" i="13"/>
  <c r="F96" i="13"/>
  <c r="K96" i="13" s="1"/>
  <c r="E96" i="13"/>
  <c r="M95" i="13"/>
  <c r="AB94" i="13"/>
  <c r="AD94" i="13" s="1"/>
  <c r="D62" i="8"/>
  <c r="G62" i="8" s="1"/>
  <c r="D69" i="9"/>
  <c r="F69" i="9" s="1"/>
  <c r="B101" i="9"/>
  <c r="G100" i="9"/>
  <c r="P97" i="13"/>
  <c r="B98" i="13"/>
  <c r="C97" i="13"/>
  <c r="D97" i="13" s="1"/>
  <c r="H97" i="13" s="1"/>
  <c r="Q97" i="13"/>
  <c r="D46" i="14"/>
  <c r="G46" i="14" s="1"/>
  <c r="T95" i="13"/>
  <c r="U95" i="13" s="1"/>
  <c r="Y95" i="13" s="1"/>
  <c r="F100" i="14"/>
  <c r="B101" i="14"/>
  <c r="F100" i="8"/>
  <c r="B101" i="8"/>
  <c r="E46" i="14" l="1"/>
  <c r="H46" i="14" s="1"/>
  <c r="J43" i="13" s="1"/>
  <c r="I43" i="13"/>
  <c r="L43" i="13" s="1"/>
  <c r="E44" i="12" s="1"/>
  <c r="Z43" i="13"/>
  <c r="AC43" i="13" s="1"/>
  <c r="E62" i="12" s="1"/>
  <c r="X96" i="13"/>
  <c r="W96" i="13"/>
  <c r="AB96" i="13" s="1"/>
  <c r="V96" i="13"/>
  <c r="M96" i="13"/>
  <c r="C98" i="13"/>
  <c r="D98" i="13" s="1"/>
  <c r="H98" i="13" s="1"/>
  <c r="Q98" i="13"/>
  <c r="B99" i="13"/>
  <c r="P98" i="13"/>
  <c r="R97" i="13"/>
  <c r="S97" i="13" s="1"/>
  <c r="E69" i="9"/>
  <c r="H69" i="9" s="1"/>
  <c r="C70" i="9" s="1"/>
  <c r="F101" i="8"/>
  <c r="B102" i="8"/>
  <c r="F97" i="13"/>
  <c r="K97" i="13" s="1"/>
  <c r="E97" i="13"/>
  <c r="G97" i="13"/>
  <c r="G101" i="9"/>
  <c r="B102" i="9"/>
  <c r="F101" i="14"/>
  <c r="B102" i="14"/>
  <c r="V95" i="13"/>
  <c r="X95" i="13"/>
  <c r="W95" i="13"/>
  <c r="AB95" i="13" s="1"/>
  <c r="E62" i="8"/>
  <c r="H62" i="8" s="1"/>
  <c r="C63" i="8" s="1"/>
  <c r="R98" i="13" l="1"/>
  <c r="S98" i="13" s="1"/>
  <c r="AA43" i="13"/>
  <c r="C47" i="14"/>
  <c r="D47" i="14" s="1"/>
  <c r="G47" i="14" s="1"/>
  <c r="AD95" i="13"/>
  <c r="M97" i="13"/>
  <c r="D70" i="9"/>
  <c r="F70" i="9" s="1"/>
  <c r="E70" i="9"/>
  <c r="H70" i="9" s="1"/>
  <c r="C71" i="9" s="1"/>
  <c r="E46" i="12"/>
  <c r="E47" i="12"/>
  <c r="B103" i="9"/>
  <c r="G102" i="9"/>
  <c r="AD96" i="13"/>
  <c r="F102" i="8"/>
  <c r="B103" i="8"/>
  <c r="Q99" i="13"/>
  <c r="P99" i="13"/>
  <c r="B100" i="13"/>
  <c r="C99" i="13"/>
  <c r="D99" i="13" s="1"/>
  <c r="H99" i="13" s="1"/>
  <c r="E65" i="12"/>
  <c r="E64" i="12"/>
  <c r="T97" i="13"/>
  <c r="U97" i="13" s="1"/>
  <c r="Y97" i="13" s="1"/>
  <c r="D63" i="8"/>
  <c r="G63" i="8" s="1"/>
  <c r="B103" i="14"/>
  <c r="F102" i="14"/>
  <c r="G98" i="13"/>
  <c r="E98" i="13"/>
  <c r="F98" i="13"/>
  <c r="K98" i="13" s="1"/>
  <c r="R99" i="13" l="1"/>
  <c r="S99" i="13" s="1"/>
  <c r="T99" i="13" s="1"/>
  <c r="U99" i="13" s="1"/>
  <c r="Y99" i="13" s="1"/>
  <c r="M98" i="13"/>
  <c r="E63" i="8"/>
  <c r="H63" i="8" s="1"/>
  <c r="C64" i="8" s="1"/>
  <c r="F103" i="8"/>
  <c r="B104" i="8"/>
  <c r="D71" i="9"/>
  <c r="F71" i="9" s="1"/>
  <c r="I44" i="13"/>
  <c r="L44" i="13" s="1"/>
  <c r="Z44" i="13"/>
  <c r="AC44" i="13" s="1"/>
  <c r="G99" i="13"/>
  <c r="F99" i="13"/>
  <c r="K99" i="13" s="1"/>
  <c r="E99" i="13"/>
  <c r="B101" i="13"/>
  <c r="C100" i="13"/>
  <c r="D100" i="13" s="1"/>
  <c r="H100" i="13" s="1"/>
  <c r="Q100" i="13"/>
  <c r="P100" i="13"/>
  <c r="X97" i="13"/>
  <c r="W97" i="13"/>
  <c r="AB97" i="13" s="1"/>
  <c r="V97" i="13"/>
  <c r="B104" i="14"/>
  <c r="F103" i="14"/>
  <c r="T98" i="13"/>
  <c r="U98" i="13" s="1"/>
  <c r="Y98" i="13" s="1"/>
  <c r="E47" i="14"/>
  <c r="H47" i="14" s="1"/>
  <c r="B104" i="9"/>
  <c r="G103" i="9"/>
  <c r="AD97" i="13" l="1"/>
  <c r="M99" i="13"/>
  <c r="B105" i="9"/>
  <c r="G104" i="9"/>
  <c r="Q101" i="13"/>
  <c r="P101" i="13"/>
  <c r="C101" i="13"/>
  <c r="D101" i="13" s="1"/>
  <c r="H101" i="13" s="1"/>
  <c r="B102" i="13"/>
  <c r="J44" i="13"/>
  <c r="AA44" i="13"/>
  <c r="C48" i="14"/>
  <c r="X99" i="13"/>
  <c r="W99" i="13"/>
  <c r="AB99" i="13" s="1"/>
  <c r="V99" i="13"/>
  <c r="E71" i="9"/>
  <c r="H71" i="9" s="1"/>
  <c r="C72" i="9" s="1"/>
  <c r="B105" i="8"/>
  <c r="F104" i="8"/>
  <c r="B105" i="14"/>
  <c r="F104" i="14"/>
  <c r="R100" i="13"/>
  <c r="S100" i="13" s="1"/>
  <c r="W98" i="13"/>
  <c r="AB98" i="13" s="1"/>
  <c r="X98" i="13"/>
  <c r="V98" i="13"/>
  <c r="E100" i="13"/>
  <c r="G100" i="13"/>
  <c r="F100" i="13"/>
  <c r="K100" i="13" s="1"/>
  <c r="D64" i="8"/>
  <c r="G64" i="8" s="1"/>
  <c r="AD99" i="13" l="1"/>
  <c r="AD98" i="13"/>
  <c r="B106" i="8"/>
  <c r="F105" i="8"/>
  <c r="T100" i="13"/>
  <c r="U100" i="13" s="1"/>
  <c r="Y100" i="13" s="1"/>
  <c r="D48" i="14"/>
  <c r="G48" i="14" s="1"/>
  <c r="F105" i="14"/>
  <c r="B106" i="14"/>
  <c r="B106" i="9"/>
  <c r="G105" i="9"/>
  <c r="D72" i="9"/>
  <c r="F72" i="9" s="1"/>
  <c r="Q102" i="13"/>
  <c r="P102" i="13"/>
  <c r="B103" i="13"/>
  <c r="C102" i="13"/>
  <c r="D102" i="13" s="1"/>
  <c r="H102" i="13" s="1"/>
  <c r="G101" i="13"/>
  <c r="F101" i="13"/>
  <c r="K101" i="13" s="1"/>
  <c r="E101" i="13"/>
  <c r="M100" i="13"/>
  <c r="E64" i="8"/>
  <c r="H64" i="8" s="1"/>
  <c r="C65" i="8" s="1"/>
  <c r="R101" i="13"/>
  <c r="S101" i="13" s="1"/>
  <c r="R102" i="13" l="1"/>
  <c r="S102" i="13" s="1"/>
  <c r="T102" i="13" s="1"/>
  <c r="U102" i="13" s="1"/>
  <c r="Y102" i="13" s="1"/>
  <c r="M101" i="13"/>
  <c r="I45" i="13"/>
  <c r="L45" i="13" s="1"/>
  <c r="Z45" i="13"/>
  <c r="AC45" i="13" s="1"/>
  <c r="E72" i="9"/>
  <c r="H72" i="9" s="1"/>
  <c r="C73" i="9" s="1"/>
  <c r="E48" i="14"/>
  <c r="H48" i="14" s="1"/>
  <c r="B107" i="8"/>
  <c r="F106" i="8"/>
  <c r="T101" i="13"/>
  <c r="U101" i="13" s="1"/>
  <c r="Y101" i="13" s="1"/>
  <c r="E65" i="8"/>
  <c r="H65" i="8" s="1"/>
  <c r="C66" i="8" s="1"/>
  <c r="D65" i="8"/>
  <c r="G65" i="8" s="1"/>
  <c r="G102" i="13"/>
  <c r="F102" i="13"/>
  <c r="K102" i="13" s="1"/>
  <c r="E102" i="13"/>
  <c r="W100" i="13"/>
  <c r="AB100" i="13" s="1"/>
  <c r="V100" i="13"/>
  <c r="X100" i="13"/>
  <c r="C103" i="13"/>
  <c r="D103" i="13" s="1"/>
  <c r="H103" i="13" s="1"/>
  <c r="P103" i="13"/>
  <c r="B104" i="13"/>
  <c r="Q103" i="13"/>
  <c r="G106" i="9"/>
  <c r="B107" i="9"/>
  <c r="B107" i="14"/>
  <c r="F106" i="14"/>
  <c r="AD100" i="13" l="1"/>
  <c r="M102" i="13"/>
  <c r="X101" i="13"/>
  <c r="V101" i="13"/>
  <c r="W101" i="13"/>
  <c r="AB101" i="13" s="1"/>
  <c r="X102" i="13"/>
  <c r="W102" i="13"/>
  <c r="AB102" i="13" s="1"/>
  <c r="V102" i="13"/>
  <c r="F107" i="14"/>
  <c r="B108" i="14"/>
  <c r="Q104" i="13"/>
  <c r="P104" i="13"/>
  <c r="B105" i="13"/>
  <c r="C104" i="13"/>
  <c r="D104" i="13" s="1"/>
  <c r="H104" i="13" s="1"/>
  <c r="R103" i="13"/>
  <c r="S103" i="13" s="1"/>
  <c r="J45" i="13"/>
  <c r="C49" i="14"/>
  <c r="AA45" i="13"/>
  <c r="B108" i="9"/>
  <c r="G107" i="9"/>
  <c r="F103" i="13"/>
  <c r="K103" i="13" s="1"/>
  <c r="G103" i="13"/>
  <c r="E103" i="13"/>
  <c r="D73" i="9"/>
  <c r="F73" i="9" s="1"/>
  <c r="D66" i="8"/>
  <c r="G66" i="8" s="1"/>
  <c r="B108" i="8"/>
  <c r="F107" i="8"/>
  <c r="M103" i="13" l="1"/>
  <c r="J37" i="12" s="1"/>
  <c r="J39" i="12" s="1"/>
  <c r="AD102" i="13"/>
  <c r="B109" i="14"/>
  <c r="F108" i="14"/>
  <c r="AD101" i="13"/>
  <c r="T103" i="13"/>
  <c r="U103" i="13" s="1"/>
  <c r="Y103" i="13" s="1"/>
  <c r="G104" i="13"/>
  <c r="F104" i="13"/>
  <c r="K104" i="13" s="1"/>
  <c r="E104" i="13"/>
  <c r="E66" i="8"/>
  <c r="H66" i="8" s="1"/>
  <c r="C67" i="8" s="1"/>
  <c r="D49" i="14"/>
  <c r="G49" i="14" s="1"/>
  <c r="E73" i="9"/>
  <c r="H73" i="9" s="1"/>
  <c r="C74" i="9" s="1"/>
  <c r="B109" i="9"/>
  <c r="G108" i="9"/>
  <c r="P105" i="13"/>
  <c r="B106" i="13"/>
  <c r="C105" i="13"/>
  <c r="D105" i="13" s="1"/>
  <c r="H105" i="13" s="1"/>
  <c r="Q105" i="13"/>
  <c r="B109" i="8"/>
  <c r="F108" i="8"/>
  <c r="R104" i="13"/>
  <c r="S104" i="13" s="1"/>
  <c r="J40" i="12" l="1"/>
  <c r="M104" i="13"/>
  <c r="F109" i="14"/>
  <c r="B110" i="14"/>
  <c r="F105" i="13"/>
  <c r="K105" i="13" s="1"/>
  <c r="E105" i="13"/>
  <c r="G105" i="13"/>
  <c r="V103" i="13"/>
  <c r="X103" i="13"/>
  <c r="W103" i="13"/>
  <c r="D74" i="9"/>
  <c r="F74" i="9" s="1"/>
  <c r="E74" i="9"/>
  <c r="H74" i="9" s="1"/>
  <c r="C75" i="9" s="1"/>
  <c r="T104" i="13"/>
  <c r="U104" i="13" s="1"/>
  <c r="Y104" i="13" s="1"/>
  <c r="G109" i="9"/>
  <c r="B110" i="9"/>
  <c r="I46" i="13"/>
  <c r="L46" i="13" s="1"/>
  <c r="Z46" i="13"/>
  <c r="AC46" i="13" s="1"/>
  <c r="R105" i="13"/>
  <c r="S105" i="13" s="1"/>
  <c r="C106" i="13"/>
  <c r="D106" i="13" s="1"/>
  <c r="H106" i="13" s="1"/>
  <c r="Q106" i="13"/>
  <c r="B107" i="13"/>
  <c r="P106" i="13"/>
  <c r="F109" i="8"/>
  <c r="B110" i="8"/>
  <c r="E49" i="14"/>
  <c r="H49" i="14" s="1"/>
  <c r="D67" i="8"/>
  <c r="G67" i="8" s="1"/>
  <c r="E67" i="8"/>
  <c r="H67" i="8" s="1"/>
  <c r="C68" i="8" s="1"/>
  <c r="M105" i="13" l="1"/>
  <c r="Q107" i="13"/>
  <c r="P107" i="13"/>
  <c r="B108" i="13"/>
  <c r="C107" i="13"/>
  <c r="D107" i="13" s="1"/>
  <c r="H107" i="13" s="1"/>
  <c r="F110" i="8"/>
  <c r="B111" i="8"/>
  <c r="T105" i="13"/>
  <c r="U105" i="13" s="1"/>
  <c r="Y105" i="13" s="1"/>
  <c r="F110" i="14"/>
  <c r="B111" i="14"/>
  <c r="X104" i="13"/>
  <c r="W104" i="13"/>
  <c r="AB104" i="13" s="1"/>
  <c r="V104" i="13"/>
  <c r="AB103" i="13"/>
  <c r="AD103" i="13" s="1"/>
  <c r="J55" i="12" s="1"/>
  <c r="G106" i="13"/>
  <c r="E106" i="13"/>
  <c r="F106" i="13"/>
  <c r="K106" i="13" s="1"/>
  <c r="E68" i="8"/>
  <c r="H68" i="8" s="1"/>
  <c r="C69" i="8" s="1"/>
  <c r="D68" i="8"/>
  <c r="G68" i="8" s="1"/>
  <c r="D75" i="9"/>
  <c r="F75" i="9" s="1"/>
  <c r="E75" i="9"/>
  <c r="H75" i="9" s="1"/>
  <c r="C76" i="9" s="1"/>
  <c r="B111" i="9"/>
  <c r="G110" i="9"/>
  <c r="J46" i="13"/>
  <c r="C50" i="14"/>
  <c r="AA46" i="13"/>
  <c r="R106" i="13"/>
  <c r="S106" i="13" s="1"/>
  <c r="R107" i="13" l="1"/>
  <c r="S107" i="13" s="1"/>
  <c r="AD104" i="13"/>
  <c r="G107" i="13"/>
  <c r="F107" i="13"/>
  <c r="K107" i="13" s="1"/>
  <c r="E107" i="13"/>
  <c r="T106" i="13"/>
  <c r="U106" i="13" s="1"/>
  <c r="Y106" i="13" s="1"/>
  <c r="D76" i="9"/>
  <c r="F76" i="9" s="1"/>
  <c r="E76" i="9"/>
  <c r="H76" i="9" s="1"/>
  <c r="C77" i="9" s="1"/>
  <c r="F111" i="8"/>
  <c r="B112" i="8"/>
  <c r="B109" i="13"/>
  <c r="C108" i="13"/>
  <c r="D108" i="13" s="1"/>
  <c r="H108" i="13" s="1"/>
  <c r="Q108" i="13"/>
  <c r="P108" i="13"/>
  <c r="B112" i="14"/>
  <c r="F111" i="14"/>
  <c r="D50" i="14"/>
  <c r="G50" i="14" s="1"/>
  <c r="X105" i="13"/>
  <c r="W105" i="13"/>
  <c r="AB105" i="13" s="1"/>
  <c r="V105" i="13"/>
  <c r="B112" i="9"/>
  <c r="G111" i="9"/>
  <c r="M106" i="13"/>
  <c r="D69" i="8"/>
  <c r="G69" i="8" s="1"/>
  <c r="J57" i="12"/>
  <c r="J58" i="12"/>
  <c r="M107" i="13" l="1"/>
  <c r="E108" i="13"/>
  <c r="G108" i="13"/>
  <c r="F108" i="13"/>
  <c r="Q109" i="13"/>
  <c r="P109" i="13"/>
  <c r="B110" i="13"/>
  <c r="C109" i="13"/>
  <c r="D109" i="13" s="1"/>
  <c r="H109" i="13" s="1"/>
  <c r="E77" i="9"/>
  <c r="H77" i="9" s="1"/>
  <c r="C78" i="9" s="1"/>
  <c r="D77" i="9"/>
  <c r="F77" i="9" s="1"/>
  <c r="AD105" i="13"/>
  <c r="E69" i="8"/>
  <c r="H69" i="8" s="1"/>
  <c r="C70" i="8" s="1"/>
  <c r="B113" i="9"/>
  <c r="G112" i="9"/>
  <c r="B113" i="14"/>
  <c r="F112" i="14"/>
  <c r="B113" i="8"/>
  <c r="F112" i="8"/>
  <c r="W106" i="13"/>
  <c r="AB106" i="13" s="1"/>
  <c r="X106" i="13"/>
  <c r="V106" i="13"/>
  <c r="T107" i="13"/>
  <c r="U107" i="13" s="1"/>
  <c r="Y107" i="13" s="1"/>
  <c r="I47" i="13"/>
  <c r="L47" i="13" s="1"/>
  <c r="Z47" i="13"/>
  <c r="AC47" i="13" s="1"/>
  <c r="E50" i="14"/>
  <c r="H50" i="14" s="1"/>
  <c r="R108" i="13"/>
  <c r="S108" i="13" s="1"/>
  <c r="R109" i="13" l="1"/>
  <c r="S109" i="13" s="1"/>
  <c r="AD106" i="13"/>
  <c r="B114" i="8"/>
  <c r="F113" i="8"/>
  <c r="D78" i="9"/>
  <c r="F78" i="9" s="1"/>
  <c r="E78" i="9"/>
  <c r="H78" i="9" s="1"/>
  <c r="C79" i="9" s="1"/>
  <c r="G109" i="13"/>
  <c r="F109" i="13"/>
  <c r="K109" i="13" s="1"/>
  <c r="E109" i="13"/>
  <c r="K108" i="13"/>
  <c r="M108" i="13" s="1"/>
  <c r="F113" i="14"/>
  <c r="B114" i="14"/>
  <c r="G113" i="9"/>
  <c r="B114" i="9"/>
  <c r="Q110" i="13"/>
  <c r="P110" i="13"/>
  <c r="B111" i="13"/>
  <c r="C110" i="13"/>
  <c r="D110" i="13" s="1"/>
  <c r="H110" i="13" s="1"/>
  <c r="X107" i="13"/>
  <c r="W107" i="13"/>
  <c r="AB107" i="13" s="1"/>
  <c r="V107" i="13"/>
  <c r="T108" i="13"/>
  <c r="U108" i="13" s="1"/>
  <c r="Y108" i="13" s="1"/>
  <c r="J47" i="13"/>
  <c r="C51" i="14"/>
  <c r="AA47" i="13"/>
  <c r="D70" i="8"/>
  <c r="G70" i="8" s="1"/>
  <c r="R110" i="13" l="1"/>
  <c r="S110" i="13" s="1"/>
  <c r="AD107" i="13"/>
  <c r="T109" i="13"/>
  <c r="U109" i="13" s="1"/>
  <c r="Y109" i="13" s="1"/>
  <c r="G110" i="13"/>
  <c r="F110" i="13"/>
  <c r="E110" i="13"/>
  <c r="K110" i="13"/>
  <c r="D79" i="9"/>
  <c r="F79" i="9" s="1"/>
  <c r="E79" i="9"/>
  <c r="H79" i="9" s="1"/>
  <c r="C80" i="9" s="1"/>
  <c r="C111" i="13"/>
  <c r="D111" i="13" s="1"/>
  <c r="H111" i="13" s="1"/>
  <c r="P111" i="13"/>
  <c r="B112" i="13"/>
  <c r="Q111" i="13"/>
  <c r="F114" i="14"/>
  <c r="B115" i="14"/>
  <c r="B115" i="8"/>
  <c r="F114" i="8"/>
  <c r="E70" i="8"/>
  <c r="H70" i="8" s="1"/>
  <c r="C71" i="8" s="1"/>
  <c r="D51" i="14"/>
  <c r="G51" i="14" s="1"/>
  <c r="M109" i="13"/>
  <c r="W108" i="13"/>
  <c r="AB108" i="13" s="1"/>
  <c r="V108" i="13"/>
  <c r="X108" i="13"/>
  <c r="G114" i="9"/>
  <c r="B115" i="9"/>
  <c r="AD108" i="13" l="1"/>
  <c r="M110" i="13"/>
  <c r="D80" i="9"/>
  <c r="F80" i="9" s="1"/>
  <c r="I48" i="13"/>
  <c r="L48" i="13" s="1"/>
  <c r="Z48" i="13"/>
  <c r="AC48" i="13" s="1"/>
  <c r="E51" i="14"/>
  <c r="H51" i="14" s="1"/>
  <c r="X109" i="13"/>
  <c r="V109" i="13"/>
  <c r="W109" i="13"/>
  <c r="AB109" i="13" s="1"/>
  <c r="B116" i="8"/>
  <c r="F115" i="8"/>
  <c r="D71" i="8"/>
  <c r="G71" i="8" s="1"/>
  <c r="T110" i="13"/>
  <c r="U110" i="13" s="1"/>
  <c r="Y110" i="13" s="1"/>
  <c r="Q112" i="13"/>
  <c r="P112" i="13"/>
  <c r="B113" i="13"/>
  <c r="C112" i="13"/>
  <c r="D112" i="13" s="1"/>
  <c r="H112" i="13" s="1"/>
  <c r="F115" i="14"/>
  <c r="B116" i="14"/>
  <c r="R111" i="13"/>
  <c r="S111" i="13" s="1"/>
  <c r="B116" i="9"/>
  <c r="G115" i="9"/>
  <c r="F111" i="13"/>
  <c r="K111" i="13" s="1"/>
  <c r="G111" i="13"/>
  <c r="E111" i="13"/>
  <c r="R112" i="13" l="1"/>
  <c r="S112" i="13" s="1"/>
  <c r="AD109" i="13"/>
  <c r="M111" i="13"/>
  <c r="T111" i="13"/>
  <c r="U111" i="13" s="1"/>
  <c r="Y111" i="13" s="1"/>
  <c r="G112" i="13"/>
  <c r="F112" i="13"/>
  <c r="K112" i="13" s="1"/>
  <c r="E112" i="13"/>
  <c r="E71" i="8"/>
  <c r="H71" i="8" s="1"/>
  <c r="C72" i="8" s="1"/>
  <c r="J48" i="13"/>
  <c r="C52" i="14"/>
  <c r="AA48" i="13"/>
  <c r="B117" i="14"/>
  <c r="F116" i="14"/>
  <c r="B117" i="9"/>
  <c r="G116" i="9"/>
  <c r="X110" i="13"/>
  <c r="W110" i="13"/>
  <c r="AB110" i="13" s="1"/>
  <c r="V110" i="13"/>
  <c r="E80" i="9"/>
  <c r="H80" i="9" s="1"/>
  <c r="C81" i="9" s="1"/>
  <c r="P113" i="13"/>
  <c r="B114" i="13"/>
  <c r="C113" i="13"/>
  <c r="D113" i="13" s="1"/>
  <c r="H113" i="13" s="1"/>
  <c r="Q113" i="13"/>
  <c r="F116" i="8"/>
  <c r="B117" i="8"/>
  <c r="R113" i="13" l="1"/>
  <c r="S113" i="13" s="1"/>
  <c r="T113" i="13" s="1"/>
  <c r="U113" i="13" s="1"/>
  <c r="Y113" i="13" s="1"/>
  <c r="AD110" i="13"/>
  <c r="M112" i="13"/>
  <c r="D81" i="9"/>
  <c r="F81" i="9" s="1"/>
  <c r="E81" i="9"/>
  <c r="H81" i="9" s="1"/>
  <c r="C82" i="9" s="1"/>
  <c r="F117" i="8"/>
  <c r="B118" i="8"/>
  <c r="T112" i="13"/>
  <c r="U112" i="13" s="1"/>
  <c r="Y112" i="13" s="1"/>
  <c r="D72" i="8"/>
  <c r="G72" i="8" s="1"/>
  <c r="V111" i="13"/>
  <c r="X111" i="13"/>
  <c r="W111" i="13"/>
  <c r="AB111" i="13" s="1"/>
  <c r="D52" i="14"/>
  <c r="G52" i="14" s="1"/>
  <c r="F113" i="13"/>
  <c r="E113" i="13"/>
  <c r="G113" i="13"/>
  <c r="C114" i="13"/>
  <c r="D114" i="13" s="1"/>
  <c r="H114" i="13" s="1"/>
  <c r="B115" i="13"/>
  <c r="P114" i="13"/>
  <c r="Q114" i="13"/>
  <c r="G117" i="9"/>
  <c r="B118" i="9"/>
  <c r="B118" i="14"/>
  <c r="F117" i="14"/>
  <c r="E52" i="14" l="1"/>
  <c r="H52" i="14" s="1"/>
  <c r="R114" i="13"/>
  <c r="S114" i="13" s="1"/>
  <c r="T114" i="13" s="1"/>
  <c r="U114" i="13" s="1"/>
  <c r="Y114" i="13" s="1"/>
  <c r="AD111" i="13"/>
  <c r="G114" i="13"/>
  <c r="E114" i="13"/>
  <c r="F114" i="13"/>
  <c r="K114" i="13" s="1"/>
  <c r="B119" i="14"/>
  <c r="F118" i="14"/>
  <c r="B119" i="9"/>
  <c r="G118" i="9"/>
  <c r="X113" i="13"/>
  <c r="W113" i="13"/>
  <c r="AB113" i="13" s="1"/>
  <c r="V113" i="13"/>
  <c r="D82" i="9"/>
  <c r="F82" i="9" s="1"/>
  <c r="E82" i="9"/>
  <c r="H82" i="9" s="1"/>
  <c r="C83" i="9" s="1"/>
  <c r="K113" i="13"/>
  <c r="M113" i="13" s="1"/>
  <c r="I49" i="13"/>
  <c r="L49" i="13" s="1"/>
  <c r="Z49" i="13"/>
  <c r="AC49" i="13" s="1"/>
  <c r="E72" i="8"/>
  <c r="H72" i="8" s="1"/>
  <c r="C73" i="8" s="1"/>
  <c r="F118" i="8"/>
  <c r="B119" i="8"/>
  <c r="C115" i="13"/>
  <c r="D115" i="13" s="1"/>
  <c r="H115" i="13" s="1"/>
  <c r="B116" i="13"/>
  <c r="P115" i="13"/>
  <c r="Q115" i="13"/>
  <c r="J49" i="13"/>
  <c r="C53" i="14"/>
  <c r="AA49" i="13"/>
  <c r="X112" i="13"/>
  <c r="W112" i="13"/>
  <c r="AB112" i="13" s="1"/>
  <c r="V112" i="13"/>
  <c r="M114" i="13" l="1"/>
  <c r="R115" i="13"/>
  <c r="S115" i="13" s="1"/>
  <c r="T115" i="13" s="1"/>
  <c r="U115" i="13" s="1"/>
  <c r="Y115" i="13" s="1"/>
  <c r="AD112" i="13"/>
  <c r="AD113" i="13"/>
  <c r="B117" i="13"/>
  <c r="C116" i="13"/>
  <c r="D116" i="13" s="1"/>
  <c r="H116" i="13" s="1"/>
  <c r="Q116" i="13"/>
  <c r="P116" i="13"/>
  <c r="D83" i="9"/>
  <c r="F83" i="9" s="1"/>
  <c r="G115" i="13"/>
  <c r="E115" i="13"/>
  <c r="F115" i="13"/>
  <c r="D53" i="14"/>
  <c r="G53" i="14" s="1"/>
  <c r="W114" i="13"/>
  <c r="AB114" i="13" s="1"/>
  <c r="V114" i="13"/>
  <c r="X114" i="13"/>
  <c r="D73" i="8"/>
  <c r="G73" i="8" s="1"/>
  <c r="B120" i="14"/>
  <c r="F119" i="14"/>
  <c r="F119" i="8"/>
  <c r="B120" i="8"/>
  <c r="B120" i="9"/>
  <c r="G119" i="9"/>
  <c r="R116" i="13" l="1"/>
  <c r="E53" i="14"/>
  <c r="H53" i="14" s="1"/>
  <c r="C54" i="14" s="1"/>
  <c r="S116" i="13"/>
  <c r="K115" i="13"/>
  <c r="M115" i="13" s="1"/>
  <c r="K37" i="12" s="1"/>
  <c r="K39" i="12" s="1"/>
  <c r="AD114" i="13"/>
  <c r="E116" i="13"/>
  <c r="F116" i="13"/>
  <c r="K116" i="13" s="1"/>
  <c r="G116" i="13"/>
  <c r="C117" i="13"/>
  <c r="D117" i="13" s="1"/>
  <c r="H117" i="13" s="1"/>
  <c r="B118" i="13"/>
  <c r="Q117" i="13"/>
  <c r="P117" i="13"/>
  <c r="I50" i="13"/>
  <c r="L50" i="13" s="1"/>
  <c r="Z50" i="13"/>
  <c r="AC50" i="13" s="1"/>
  <c r="W115" i="13"/>
  <c r="AB115" i="13" s="1"/>
  <c r="V115" i="13"/>
  <c r="X115" i="13"/>
  <c r="E73" i="8"/>
  <c r="H73" i="8" s="1"/>
  <c r="C74" i="8" s="1"/>
  <c r="T116" i="13"/>
  <c r="U116" i="13" s="1"/>
  <c r="Y116" i="13" s="1"/>
  <c r="G120" i="9"/>
  <c r="B121" i="9"/>
  <c r="B121" i="8"/>
  <c r="F120" i="8"/>
  <c r="J50" i="13"/>
  <c r="E83" i="9"/>
  <c r="H83" i="9" s="1"/>
  <c r="C84" i="9" s="1"/>
  <c r="B121" i="14"/>
  <c r="F120" i="14"/>
  <c r="AA50" i="13" l="1"/>
  <c r="R117" i="13"/>
  <c r="S117" i="13" s="1"/>
  <c r="T117" i="13" s="1"/>
  <c r="U117" i="13" s="1"/>
  <c r="Y117" i="13" s="1"/>
  <c r="K40" i="12"/>
  <c r="M116" i="13"/>
  <c r="AD115" i="13"/>
  <c r="K55" i="12" s="1"/>
  <c r="K57" i="12" s="1"/>
  <c r="D84" i="9"/>
  <c r="F84" i="9" s="1"/>
  <c r="Q118" i="13"/>
  <c r="B119" i="13"/>
  <c r="P118" i="13"/>
  <c r="C118" i="13"/>
  <c r="D118" i="13" s="1"/>
  <c r="H118" i="13" s="1"/>
  <c r="D54" i="14"/>
  <c r="G54" i="14" s="1"/>
  <c r="B122" i="9"/>
  <c r="G121" i="9"/>
  <c r="F117" i="13"/>
  <c r="K117" i="13" s="1"/>
  <c r="G117" i="13"/>
  <c r="E117" i="13"/>
  <c r="W116" i="13"/>
  <c r="AB116" i="13" s="1"/>
  <c r="X116" i="13"/>
  <c r="V116" i="13"/>
  <c r="F121" i="14"/>
  <c r="B122" i="14"/>
  <c r="B122" i="8"/>
  <c r="F121" i="8"/>
  <c r="D74" i="8"/>
  <c r="G74" i="8" s="1"/>
  <c r="K58" i="12" l="1"/>
  <c r="R118" i="13"/>
  <c r="S118" i="13" s="1"/>
  <c r="T118" i="13" s="1"/>
  <c r="U118" i="13" s="1"/>
  <c r="Y118" i="13" s="1"/>
  <c r="M117" i="13"/>
  <c r="AD116" i="13"/>
  <c r="I51" i="13"/>
  <c r="L51" i="13" s="1"/>
  <c r="Z51" i="13"/>
  <c r="AC51" i="13" s="1"/>
  <c r="X117" i="13"/>
  <c r="W117" i="13"/>
  <c r="V117" i="13"/>
  <c r="E54" i="14"/>
  <c r="H54" i="14" s="1"/>
  <c r="G118" i="13"/>
  <c r="E118" i="13"/>
  <c r="F118" i="13"/>
  <c r="K118" i="13" s="1"/>
  <c r="E84" i="9"/>
  <c r="H84" i="9" s="1"/>
  <c r="C85" i="9" s="1"/>
  <c r="C119" i="13"/>
  <c r="D119" i="13" s="1"/>
  <c r="H119" i="13" s="1"/>
  <c r="Q119" i="13"/>
  <c r="B120" i="13"/>
  <c r="P119" i="13"/>
  <c r="E74" i="8"/>
  <c r="H74" i="8" s="1"/>
  <c r="C75" i="8" s="1"/>
  <c r="F122" i="14"/>
  <c r="B123" i="14"/>
  <c r="G122" i="9"/>
  <c r="B123" i="9"/>
  <c r="B123" i="8"/>
  <c r="F122" i="8"/>
  <c r="R119" i="13" l="1"/>
  <c r="S119" i="13" s="1"/>
  <c r="T119" i="13" s="1"/>
  <c r="U119" i="13" s="1"/>
  <c r="Y119" i="13" s="1"/>
  <c r="X118" i="13"/>
  <c r="W118" i="13"/>
  <c r="AB118" i="13" s="1"/>
  <c r="V118" i="13"/>
  <c r="M118" i="13"/>
  <c r="B124" i="8"/>
  <c r="F123" i="8"/>
  <c r="D75" i="8"/>
  <c r="G75" i="8" s="1"/>
  <c r="AB117" i="13"/>
  <c r="AD117" i="13" s="1"/>
  <c r="D85" i="9"/>
  <c r="F85" i="9" s="1"/>
  <c r="J51" i="13"/>
  <c r="AA51" i="13"/>
  <c r="C55" i="14"/>
  <c r="F123" i="14"/>
  <c r="B124" i="14"/>
  <c r="Q120" i="13"/>
  <c r="P120" i="13"/>
  <c r="B121" i="13"/>
  <c r="C120" i="13"/>
  <c r="D120" i="13" s="1"/>
  <c r="H120" i="13" s="1"/>
  <c r="B124" i="9"/>
  <c r="G123" i="9"/>
  <c r="G119" i="13"/>
  <c r="F119" i="13"/>
  <c r="K119" i="13" s="1"/>
  <c r="E119" i="13"/>
  <c r="R120" i="13" l="1"/>
  <c r="S120" i="13" s="1"/>
  <c r="T120" i="13" s="1"/>
  <c r="U120" i="13" s="1"/>
  <c r="Y120" i="13" s="1"/>
  <c r="AD118" i="13"/>
  <c r="M119" i="13"/>
  <c r="G120" i="13"/>
  <c r="F120" i="13"/>
  <c r="K120" i="13" s="1"/>
  <c r="E120" i="13"/>
  <c r="V119" i="13"/>
  <c r="X119" i="13"/>
  <c r="W119" i="13"/>
  <c r="B125" i="8"/>
  <c r="F124" i="8"/>
  <c r="P121" i="13"/>
  <c r="B122" i="13"/>
  <c r="C121" i="13"/>
  <c r="D121" i="13" s="1"/>
  <c r="H121" i="13" s="1"/>
  <c r="Q121" i="13"/>
  <c r="B125" i="14"/>
  <c r="F124" i="14"/>
  <c r="D55" i="14"/>
  <c r="G55" i="14" s="1"/>
  <c r="B125" i="9"/>
  <c r="G124" i="9"/>
  <c r="E75" i="8"/>
  <c r="H75" i="8" s="1"/>
  <c r="C76" i="8" s="1"/>
  <c r="E85" i="9"/>
  <c r="H85" i="9" s="1"/>
  <c r="C86" i="9" s="1"/>
  <c r="E55" i="14" l="1"/>
  <c r="H55" i="14" s="1"/>
  <c r="J52" i="13" s="1"/>
  <c r="R121" i="13"/>
  <c r="S121" i="13" s="1"/>
  <c r="T121" i="13" s="1"/>
  <c r="U121" i="13" s="1"/>
  <c r="Y121" i="13" s="1"/>
  <c r="M120" i="13"/>
  <c r="D76" i="8"/>
  <c r="G76" i="8" s="1"/>
  <c r="I52" i="13"/>
  <c r="L52" i="13" s="1"/>
  <c r="Z52" i="13"/>
  <c r="AC52" i="13" s="1"/>
  <c r="AA52" i="13"/>
  <c r="AB119" i="13"/>
  <c r="AD119" i="13" s="1"/>
  <c r="B126" i="14"/>
  <c r="F125" i="14"/>
  <c r="F125" i="8"/>
  <c r="B126" i="8"/>
  <c r="X120" i="13"/>
  <c r="W120" i="13"/>
  <c r="AB120" i="13" s="1"/>
  <c r="V120" i="13"/>
  <c r="F121" i="13"/>
  <c r="K121" i="13" s="1"/>
  <c r="E121" i="13"/>
  <c r="G121" i="13"/>
  <c r="G125" i="9"/>
  <c r="B126" i="9"/>
  <c r="D86" i="9"/>
  <c r="F86" i="9" s="1"/>
  <c r="C122" i="13"/>
  <c r="D122" i="13" s="1"/>
  <c r="H122" i="13" s="1"/>
  <c r="B123" i="13"/>
  <c r="Q122" i="13"/>
  <c r="P122" i="13"/>
  <c r="C56" i="14" l="1"/>
  <c r="D56" i="14" s="1"/>
  <c r="G56" i="14" s="1"/>
  <c r="R122" i="13"/>
  <c r="S122" i="13" s="1"/>
  <c r="T122" i="13" s="1"/>
  <c r="U122" i="13" s="1"/>
  <c r="Y122" i="13" s="1"/>
  <c r="M121" i="13"/>
  <c r="B127" i="9"/>
  <c r="G126" i="9"/>
  <c r="F126" i="8"/>
  <c r="B127" i="8"/>
  <c r="B127" i="14"/>
  <c r="F126" i="14"/>
  <c r="E86" i="9"/>
  <c r="H86" i="9" s="1"/>
  <c r="C87" i="9" s="1"/>
  <c r="E76" i="8"/>
  <c r="H76" i="8" s="1"/>
  <c r="C77" i="8" s="1"/>
  <c r="F122" i="13"/>
  <c r="K122" i="13" s="1"/>
  <c r="E122" i="13"/>
  <c r="G122" i="13"/>
  <c r="AD120" i="13"/>
  <c r="X121" i="13"/>
  <c r="W121" i="13"/>
  <c r="AB121" i="13" s="1"/>
  <c r="V121" i="13"/>
  <c r="Q123" i="13"/>
  <c r="P123" i="13"/>
  <c r="B124" i="13"/>
  <c r="C123" i="13"/>
  <c r="D123" i="13" s="1"/>
  <c r="H123" i="13" s="1"/>
  <c r="B125" i="13" l="1"/>
  <c r="C124" i="13"/>
  <c r="D124" i="13" s="1"/>
  <c r="H124" i="13" s="1"/>
  <c r="Q124" i="13"/>
  <c r="P124" i="13"/>
  <c r="R123" i="13"/>
  <c r="S123" i="13" s="1"/>
  <c r="AD121" i="13"/>
  <c r="F127" i="8"/>
  <c r="B128" i="8"/>
  <c r="B128" i="9"/>
  <c r="G127" i="9"/>
  <c r="M122" i="13"/>
  <c r="X122" i="13"/>
  <c r="W122" i="13"/>
  <c r="AB122" i="13" s="1"/>
  <c r="V122" i="13"/>
  <c r="D87" i="9"/>
  <c r="F87" i="9" s="1"/>
  <c r="I53" i="13"/>
  <c r="L53" i="13" s="1"/>
  <c r="Z53" i="13"/>
  <c r="AC53" i="13" s="1"/>
  <c r="E56" i="14"/>
  <c r="H56" i="14" s="1"/>
  <c r="G123" i="13"/>
  <c r="F123" i="13"/>
  <c r="K123" i="13" s="1"/>
  <c r="E123" i="13"/>
  <c r="D77" i="8"/>
  <c r="G77" i="8" s="1"/>
  <c r="B128" i="14"/>
  <c r="F127" i="14"/>
  <c r="M123" i="13" l="1"/>
  <c r="E87" i="9"/>
  <c r="H87" i="9" s="1"/>
  <c r="C88" i="9" s="1"/>
  <c r="B129" i="8"/>
  <c r="F128" i="8"/>
  <c r="T123" i="13"/>
  <c r="U123" i="13" s="1"/>
  <c r="Y123" i="13" s="1"/>
  <c r="R124" i="13"/>
  <c r="S124" i="13" s="1"/>
  <c r="E124" i="13"/>
  <c r="G124" i="13"/>
  <c r="F124" i="13"/>
  <c r="B129" i="14"/>
  <c r="F128" i="14"/>
  <c r="AD122" i="13"/>
  <c r="J53" i="13"/>
  <c r="AA53" i="13"/>
  <c r="C57" i="14"/>
  <c r="Q125" i="13"/>
  <c r="C125" i="13"/>
  <c r="D125" i="13" s="1"/>
  <c r="H125" i="13" s="1"/>
  <c r="P125" i="13"/>
  <c r="B126" i="13"/>
  <c r="E77" i="8"/>
  <c r="H77" i="8" s="1"/>
  <c r="C78" i="8" s="1"/>
  <c r="B129" i="9"/>
  <c r="G128" i="9"/>
  <c r="R125" i="13" l="1"/>
  <c r="S125" i="13" s="1"/>
  <c r="D78" i="8"/>
  <c r="G78" i="8" s="1"/>
  <c r="E78" i="8"/>
  <c r="H78" i="8" s="1"/>
  <c r="C79" i="8" s="1"/>
  <c r="T124" i="13"/>
  <c r="U124" i="13" s="1"/>
  <c r="Y124" i="13" s="1"/>
  <c r="X123" i="13"/>
  <c r="W123" i="13"/>
  <c r="AB123" i="13" s="1"/>
  <c r="V123" i="13"/>
  <c r="D88" i="9"/>
  <c r="F88" i="9" s="1"/>
  <c r="Q126" i="13"/>
  <c r="P126" i="13"/>
  <c r="B127" i="13"/>
  <c r="C126" i="13"/>
  <c r="D126" i="13" s="1"/>
  <c r="H126" i="13" s="1"/>
  <c r="B130" i="8"/>
  <c r="F129" i="8"/>
  <c r="G125" i="13"/>
  <c r="E125" i="13"/>
  <c r="F125" i="13"/>
  <c r="K125" i="13" s="1"/>
  <c r="K124" i="13"/>
  <c r="M124" i="13" s="1"/>
  <c r="B130" i="9"/>
  <c r="G129" i="9"/>
  <c r="F129" i="14"/>
  <c r="B130" i="14"/>
  <c r="D57" i="14"/>
  <c r="G57" i="14" s="1"/>
  <c r="R126" i="13" l="1"/>
  <c r="S126" i="13" s="1"/>
  <c r="E57" i="14"/>
  <c r="H57" i="14" s="1"/>
  <c r="J54" i="13" s="1"/>
  <c r="AD123" i="13"/>
  <c r="M125" i="13"/>
  <c r="B131" i="8"/>
  <c r="F130" i="8"/>
  <c r="W124" i="13"/>
  <c r="AB124" i="13" s="1"/>
  <c r="V124" i="13"/>
  <c r="X124" i="13"/>
  <c r="T125" i="13"/>
  <c r="U125" i="13" s="1"/>
  <c r="Y125" i="13" s="1"/>
  <c r="C127" i="13"/>
  <c r="D127" i="13" s="1"/>
  <c r="H127" i="13" s="1"/>
  <c r="P127" i="13"/>
  <c r="Q127" i="13"/>
  <c r="B128" i="13"/>
  <c r="E79" i="8"/>
  <c r="H79" i="8" s="1"/>
  <c r="C80" i="8" s="1"/>
  <c r="D79" i="8"/>
  <c r="G79" i="8" s="1"/>
  <c r="G130" i="9"/>
  <c r="B131" i="9"/>
  <c r="G126" i="13"/>
  <c r="F126" i="13"/>
  <c r="K126" i="13" s="1"/>
  <c r="E126" i="13"/>
  <c r="I54" i="13"/>
  <c r="L54" i="13" s="1"/>
  <c r="Z54" i="13"/>
  <c r="AC54" i="13" s="1"/>
  <c r="F130" i="14"/>
  <c r="B131" i="14"/>
  <c r="E88" i="9"/>
  <c r="H88" i="9" s="1"/>
  <c r="C89" i="9" s="1"/>
  <c r="C58" i="14" l="1"/>
  <c r="AA54" i="13"/>
  <c r="AD124" i="13"/>
  <c r="M126" i="13"/>
  <c r="D80" i="8"/>
  <c r="G80" i="8" s="1"/>
  <c r="V125" i="13"/>
  <c r="X125" i="13"/>
  <c r="W125" i="13"/>
  <c r="AB125" i="13" s="1"/>
  <c r="B132" i="9"/>
  <c r="G131" i="9"/>
  <c r="Q128" i="13"/>
  <c r="P128" i="13"/>
  <c r="B129" i="13"/>
  <c r="C128" i="13"/>
  <c r="D128" i="13" s="1"/>
  <c r="H128" i="13" s="1"/>
  <c r="D58" i="14"/>
  <c r="G58" i="14" s="1"/>
  <c r="R127" i="13"/>
  <c r="S127" i="13" s="1"/>
  <c r="F127" i="13"/>
  <c r="K127" i="13" s="1"/>
  <c r="G127" i="13"/>
  <c r="E127" i="13"/>
  <c r="F131" i="14"/>
  <c r="B132" i="14"/>
  <c r="T126" i="13"/>
  <c r="U126" i="13" s="1"/>
  <c r="Y126" i="13" s="1"/>
  <c r="B132" i="8"/>
  <c r="F131" i="8"/>
  <c r="D89" i="9"/>
  <c r="F89" i="9" s="1"/>
  <c r="E58" i="14" l="1"/>
  <c r="H58" i="14" s="1"/>
  <c r="R128" i="13"/>
  <c r="S128" i="13" s="1"/>
  <c r="AD125" i="13"/>
  <c r="T127" i="13"/>
  <c r="U127" i="13" s="1"/>
  <c r="Y127" i="13" s="1"/>
  <c r="B133" i="9"/>
  <c r="G132" i="9"/>
  <c r="B133" i="14"/>
  <c r="F132" i="14"/>
  <c r="G128" i="13"/>
  <c r="F128" i="13"/>
  <c r="K128" i="13" s="1"/>
  <c r="E128" i="13"/>
  <c r="B133" i="8"/>
  <c r="F132" i="8"/>
  <c r="I55" i="13"/>
  <c r="L55" i="13" s="1"/>
  <c r="F44" i="12" s="1"/>
  <c r="Z55" i="13"/>
  <c r="AC55" i="13" s="1"/>
  <c r="F62" i="12" s="1"/>
  <c r="P129" i="13"/>
  <c r="B130" i="13"/>
  <c r="C129" i="13"/>
  <c r="D129" i="13" s="1"/>
  <c r="H129" i="13" s="1"/>
  <c r="Q129" i="13"/>
  <c r="E80" i="8"/>
  <c r="H80" i="8" s="1"/>
  <c r="C81" i="8" s="1"/>
  <c r="J55" i="13"/>
  <c r="C59" i="14"/>
  <c r="AA55" i="13"/>
  <c r="M127" i="13"/>
  <c r="L37" i="12" s="1"/>
  <c r="E89" i="9"/>
  <c r="H89" i="9" s="1"/>
  <c r="C90" i="9" s="1"/>
  <c r="X126" i="13"/>
  <c r="W126" i="13"/>
  <c r="AB126" i="13" s="1"/>
  <c r="V126" i="13"/>
  <c r="AD126" i="13" l="1"/>
  <c r="M128" i="13"/>
  <c r="F129" i="13"/>
  <c r="K129" i="13" s="1"/>
  <c r="E129" i="13"/>
  <c r="G129" i="13"/>
  <c r="T128" i="13"/>
  <c r="U128" i="13" s="1"/>
  <c r="Y128" i="13" s="1"/>
  <c r="G133" i="9"/>
  <c r="B134" i="9"/>
  <c r="D90" i="9"/>
  <c r="F90" i="9" s="1"/>
  <c r="E90" i="9"/>
  <c r="H90" i="9" s="1"/>
  <c r="C91" i="9" s="1"/>
  <c r="C130" i="13"/>
  <c r="D130" i="13" s="1"/>
  <c r="H130" i="13" s="1"/>
  <c r="Q130" i="13"/>
  <c r="B131" i="13"/>
  <c r="P130" i="13"/>
  <c r="L39" i="12"/>
  <c r="L40" i="12"/>
  <c r="F133" i="8"/>
  <c r="B134" i="8"/>
  <c r="F64" i="12"/>
  <c r="F65" i="12"/>
  <c r="V127" i="13"/>
  <c r="X127" i="13"/>
  <c r="W127" i="13"/>
  <c r="AB127" i="13" s="1"/>
  <c r="B134" i="14"/>
  <c r="F133" i="14"/>
  <c r="R129" i="13"/>
  <c r="S129" i="13" s="1"/>
  <c r="F46" i="12"/>
  <c r="F47" i="12"/>
  <c r="D59" i="14"/>
  <c r="G59" i="14" s="1"/>
  <c r="D81" i="8"/>
  <c r="G81" i="8" s="1"/>
  <c r="E81" i="8"/>
  <c r="H81" i="8" s="1"/>
  <c r="C82" i="8" s="1"/>
  <c r="AD127" i="13" l="1"/>
  <c r="L55" i="12" s="1"/>
  <c r="L57" i="12" s="1"/>
  <c r="M129" i="13"/>
  <c r="Q131" i="13"/>
  <c r="P131" i="13"/>
  <c r="B132" i="13"/>
  <c r="C131" i="13"/>
  <c r="D131" i="13" s="1"/>
  <c r="H131" i="13" s="1"/>
  <c r="G130" i="13"/>
  <c r="E130" i="13"/>
  <c r="F130" i="13"/>
  <c r="K130" i="13" s="1"/>
  <c r="D91" i="9"/>
  <c r="F91" i="9" s="1"/>
  <c r="E59" i="14"/>
  <c r="H59" i="14" s="1"/>
  <c r="B135" i="14"/>
  <c r="F134" i="14"/>
  <c r="X128" i="13"/>
  <c r="W128" i="13"/>
  <c r="AB128" i="13" s="1"/>
  <c r="V128" i="13"/>
  <c r="I56" i="13"/>
  <c r="L56" i="13" s="1"/>
  <c r="Z56" i="13"/>
  <c r="AC56" i="13" s="1"/>
  <c r="B135" i="9"/>
  <c r="G134" i="9"/>
  <c r="D82" i="8"/>
  <c r="G82" i="8" s="1"/>
  <c r="E82" i="8"/>
  <c r="H82" i="8" s="1"/>
  <c r="C83" i="8" s="1"/>
  <c r="T129" i="13"/>
  <c r="U129" i="13" s="1"/>
  <c r="Y129" i="13" s="1"/>
  <c r="F134" i="8"/>
  <c r="B135" i="8"/>
  <c r="R130" i="13"/>
  <c r="S130" i="13" s="1"/>
  <c r="R131" i="13" l="1"/>
  <c r="S131" i="13" s="1"/>
  <c r="L58" i="12"/>
  <c r="M130" i="13"/>
  <c r="G131" i="13"/>
  <c r="F131" i="13"/>
  <c r="K131" i="13" s="1"/>
  <c r="E131" i="13"/>
  <c r="T130" i="13"/>
  <c r="U130" i="13" s="1"/>
  <c r="Y130" i="13" s="1"/>
  <c r="B133" i="13"/>
  <c r="C132" i="13"/>
  <c r="D132" i="13" s="1"/>
  <c r="H132" i="13" s="1"/>
  <c r="Q132" i="13"/>
  <c r="P132" i="13"/>
  <c r="F135" i="8"/>
  <c r="B136" i="8"/>
  <c r="B136" i="9"/>
  <c r="G135" i="9"/>
  <c r="J56" i="13"/>
  <c r="C60" i="14"/>
  <c r="AA56" i="13"/>
  <c r="X129" i="13"/>
  <c r="W129" i="13"/>
  <c r="V129" i="13"/>
  <c r="D83" i="8"/>
  <c r="G83" i="8" s="1"/>
  <c r="E83" i="8"/>
  <c r="H83" i="8" s="1"/>
  <c r="C84" i="8" s="1"/>
  <c r="AD128" i="13"/>
  <c r="E91" i="9"/>
  <c r="H91" i="9" s="1"/>
  <c r="C92" i="9" s="1"/>
  <c r="B136" i="14"/>
  <c r="F135" i="14"/>
  <c r="M131" i="13" l="1"/>
  <c r="E92" i="9"/>
  <c r="H92" i="9" s="1"/>
  <c r="C93" i="9" s="1"/>
  <c r="D92" i="9"/>
  <c r="F92" i="9" s="1"/>
  <c r="E132" i="13"/>
  <c r="G132" i="13"/>
  <c r="F132" i="13"/>
  <c r="K132" i="13" s="1"/>
  <c r="Q133" i="13"/>
  <c r="P133" i="13"/>
  <c r="C133" i="13"/>
  <c r="D133" i="13" s="1"/>
  <c r="H133" i="13" s="1"/>
  <c r="B134" i="13"/>
  <c r="B137" i="9"/>
  <c r="G136" i="9"/>
  <c r="D84" i="8"/>
  <c r="G84" i="8" s="1"/>
  <c r="AB129" i="13"/>
  <c r="AD129" i="13" s="1"/>
  <c r="B137" i="8"/>
  <c r="F136" i="8"/>
  <c r="W130" i="13"/>
  <c r="AB130" i="13" s="1"/>
  <c r="V130" i="13"/>
  <c r="X130" i="13"/>
  <c r="B137" i="14"/>
  <c r="F136" i="14"/>
  <c r="D60" i="14"/>
  <c r="G60" i="14" s="1"/>
  <c r="T131" i="13"/>
  <c r="U131" i="13" s="1"/>
  <c r="Y131" i="13" s="1"/>
  <c r="R132" i="13"/>
  <c r="S132" i="13" s="1"/>
  <c r="AD130" i="13" l="1"/>
  <c r="M132" i="13"/>
  <c r="E84" i="8"/>
  <c r="H84" i="8" s="1"/>
  <c r="C85" i="8" s="1"/>
  <c r="B138" i="8"/>
  <c r="F137" i="8"/>
  <c r="Q134" i="13"/>
  <c r="P134" i="13"/>
  <c r="B135" i="13"/>
  <c r="C134" i="13"/>
  <c r="D134" i="13" s="1"/>
  <c r="H134" i="13" s="1"/>
  <c r="G133" i="13"/>
  <c r="F133" i="13"/>
  <c r="K133" i="13" s="1"/>
  <c r="E133" i="13"/>
  <c r="I57" i="13"/>
  <c r="L57" i="13" s="1"/>
  <c r="Z57" i="13"/>
  <c r="AC57" i="13" s="1"/>
  <c r="E60" i="14"/>
  <c r="H60" i="14" s="1"/>
  <c r="T132" i="13"/>
  <c r="U132" i="13" s="1"/>
  <c r="Y132" i="13" s="1"/>
  <c r="R133" i="13"/>
  <c r="S133" i="13" s="1"/>
  <c r="F137" i="14"/>
  <c r="B138" i="14"/>
  <c r="X131" i="13"/>
  <c r="W131" i="13"/>
  <c r="V131" i="13"/>
  <c r="B138" i="9"/>
  <c r="G137" i="9"/>
  <c r="D93" i="9"/>
  <c r="F93" i="9" s="1"/>
  <c r="R134" i="13" l="1"/>
  <c r="S134" i="13" s="1"/>
  <c r="G134" i="13"/>
  <c r="F134" i="13"/>
  <c r="K134" i="13" s="1"/>
  <c r="E134" i="13"/>
  <c r="T133" i="13"/>
  <c r="U133" i="13" s="1"/>
  <c r="Y133" i="13" s="1"/>
  <c r="C135" i="13"/>
  <c r="D135" i="13" s="1"/>
  <c r="H135" i="13" s="1"/>
  <c r="P135" i="13"/>
  <c r="B136" i="13"/>
  <c r="Q135" i="13"/>
  <c r="B139" i="8"/>
  <c r="F138" i="8"/>
  <c r="M133" i="13"/>
  <c r="D85" i="8"/>
  <c r="G85" i="8" s="1"/>
  <c r="E93" i="9"/>
  <c r="H93" i="9" s="1"/>
  <c r="C94" i="9" s="1"/>
  <c r="W132" i="13"/>
  <c r="AB132" i="13" s="1"/>
  <c r="V132" i="13"/>
  <c r="X132" i="13"/>
  <c r="G138" i="9"/>
  <c r="B139" i="9"/>
  <c r="F138" i="14"/>
  <c r="B139" i="14"/>
  <c r="AB131" i="13"/>
  <c r="AD131" i="13" s="1"/>
  <c r="J57" i="13"/>
  <c r="C61" i="14"/>
  <c r="AA57" i="13"/>
  <c r="R135" i="13" l="1"/>
  <c r="S135" i="13" s="1"/>
  <c r="T135" i="13" s="1"/>
  <c r="U135" i="13" s="1"/>
  <c r="Y135" i="13" s="1"/>
  <c r="AD132" i="13"/>
  <c r="M134" i="13"/>
  <c r="D94" i="9"/>
  <c r="F94" i="9" s="1"/>
  <c r="F135" i="13"/>
  <c r="K135" i="13" s="1"/>
  <c r="E135" i="13"/>
  <c r="G135" i="13"/>
  <c r="B137" i="13"/>
  <c r="Q136" i="13"/>
  <c r="P136" i="13"/>
  <c r="C136" i="13"/>
  <c r="D136" i="13" s="1"/>
  <c r="H136" i="13" s="1"/>
  <c r="B140" i="8"/>
  <c r="F139" i="8"/>
  <c r="X133" i="13"/>
  <c r="V133" i="13"/>
  <c r="W133" i="13"/>
  <c r="AB133" i="13" s="1"/>
  <c r="E85" i="8"/>
  <c r="H85" i="8" s="1"/>
  <c r="C86" i="8" s="1"/>
  <c r="B140" i="9"/>
  <c r="G139" i="9"/>
  <c r="T134" i="13"/>
  <c r="U134" i="13" s="1"/>
  <c r="Y134" i="13" s="1"/>
  <c r="D61" i="14"/>
  <c r="G61" i="14" s="1"/>
  <c r="F139" i="14"/>
  <c r="B140" i="14"/>
  <c r="AD133" i="13" l="1"/>
  <c r="M135" i="13"/>
  <c r="B141" i="8"/>
  <c r="F140" i="8"/>
  <c r="R136" i="13"/>
  <c r="S136" i="13" s="1"/>
  <c r="I58" i="13"/>
  <c r="L58" i="13" s="1"/>
  <c r="Z58" i="13"/>
  <c r="AC58" i="13" s="1"/>
  <c r="B138" i="13"/>
  <c r="Q137" i="13"/>
  <c r="P137" i="13"/>
  <c r="C137" i="13"/>
  <c r="D137" i="13" s="1"/>
  <c r="H137" i="13" s="1"/>
  <c r="B141" i="9"/>
  <c r="G140" i="9"/>
  <c r="E61" i="14"/>
  <c r="H61" i="14" s="1"/>
  <c r="E94" i="9"/>
  <c r="H94" i="9" s="1"/>
  <c r="C95" i="9" s="1"/>
  <c r="B141" i="14"/>
  <c r="F140" i="14"/>
  <c r="X134" i="13"/>
  <c r="W134" i="13"/>
  <c r="AB134" i="13" s="1"/>
  <c r="V134" i="13"/>
  <c r="V135" i="13"/>
  <c r="X135" i="13"/>
  <c r="W135" i="13"/>
  <c r="AB135" i="13" s="1"/>
  <c r="D86" i="8"/>
  <c r="G86" i="8" s="1"/>
  <c r="G136" i="13"/>
  <c r="F136" i="13"/>
  <c r="K136" i="13" s="1"/>
  <c r="E136" i="13"/>
  <c r="R137" i="13" l="1"/>
  <c r="S137" i="13" s="1"/>
  <c r="T137" i="13" s="1"/>
  <c r="U137" i="13" s="1"/>
  <c r="Y137" i="13" s="1"/>
  <c r="AD134" i="13"/>
  <c r="M136" i="13"/>
  <c r="J58" i="13"/>
  <c r="C62" i="14"/>
  <c r="AA58" i="13"/>
  <c r="F141" i="8"/>
  <c r="B142" i="8"/>
  <c r="E86" i="8"/>
  <c r="H86" i="8" s="1"/>
  <c r="C87" i="8" s="1"/>
  <c r="Q138" i="13"/>
  <c r="P138" i="13"/>
  <c r="C138" i="13"/>
  <c r="D138" i="13" s="1"/>
  <c r="H138" i="13" s="1"/>
  <c r="B139" i="13"/>
  <c r="D95" i="9"/>
  <c r="F95" i="9" s="1"/>
  <c r="AD135" i="13"/>
  <c r="E137" i="13"/>
  <c r="G137" i="13"/>
  <c r="F137" i="13"/>
  <c r="K137" i="13" s="1"/>
  <c r="T136" i="13"/>
  <c r="U136" i="13" s="1"/>
  <c r="Y136" i="13" s="1"/>
  <c r="B142" i="14"/>
  <c r="F141" i="14"/>
  <c r="G141" i="9"/>
  <c r="B142" i="9"/>
  <c r="R138" i="13" l="1"/>
  <c r="S138" i="13" s="1"/>
  <c r="T138" i="13" s="1"/>
  <c r="U138" i="13" s="1"/>
  <c r="Y138" i="13" s="1"/>
  <c r="M137" i="13"/>
  <c r="E95" i="9"/>
  <c r="H95" i="9" s="1"/>
  <c r="C96" i="9" s="1"/>
  <c r="W137" i="13"/>
  <c r="AB137" i="13" s="1"/>
  <c r="X137" i="13"/>
  <c r="V137" i="13"/>
  <c r="F142" i="8"/>
  <c r="B143" i="8"/>
  <c r="Q139" i="13"/>
  <c r="B140" i="13"/>
  <c r="P139" i="13"/>
  <c r="C139" i="13"/>
  <c r="D139" i="13" s="1"/>
  <c r="H139" i="13" s="1"/>
  <c r="D62" i="14"/>
  <c r="G62" i="14" s="1"/>
  <c r="B143" i="9"/>
  <c r="G142" i="9"/>
  <c r="B143" i="14"/>
  <c r="F142" i="14"/>
  <c r="G138" i="13"/>
  <c r="F138" i="13"/>
  <c r="K138" i="13" s="1"/>
  <c r="E138" i="13"/>
  <c r="W136" i="13"/>
  <c r="AB136" i="13" s="1"/>
  <c r="V136" i="13"/>
  <c r="X136" i="13"/>
  <c r="D87" i="8"/>
  <c r="G87" i="8" s="1"/>
  <c r="R139" i="13" l="1"/>
  <c r="S139" i="13" s="1"/>
  <c r="T139" i="13" s="1"/>
  <c r="U139" i="13" s="1"/>
  <c r="Y139" i="13" s="1"/>
  <c r="AD136" i="13"/>
  <c r="M138" i="13"/>
  <c r="AD137" i="13"/>
  <c r="F143" i="8"/>
  <c r="B144" i="8"/>
  <c r="B144" i="14"/>
  <c r="F143" i="14"/>
  <c r="E62" i="14"/>
  <c r="H62" i="14" s="1"/>
  <c r="I59" i="13"/>
  <c r="L59" i="13" s="1"/>
  <c r="Z59" i="13"/>
  <c r="AC59" i="13" s="1"/>
  <c r="G139" i="13"/>
  <c r="F139" i="13"/>
  <c r="E139" i="13"/>
  <c r="X138" i="13"/>
  <c r="V138" i="13"/>
  <c r="W138" i="13"/>
  <c r="AB138" i="13" s="1"/>
  <c r="Q140" i="13"/>
  <c r="P140" i="13"/>
  <c r="C140" i="13"/>
  <c r="D140" i="13" s="1"/>
  <c r="H140" i="13" s="1"/>
  <c r="B141" i="13"/>
  <c r="B144" i="9"/>
  <c r="G143" i="9"/>
  <c r="E87" i="8"/>
  <c r="H87" i="8" s="1"/>
  <c r="C88" i="8" s="1"/>
  <c r="E96" i="9"/>
  <c r="H96" i="9" s="1"/>
  <c r="C97" i="9" s="1"/>
  <c r="D96" i="9"/>
  <c r="F96" i="9" s="1"/>
  <c r="R140" i="13" l="1"/>
  <c r="S140" i="13" s="1"/>
  <c r="T140" i="13" s="1"/>
  <c r="U140" i="13" s="1"/>
  <c r="Y140" i="13" s="1"/>
  <c r="AD138" i="13"/>
  <c r="D88" i="8"/>
  <c r="G88" i="8" s="1"/>
  <c r="E97" i="9"/>
  <c r="H97" i="9" s="1"/>
  <c r="C98" i="9" s="1"/>
  <c r="D97" i="9"/>
  <c r="F97" i="9" s="1"/>
  <c r="B145" i="8"/>
  <c r="F144" i="8"/>
  <c r="K139" i="13"/>
  <c r="M139" i="13" s="1"/>
  <c r="M37" i="12" s="1"/>
  <c r="F140" i="13"/>
  <c r="K140" i="13" s="1"/>
  <c r="E140" i="13"/>
  <c r="G140" i="13"/>
  <c r="J59" i="13"/>
  <c r="C63" i="14"/>
  <c r="AA59" i="13"/>
  <c r="B145" i="14"/>
  <c r="F144" i="14"/>
  <c r="P141" i="13"/>
  <c r="B142" i="13"/>
  <c r="C141" i="13"/>
  <c r="D141" i="13" s="1"/>
  <c r="H141" i="13" s="1"/>
  <c r="Q141" i="13"/>
  <c r="G144" i="9"/>
  <c r="B145" i="9"/>
  <c r="V139" i="13"/>
  <c r="X139" i="13"/>
  <c r="W139" i="13"/>
  <c r="AB139" i="13" s="1"/>
  <c r="M140" i="13" l="1"/>
  <c r="F141" i="13"/>
  <c r="K141" i="13" s="1"/>
  <c r="G141" i="13"/>
  <c r="E141" i="13"/>
  <c r="V140" i="13"/>
  <c r="X140" i="13"/>
  <c r="W140" i="13"/>
  <c r="AB140" i="13" s="1"/>
  <c r="E98" i="9"/>
  <c r="H98" i="9" s="1"/>
  <c r="C99" i="9" s="1"/>
  <c r="D98" i="9"/>
  <c r="F98" i="9" s="1"/>
  <c r="AD139" i="13"/>
  <c r="M55" i="12" s="1"/>
  <c r="R141" i="13"/>
  <c r="S141" i="13" s="1"/>
  <c r="D63" i="14"/>
  <c r="G63" i="14" s="1"/>
  <c r="C142" i="13"/>
  <c r="D142" i="13" s="1"/>
  <c r="H142" i="13" s="1"/>
  <c r="P142" i="13"/>
  <c r="Q142" i="13"/>
  <c r="B143" i="13"/>
  <c r="B146" i="9"/>
  <c r="G145" i="9"/>
  <c r="E88" i="8"/>
  <c r="H88" i="8" s="1"/>
  <c r="C89" i="8" s="1"/>
  <c r="M39" i="12"/>
  <c r="M40" i="12"/>
  <c r="B146" i="8"/>
  <c r="F145" i="8"/>
  <c r="F145" i="14"/>
  <c r="B146" i="14"/>
  <c r="R142" i="13" l="1"/>
  <c r="S142" i="13" s="1"/>
  <c r="T142" i="13" s="1"/>
  <c r="U142" i="13" s="1"/>
  <c r="Y142" i="13" s="1"/>
  <c r="M141" i="13"/>
  <c r="AD140" i="13"/>
  <c r="G146" i="9"/>
  <c r="B147" i="9"/>
  <c r="E63" i="14"/>
  <c r="H63" i="14" s="1"/>
  <c r="F142" i="13"/>
  <c r="K142" i="13" s="1"/>
  <c r="E142" i="13"/>
  <c r="G142" i="13"/>
  <c r="I60" i="13"/>
  <c r="L60" i="13" s="1"/>
  <c r="Z60" i="13"/>
  <c r="AC60" i="13" s="1"/>
  <c r="B147" i="8"/>
  <c r="F146" i="8"/>
  <c r="T141" i="13"/>
  <c r="U141" i="13" s="1"/>
  <c r="Y141" i="13" s="1"/>
  <c r="M57" i="12"/>
  <c r="M58" i="12"/>
  <c r="F146" i="14"/>
  <c r="B147" i="14"/>
  <c r="D89" i="8"/>
  <c r="G89" i="8" s="1"/>
  <c r="E89" i="8"/>
  <c r="H89" i="8" s="1"/>
  <c r="C90" i="8" s="1"/>
  <c r="C143" i="13"/>
  <c r="D143" i="13" s="1"/>
  <c r="H143" i="13" s="1"/>
  <c r="B144" i="13"/>
  <c r="Q143" i="13"/>
  <c r="P143" i="13"/>
  <c r="D99" i="9"/>
  <c r="F99" i="9" s="1"/>
  <c r="E99" i="9"/>
  <c r="H99" i="9" s="1"/>
  <c r="C100" i="9" s="1"/>
  <c r="R143" i="13" l="1"/>
  <c r="S143" i="13" s="1"/>
  <c r="M142" i="13"/>
  <c r="B148" i="9"/>
  <c r="G147" i="9"/>
  <c r="D100" i="9"/>
  <c r="F100" i="9" s="1"/>
  <c r="D90" i="8"/>
  <c r="G90" i="8" s="1"/>
  <c r="F147" i="14"/>
  <c r="B148" i="14"/>
  <c r="B145" i="13"/>
  <c r="Q144" i="13"/>
  <c r="P144" i="13"/>
  <c r="C144" i="13"/>
  <c r="D144" i="13" s="1"/>
  <c r="H144" i="13" s="1"/>
  <c r="B148" i="8"/>
  <c r="F147" i="8"/>
  <c r="T143" i="13"/>
  <c r="U143" i="13" s="1"/>
  <c r="Y143" i="13" s="1"/>
  <c r="X142" i="13"/>
  <c r="W142" i="13"/>
  <c r="AB142" i="13" s="1"/>
  <c r="V142" i="13"/>
  <c r="X141" i="13"/>
  <c r="W141" i="13"/>
  <c r="AB141" i="13" s="1"/>
  <c r="V141" i="13"/>
  <c r="G143" i="13"/>
  <c r="F143" i="13"/>
  <c r="K143" i="13" s="1"/>
  <c r="E143" i="13"/>
  <c r="J60" i="13"/>
  <c r="C64" i="14"/>
  <c r="AA60" i="13"/>
  <c r="R144" i="13" l="1"/>
  <c r="S144" i="13" s="1"/>
  <c r="T144" i="13" s="1"/>
  <c r="U144" i="13" s="1"/>
  <c r="Y144" i="13" s="1"/>
  <c r="AD141" i="13"/>
  <c r="M143" i="13"/>
  <c r="AD142" i="13"/>
  <c r="W143" i="13"/>
  <c r="V143" i="13"/>
  <c r="X143" i="13"/>
  <c r="E144" i="13"/>
  <c r="G144" i="13"/>
  <c r="F144" i="13"/>
  <c r="K144" i="13" s="1"/>
  <c r="B146" i="13"/>
  <c r="Q145" i="13"/>
  <c r="P145" i="13"/>
  <c r="C145" i="13"/>
  <c r="D145" i="13" s="1"/>
  <c r="H145" i="13" s="1"/>
  <c r="B149" i="9"/>
  <c r="G148" i="9"/>
  <c r="E90" i="8"/>
  <c r="H90" i="8" s="1"/>
  <c r="C91" i="8" s="1"/>
  <c r="B149" i="8"/>
  <c r="F148" i="8"/>
  <c r="B149" i="14"/>
  <c r="F148" i="14"/>
  <c r="D64" i="14"/>
  <c r="G64" i="14" s="1"/>
  <c r="E100" i="9"/>
  <c r="H100" i="9" s="1"/>
  <c r="C101" i="9" s="1"/>
  <c r="E64" i="14" l="1"/>
  <c r="H64" i="14" s="1"/>
  <c r="C65" i="14" s="1"/>
  <c r="M144" i="13"/>
  <c r="D91" i="8"/>
  <c r="G91" i="8" s="1"/>
  <c r="E91" i="8"/>
  <c r="H91" i="8" s="1"/>
  <c r="C92" i="8" s="1"/>
  <c r="G149" i="9"/>
  <c r="B150" i="9"/>
  <c r="AB143" i="13"/>
  <c r="AD143" i="13" s="1"/>
  <c r="E145" i="13"/>
  <c r="G145" i="13"/>
  <c r="F145" i="13"/>
  <c r="K145" i="13" s="1"/>
  <c r="B150" i="14"/>
  <c r="F149" i="14"/>
  <c r="R145" i="13"/>
  <c r="S145" i="13" s="1"/>
  <c r="I61" i="13"/>
  <c r="L61" i="13" s="1"/>
  <c r="Z61" i="13"/>
  <c r="AC61" i="13" s="1"/>
  <c r="Q146" i="13"/>
  <c r="P146" i="13"/>
  <c r="C146" i="13"/>
  <c r="D146" i="13" s="1"/>
  <c r="H146" i="13" s="1"/>
  <c r="B147" i="13"/>
  <c r="W144" i="13"/>
  <c r="AB144" i="13" s="1"/>
  <c r="X144" i="13"/>
  <c r="V144" i="13"/>
  <c r="F149" i="8"/>
  <c r="B150" i="8"/>
  <c r="D101" i="9"/>
  <c r="F101" i="9" s="1"/>
  <c r="AA61" i="13" l="1"/>
  <c r="R146" i="13"/>
  <c r="S146" i="13" s="1"/>
  <c r="T146" i="13" s="1"/>
  <c r="U146" i="13" s="1"/>
  <c r="Y146" i="13" s="1"/>
  <c r="J61" i="13"/>
  <c r="B151" i="9"/>
  <c r="G150" i="9"/>
  <c r="D65" i="14"/>
  <c r="G65" i="14" s="1"/>
  <c r="G146" i="13"/>
  <c r="F146" i="13"/>
  <c r="K146" i="13" s="1"/>
  <c r="E146" i="13"/>
  <c r="M145" i="13"/>
  <c r="D92" i="8"/>
  <c r="G92" i="8" s="1"/>
  <c r="E101" i="9"/>
  <c r="H101" i="9" s="1"/>
  <c r="C102" i="9" s="1"/>
  <c r="AD144" i="13"/>
  <c r="B151" i="14"/>
  <c r="F150" i="14"/>
  <c r="T145" i="13"/>
  <c r="U145" i="13" s="1"/>
  <c r="Y145" i="13" s="1"/>
  <c r="Q147" i="13"/>
  <c r="B148" i="13"/>
  <c r="C147" i="13"/>
  <c r="D147" i="13" s="1"/>
  <c r="H147" i="13" s="1"/>
  <c r="P147" i="13"/>
  <c r="F150" i="8"/>
  <c r="B151" i="8"/>
  <c r="E65" i="14" l="1"/>
  <c r="H65" i="14" s="1"/>
  <c r="J62" i="13" s="1"/>
  <c r="M146" i="13"/>
  <c r="F151" i="8"/>
  <c r="B152" i="8"/>
  <c r="P148" i="13"/>
  <c r="Q148" i="13"/>
  <c r="B149" i="13"/>
  <c r="C148" i="13"/>
  <c r="D148" i="13" s="1"/>
  <c r="H148" i="13" s="1"/>
  <c r="D102" i="9"/>
  <c r="F102" i="9" s="1"/>
  <c r="E92" i="8"/>
  <c r="H92" i="8" s="1"/>
  <c r="C93" i="8" s="1"/>
  <c r="B152" i="9"/>
  <c r="G151" i="9"/>
  <c r="V146" i="13"/>
  <c r="X146" i="13"/>
  <c r="W146" i="13"/>
  <c r="AB146" i="13" s="1"/>
  <c r="W145" i="13"/>
  <c r="V145" i="13"/>
  <c r="X145" i="13"/>
  <c r="I62" i="13"/>
  <c r="L62" i="13" s="1"/>
  <c r="Z62" i="13"/>
  <c r="AC62" i="13" s="1"/>
  <c r="B152" i="14"/>
  <c r="F151" i="14"/>
  <c r="G147" i="13"/>
  <c r="F147" i="13"/>
  <c r="K147" i="13" s="1"/>
  <c r="E147" i="13"/>
  <c r="R147" i="13"/>
  <c r="S147" i="13" s="1"/>
  <c r="C66" i="14" l="1"/>
  <c r="AA62" i="13"/>
  <c r="M147" i="13"/>
  <c r="R148" i="13"/>
  <c r="S148" i="13" s="1"/>
  <c r="AD146" i="13"/>
  <c r="B153" i="9"/>
  <c r="G152" i="9"/>
  <c r="AB145" i="13"/>
  <c r="AD145" i="13" s="1"/>
  <c r="B153" i="8"/>
  <c r="F152" i="8"/>
  <c r="T147" i="13"/>
  <c r="U147" i="13" s="1"/>
  <c r="Y147" i="13" s="1"/>
  <c r="D66" i="14"/>
  <c r="G66" i="14" s="1"/>
  <c r="E102" i="9"/>
  <c r="H102" i="9" s="1"/>
  <c r="C103" i="9" s="1"/>
  <c r="B153" i="14"/>
  <c r="F152" i="14"/>
  <c r="F148" i="13"/>
  <c r="K148" i="13" s="1"/>
  <c r="G148" i="13"/>
  <c r="E148" i="13"/>
  <c r="P149" i="13"/>
  <c r="C149" i="13"/>
  <c r="D149" i="13" s="1"/>
  <c r="H149" i="13" s="1"/>
  <c r="B150" i="13"/>
  <c r="Q149" i="13"/>
  <c r="D93" i="8"/>
  <c r="G93" i="8" s="1"/>
  <c r="E66" i="14" l="1"/>
  <c r="H66" i="14" s="1"/>
  <c r="J63" i="13" s="1"/>
  <c r="M148" i="13"/>
  <c r="E93" i="8"/>
  <c r="H93" i="8" s="1"/>
  <c r="C94" i="8" s="1"/>
  <c r="I63" i="13"/>
  <c r="L63" i="13" s="1"/>
  <c r="Z63" i="13"/>
  <c r="AC63" i="13" s="1"/>
  <c r="G153" i="9"/>
  <c r="B154" i="9"/>
  <c r="V147" i="13"/>
  <c r="X147" i="13"/>
  <c r="W147" i="13"/>
  <c r="AB147" i="13" s="1"/>
  <c r="B154" i="8"/>
  <c r="F153" i="8"/>
  <c r="D103" i="9"/>
  <c r="F103" i="9" s="1"/>
  <c r="F153" i="14"/>
  <c r="B154" i="14"/>
  <c r="C150" i="13"/>
  <c r="D150" i="13" s="1"/>
  <c r="H150" i="13" s="1"/>
  <c r="P150" i="13"/>
  <c r="B151" i="13"/>
  <c r="Q150" i="13"/>
  <c r="F149" i="13"/>
  <c r="K149" i="13" s="1"/>
  <c r="G149" i="13"/>
  <c r="E149" i="13"/>
  <c r="R149" i="13"/>
  <c r="S149" i="13" s="1"/>
  <c r="T148" i="13"/>
  <c r="U148" i="13" s="1"/>
  <c r="Y148" i="13" s="1"/>
  <c r="AA63" i="13" l="1"/>
  <c r="C67" i="14"/>
  <c r="D67" i="14" s="1"/>
  <c r="G67" i="14" s="1"/>
  <c r="R150" i="13"/>
  <c r="S150" i="13" s="1"/>
  <c r="T150" i="13" s="1"/>
  <c r="U150" i="13" s="1"/>
  <c r="Y150" i="13" s="1"/>
  <c r="M149" i="13"/>
  <c r="B152" i="13"/>
  <c r="C151" i="13"/>
  <c r="D151" i="13" s="1"/>
  <c r="H151" i="13" s="1"/>
  <c r="Q151" i="13"/>
  <c r="P151" i="13"/>
  <c r="AD147" i="13"/>
  <c r="F150" i="13"/>
  <c r="K150" i="13" s="1"/>
  <c r="G150" i="13"/>
  <c r="E150" i="13"/>
  <c r="G154" i="9"/>
  <c r="B155" i="9"/>
  <c r="D94" i="8"/>
  <c r="G94" i="8" s="1"/>
  <c r="F154" i="14"/>
  <c r="B155" i="14"/>
  <c r="E103" i="9"/>
  <c r="H103" i="9" s="1"/>
  <c r="C104" i="9" s="1"/>
  <c r="B155" i="8"/>
  <c r="F154" i="8"/>
  <c r="X148" i="13"/>
  <c r="V148" i="13"/>
  <c r="W148" i="13"/>
  <c r="AB148" i="13" s="1"/>
  <c r="T149" i="13"/>
  <c r="U149" i="13" s="1"/>
  <c r="Y149" i="13" s="1"/>
  <c r="R151" i="13" l="1"/>
  <c r="S151" i="13" s="1"/>
  <c r="M150" i="13"/>
  <c r="AD148" i="13"/>
  <c r="X150" i="13"/>
  <c r="W150" i="13"/>
  <c r="AB150" i="13" s="1"/>
  <c r="V150" i="13"/>
  <c r="T151" i="13"/>
  <c r="U151" i="13" s="1"/>
  <c r="Y151" i="13" s="1"/>
  <c r="G155" i="9"/>
  <c r="B156" i="9"/>
  <c r="F155" i="14"/>
  <c r="B156" i="14"/>
  <c r="X149" i="13"/>
  <c r="W149" i="13"/>
  <c r="AB149" i="13" s="1"/>
  <c r="V149" i="13"/>
  <c r="E151" i="13"/>
  <c r="G151" i="13"/>
  <c r="F151" i="13"/>
  <c r="K151" i="13" s="1"/>
  <c r="B156" i="8"/>
  <c r="F155" i="8"/>
  <c r="B153" i="13"/>
  <c r="Q152" i="13"/>
  <c r="C152" i="13"/>
  <c r="D152" i="13" s="1"/>
  <c r="H152" i="13" s="1"/>
  <c r="P152" i="13"/>
  <c r="D104" i="9"/>
  <c r="F104" i="9" s="1"/>
  <c r="E94" i="8"/>
  <c r="H94" i="8" s="1"/>
  <c r="C95" i="8" s="1"/>
  <c r="I64" i="13"/>
  <c r="L64" i="13" s="1"/>
  <c r="Z64" i="13"/>
  <c r="AC64" i="13" s="1"/>
  <c r="E67" i="14"/>
  <c r="H67" i="14" s="1"/>
  <c r="R152" i="13" l="1"/>
  <c r="S152" i="13" s="1"/>
  <c r="T152" i="13" s="1"/>
  <c r="U152" i="13" s="1"/>
  <c r="Y152" i="13" s="1"/>
  <c r="AD149" i="13"/>
  <c r="M151" i="13"/>
  <c r="N37" i="12" s="1"/>
  <c r="E152" i="13"/>
  <c r="F152" i="13"/>
  <c r="K152" i="13" s="1"/>
  <c r="G152" i="13"/>
  <c r="B157" i="14"/>
  <c r="F156" i="14"/>
  <c r="AD150" i="13"/>
  <c r="E95" i="8"/>
  <c r="H95" i="8" s="1"/>
  <c r="C96" i="8" s="1"/>
  <c r="D95" i="8"/>
  <c r="G95" i="8" s="1"/>
  <c r="J64" i="13"/>
  <c r="C68" i="14"/>
  <c r="AA64" i="13"/>
  <c r="Q153" i="13"/>
  <c r="B154" i="13"/>
  <c r="C153" i="13"/>
  <c r="D153" i="13" s="1"/>
  <c r="H153" i="13" s="1"/>
  <c r="P153" i="13"/>
  <c r="E104" i="9"/>
  <c r="H104" i="9" s="1"/>
  <c r="C105" i="9" s="1"/>
  <c r="W151" i="13"/>
  <c r="AB151" i="13" s="1"/>
  <c r="V151" i="13"/>
  <c r="X151" i="13"/>
  <c r="B157" i="8"/>
  <c r="F156" i="8"/>
  <c r="B157" i="9"/>
  <c r="G156" i="9"/>
  <c r="R153" i="13" l="1"/>
  <c r="S153" i="13" s="1"/>
  <c r="T153" i="13" s="1"/>
  <c r="U153" i="13" s="1"/>
  <c r="Y153" i="13" s="1"/>
  <c r="AD151" i="13"/>
  <c r="N55" i="12" s="1"/>
  <c r="N57" i="12" s="1"/>
  <c r="E96" i="8"/>
  <c r="H96" i="8" s="1"/>
  <c r="C97" i="8" s="1"/>
  <c r="D96" i="8"/>
  <c r="G96" i="8" s="1"/>
  <c r="G153" i="13"/>
  <c r="E153" i="13"/>
  <c r="F153" i="13"/>
  <c r="K153" i="13" s="1"/>
  <c r="M152" i="13"/>
  <c r="Q154" i="13"/>
  <c r="B155" i="13"/>
  <c r="C154" i="13"/>
  <c r="D154" i="13" s="1"/>
  <c r="H154" i="13" s="1"/>
  <c r="P154" i="13"/>
  <c r="W152" i="13"/>
  <c r="AB152" i="13" s="1"/>
  <c r="X152" i="13"/>
  <c r="V152" i="13"/>
  <c r="D68" i="14"/>
  <c r="G68" i="14" s="1"/>
  <c r="N39" i="12"/>
  <c r="N40" i="12"/>
  <c r="B158" i="14"/>
  <c r="F157" i="14"/>
  <c r="F157" i="8"/>
  <c r="B158" i="8"/>
  <c r="G157" i="9"/>
  <c r="B158" i="9"/>
  <c r="D105" i="9"/>
  <c r="F105" i="9" s="1"/>
  <c r="R154" i="13" l="1"/>
  <c r="S154" i="13" s="1"/>
  <c r="T154" i="13" s="1"/>
  <c r="U154" i="13" s="1"/>
  <c r="Y154" i="13" s="1"/>
  <c r="M153" i="13"/>
  <c r="N58" i="12"/>
  <c r="AD152" i="13"/>
  <c r="D97" i="8"/>
  <c r="G97" i="8" s="1"/>
  <c r="W153" i="13"/>
  <c r="AB153" i="13" s="1"/>
  <c r="V153" i="13"/>
  <c r="X153" i="13"/>
  <c r="B159" i="9"/>
  <c r="G158" i="9"/>
  <c r="G154" i="13"/>
  <c r="F154" i="13"/>
  <c r="K154" i="13" s="1"/>
  <c r="E154" i="13"/>
  <c r="I65" i="13"/>
  <c r="L65" i="13" s="1"/>
  <c r="Z65" i="13"/>
  <c r="AC65" i="13" s="1"/>
  <c r="Q155" i="13"/>
  <c r="P155" i="13"/>
  <c r="C155" i="13"/>
  <c r="D155" i="13" s="1"/>
  <c r="H155" i="13" s="1"/>
  <c r="B156" i="13"/>
  <c r="F158" i="8"/>
  <c r="B159" i="8"/>
  <c r="E105" i="9"/>
  <c r="H105" i="9" s="1"/>
  <c r="C106" i="9" s="1"/>
  <c r="E68" i="14"/>
  <c r="H68" i="14" s="1"/>
  <c r="B159" i="14"/>
  <c r="F158" i="14"/>
  <c r="R155" i="13" l="1"/>
  <c r="S155" i="13" s="1"/>
  <c r="T155" i="13" s="1"/>
  <c r="U155" i="13" s="1"/>
  <c r="Y155" i="13" s="1"/>
  <c r="AD153" i="13"/>
  <c r="M154" i="13"/>
  <c r="V154" i="13"/>
  <c r="X154" i="13"/>
  <c r="W154" i="13"/>
  <c r="AB154" i="13" s="1"/>
  <c r="D106" i="9"/>
  <c r="F106" i="9" s="1"/>
  <c r="J65" i="13"/>
  <c r="C69" i="14"/>
  <c r="AA65" i="13"/>
  <c r="P156" i="13"/>
  <c r="B157" i="13"/>
  <c r="C156" i="13"/>
  <c r="D156" i="13" s="1"/>
  <c r="H156" i="13" s="1"/>
  <c r="Q156" i="13"/>
  <c r="B160" i="9"/>
  <c r="G159" i="9"/>
  <c r="E97" i="8"/>
  <c r="H97" i="8" s="1"/>
  <c r="C98" i="8" s="1"/>
  <c r="B160" i="14"/>
  <c r="F159" i="14"/>
  <c r="F159" i="8"/>
  <c r="B160" i="8"/>
  <c r="G155" i="13"/>
  <c r="E155" i="13"/>
  <c r="F155" i="13"/>
  <c r="K155" i="13" s="1"/>
  <c r="M155" i="13" l="1"/>
  <c r="AD154" i="13"/>
  <c r="V155" i="13"/>
  <c r="X155" i="13"/>
  <c r="W155" i="13"/>
  <c r="AB155" i="13" s="1"/>
  <c r="D69" i="14"/>
  <c r="G69" i="14" s="1"/>
  <c r="E106" i="9"/>
  <c r="H106" i="9" s="1"/>
  <c r="C107" i="9" s="1"/>
  <c r="B161" i="9"/>
  <c r="G160" i="9"/>
  <c r="D98" i="8"/>
  <c r="G98" i="8" s="1"/>
  <c r="E98" i="8"/>
  <c r="H98" i="8" s="1"/>
  <c r="C99" i="8" s="1"/>
  <c r="B161" i="8"/>
  <c r="F160" i="8"/>
  <c r="F156" i="13"/>
  <c r="K156" i="13" s="1"/>
  <c r="G156" i="13"/>
  <c r="E156" i="13"/>
  <c r="P157" i="13"/>
  <c r="C157" i="13"/>
  <c r="D157" i="13" s="1"/>
  <c r="H157" i="13" s="1"/>
  <c r="Q157" i="13"/>
  <c r="B158" i="13"/>
  <c r="B161" i="14"/>
  <c r="F160" i="14"/>
  <c r="R156" i="13"/>
  <c r="S156" i="13" s="1"/>
  <c r="AD155" i="13" l="1"/>
  <c r="M156" i="13"/>
  <c r="B162" i="8"/>
  <c r="F161" i="8"/>
  <c r="D107" i="9"/>
  <c r="F107" i="9" s="1"/>
  <c r="T156" i="13"/>
  <c r="U156" i="13" s="1"/>
  <c r="Y156" i="13" s="1"/>
  <c r="R157" i="13"/>
  <c r="S157" i="13" s="1"/>
  <c r="F161" i="14"/>
  <c r="B162" i="14"/>
  <c r="I66" i="13"/>
  <c r="L66" i="13" s="1"/>
  <c r="Z66" i="13"/>
  <c r="AC66" i="13" s="1"/>
  <c r="C158" i="13"/>
  <c r="D158" i="13" s="1"/>
  <c r="H158" i="13" s="1"/>
  <c r="P158" i="13"/>
  <c r="B159" i="13"/>
  <c r="Q158" i="13"/>
  <c r="E69" i="14"/>
  <c r="H69" i="14" s="1"/>
  <c r="D99" i="8"/>
  <c r="G99" i="8" s="1"/>
  <c r="F157" i="13"/>
  <c r="K157" i="13" s="1"/>
  <c r="G157" i="13"/>
  <c r="E157" i="13"/>
  <c r="G161" i="9"/>
  <c r="B162" i="9"/>
  <c r="T157" i="13" l="1"/>
  <c r="U157" i="13" s="1"/>
  <c r="Y157" i="13" s="1"/>
  <c r="J66" i="13"/>
  <c r="C70" i="14"/>
  <c r="AA66" i="13"/>
  <c r="X156" i="13"/>
  <c r="V156" i="13"/>
  <c r="W156" i="13"/>
  <c r="AB156" i="13" s="1"/>
  <c r="F158" i="13"/>
  <c r="K158" i="13" s="1"/>
  <c r="G158" i="13"/>
  <c r="E158" i="13"/>
  <c r="E99" i="8"/>
  <c r="H99" i="8" s="1"/>
  <c r="C100" i="8" s="1"/>
  <c r="B163" i="8"/>
  <c r="F162" i="8"/>
  <c r="M157" i="13"/>
  <c r="F162" i="14"/>
  <c r="B163" i="14"/>
  <c r="G162" i="9"/>
  <c r="B163" i="9"/>
  <c r="B160" i="13"/>
  <c r="C159" i="13"/>
  <c r="D159" i="13" s="1"/>
  <c r="H159" i="13" s="1"/>
  <c r="Q159" i="13"/>
  <c r="P159" i="13"/>
  <c r="R158" i="13"/>
  <c r="S158" i="13" s="1"/>
  <c r="E107" i="9"/>
  <c r="H107" i="9" s="1"/>
  <c r="C108" i="9" s="1"/>
  <c r="R159" i="13" l="1"/>
  <c r="S159" i="13" s="1"/>
  <c r="T159" i="13" s="1"/>
  <c r="U159" i="13" s="1"/>
  <c r="Y159" i="13" s="1"/>
  <c r="M158" i="13"/>
  <c r="AD156" i="13"/>
  <c r="D70" i="14"/>
  <c r="G70" i="14" s="1"/>
  <c r="F163" i="14"/>
  <c r="B164" i="14"/>
  <c r="X157" i="13"/>
  <c r="W157" i="13"/>
  <c r="AB157" i="13" s="1"/>
  <c r="V157" i="13"/>
  <c r="E100" i="8"/>
  <c r="H100" i="8" s="1"/>
  <c r="C101" i="8" s="1"/>
  <c r="D100" i="8"/>
  <c r="G100" i="8" s="1"/>
  <c r="B161" i="13"/>
  <c r="Q160" i="13"/>
  <c r="C160" i="13"/>
  <c r="D160" i="13" s="1"/>
  <c r="H160" i="13" s="1"/>
  <c r="P160" i="13"/>
  <c r="E159" i="13"/>
  <c r="G159" i="13"/>
  <c r="F159" i="13"/>
  <c r="K159" i="13" s="1"/>
  <c r="B164" i="9"/>
  <c r="G163" i="9"/>
  <c r="E108" i="9"/>
  <c r="H108" i="9" s="1"/>
  <c r="C109" i="9" s="1"/>
  <c r="D108" i="9"/>
  <c r="F108" i="9" s="1"/>
  <c r="T158" i="13"/>
  <c r="U158" i="13" s="1"/>
  <c r="Y158" i="13" s="1"/>
  <c r="B164" i="8"/>
  <c r="F163" i="8"/>
  <c r="R160" i="13" l="1"/>
  <c r="S160" i="13" s="1"/>
  <c r="T160" i="13" s="1"/>
  <c r="U160" i="13" s="1"/>
  <c r="Y160" i="13" s="1"/>
  <c r="AD157" i="13"/>
  <c r="E70" i="14"/>
  <c r="H70" i="14" s="1"/>
  <c r="D101" i="8"/>
  <c r="G101" i="8" s="1"/>
  <c r="I67" i="13"/>
  <c r="L67" i="13" s="1"/>
  <c r="G44" i="12" s="1"/>
  <c r="Z67" i="13"/>
  <c r="AC67" i="13" s="1"/>
  <c r="G62" i="12" s="1"/>
  <c r="B165" i="14"/>
  <c r="F164" i="14"/>
  <c r="Q161" i="13"/>
  <c r="B162" i="13"/>
  <c r="C161" i="13"/>
  <c r="D161" i="13" s="1"/>
  <c r="H161" i="13" s="1"/>
  <c r="P161" i="13"/>
  <c r="M159" i="13"/>
  <c r="X158" i="13"/>
  <c r="W158" i="13"/>
  <c r="AB158" i="13" s="1"/>
  <c r="V158" i="13"/>
  <c r="W159" i="13"/>
  <c r="AB159" i="13" s="1"/>
  <c r="X159" i="13"/>
  <c r="V159" i="13"/>
  <c r="B165" i="8"/>
  <c r="F164" i="8"/>
  <c r="B165" i="9"/>
  <c r="G164" i="9"/>
  <c r="E160" i="13"/>
  <c r="G160" i="13"/>
  <c r="F160" i="13"/>
  <c r="K160" i="13" s="1"/>
  <c r="D109" i="9"/>
  <c r="F109" i="9" s="1"/>
  <c r="AD159" i="13" l="1"/>
  <c r="M160" i="13"/>
  <c r="AD158" i="13"/>
  <c r="Q162" i="13"/>
  <c r="B163" i="13"/>
  <c r="C162" i="13"/>
  <c r="D162" i="13" s="1"/>
  <c r="H162" i="13" s="1"/>
  <c r="P162" i="13"/>
  <c r="B166" i="14"/>
  <c r="F165" i="14"/>
  <c r="G64" i="12"/>
  <c r="G65" i="12"/>
  <c r="G46" i="12"/>
  <c r="G47" i="12"/>
  <c r="W160" i="13"/>
  <c r="AB160" i="13" s="1"/>
  <c r="V160" i="13"/>
  <c r="X160" i="13"/>
  <c r="E101" i="8"/>
  <c r="H101" i="8" s="1"/>
  <c r="C102" i="8" s="1"/>
  <c r="F165" i="8"/>
  <c r="B166" i="8"/>
  <c r="E109" i="9"/>
  <c r="H109" i="9" s="1"/>
  <c r="C110" i="9" s="1"/>
  <c r="R161" i="13"/>
  <c r="S161" i="13" s="1"/>
  <c r="J67" i="13"/>
  <c r="C71" i="14"/>
  <c r="AA67" i="13"/>
  <c r="G165" i="9"/>
  <c r="B166" i="9"/>
  <c r="G161" i="13"/>
  <c r="E161" i="13"/>
  <c r="F161" i="13"/>
  <c r="K161" i="13" s="1"/>
  <c r="R162" i="13" l="1"/>
  <c r="S162" i="13" s="1"/>
  <c r="T162" i="13" s="1"/>
  <c r="U162" i="13" s="1"/>
  <c r="Y162" i="13" s="1"/>
  <c r="AD160" i="13"/>
  <c r="B167" i="14"/>
  <c r="F166" i="14"/>
  <c r="M161" i="13"/>
  <c r="G162" i="13"/>
  <c r="E162" i="13"/>
  <c r="F162" i="13"/>
  <c r="K162" i="13" s="1"/>
  <c r="Q163" i="13"/>
  <c r="B164" i="13"/>
  <c r="C163" i="13"/>
  <c r="D163" i="13" s="1"/>
  <c r="H163" i="13" s="1"/>
  <c r="P163" i="13"/>
  <c r="D71" i="14"/>
  <c r="G71" i="14" s="1"/>
  <c r="B167" i="9"/>
  <c r="G166" i="9"/>
  <c r="F166" i="8"/>
  <c r="B167" i="8"/>
  <c r="T161" i="13"/>
  <c r="U161" i="13" s="1"/>
  <c r="Y161" i="13" s="1"/>
  <c r="D110" i="9"/>
  <c r="F110" i="9" s="1"/>
  <c r="D102" i="8"/>
  <c r="G102" i="8" s="1"/>
  <c r="E71" i="14" l="1"/>
  <c r="H71" i="14" s="1"/>
  <c r="C72" i="14" s="1"/>
  <c r="M162" i="13"/>
  <c r="R163" i="13"/>
  <c r="S163" i="13" s="1"/>
  <c r="B168" i="14"/>
  <c r="F167" i="14"/>
  <c r="G163" i="13"/>
  <c r="F163" i="13"/>
  <c r="K163" i="13" s="1"/>
  <c r="E163" i="13"/>
  <c r="F167" i="8"/>
  <c r="B168" i="8"/>
  <c r="E102" i="8"/>
  <c r="H102" i="8" s="1"/>
  <c r="C103" i="8" s="1"/>
  <c r="P164" i="13"/>
  <c r="Q164" i="13"/>
  <c r="C164" i="13"/>
  <c r="D164" i="13" s="1"/>
  <c r="H164" i="13" s="1"/>
  <c r="B165" i="13"/>
  <c r="AA68" i="13"/>
  <c r="W161" i="13"/>
  <c r="AB161" i="13" s="1"/>
  <c r="X161" i="13"/>
  <c r="V161" i="13"/>
  <c r="V162" i="13"/>
  <c r="W162" i="13"/>
  <c r="AB162" i="13" s="1"/>
  <c r="X162" i="13"/>
  <c r="B168" i="9"/>
  <c r="G167" i="9"/>
  <c r="E110" i="9"/>
  <c r="H110" i="9" s="1"/>
  <c r="C111" i="9" s="1"/>
  <c r="I68" i="13"/>
  <c r="L68" i="13" s="1"/>
  <c r="Z68" i="13"/>
  <c r="AC68" i="13" s="1"/>
  <c r="J68" i="13" l="1"/>
  <c r="R164" i="13"/>
  <c r="S164" i="13" s="1"/>
  <c r="T164" i="13" s="1"/>
  <c r="U164" i="13" s="1"/>
  <c r="Y164" i="13" s="1"/>
  <c r="AD162" i="13"/>
  <c r="AD161" i="13"/>
  <c r="D72" i="14"/>
  <c r="G72" i="14" s="1"/>
  <c r="B169" i="14"/>
  <c r="F168" i="14"/>
  <c r="B169" i="8"/>
  <c r="F168" i="8"/>
  <c r="P165" i="13"/>
  <c r="C165" i="13"/>
  <c r="D165" i="13" s="1"/>
  <c r="H165" i="13" s="1"/>
  <c r="B166" i="13"/>
  <c r="Q165" i="13"/>
  <c r="M163" i="13"/>
  <c r="O37" i="12" s="1"/>
  <c r="D111" i="9"/>
  <c r="F111" i="9" s="1"/>
  <c r="F164" i="13"/>
  <c r="K164" i="13" s="1"/>
  <c r="E164" i="13"/>
  <c r="G164" i="13"/>
  <c r="G168" i="9"/>
  <c r="B169" i="9"/>
  <c r="T163" i="13"/>
  <c r="U163" i="13" s="1"/>
  <c r="Y163" i="13" s="1"/>
  <c r="D103" i="8"/>
  <c r="G103" i="8" s="1"/>
  <c r="E72" i="14" l="1"/>
  <c r="H72" i="14" s="1"/>
  <c r="J69" i="13" s="1"/>
  <c r="O39" i="12"/>
  <c r="O40" i="12"/>
  <c r="G169" i="9"/>
  <c r="B170" i="9"/>
  <c r="E103" i="8"/>
  <c r="H103" i="8" s="1"/>
  <c r="C104" i="8" s="1"/>
  <c r="C166" i="13"/>
  <c r="D166" i="13" s="1"/>
  <c r="H166" i="13" s="1"/>
  <c r="P166" i="13"/>
  <c r="Q166" i="13"/>
  <c r="B167" i="13"/>
  <c r="M164" i="13"/>
  <c r="B170" i="8"/>
  <c r="F169" i="8"/>
  <c r="C73" i="14"/>
  <c r="AA69" i="13"/>
  <c r="R165" i="13"/>
  <c r="S165" i="13" s="1"/>
  <c r="I69" i="13"/>
  <c r="L69" i="13" s="1"/>
  <c r="Z69" i="13"/>
  <c r="AC69" i="13" s="1"/>
  <c r="V163" i="13"/>
  <c r="X163" i="13"/>
  <c r="W163" i="13"/>
  <c r="AB163" i="13" s="1"/>
  <c r="F165" i="13"/>
  <c r="K165" i="13" s="1"/>
  <c r="G165" i="13"/>
  <c r="E165" i="13"/>
  <c r="X164" i="13"/>
  <c r="V164" i="13"/>
  <c r="W164" i="13"/>
  <c r="AB164" i="13" s="1"/>
  <c r="E111" i="9"/>
  <c r="H111" i="9" s="1"/>
  <c r="C112" i="9" s="1"/>
  <c r="F169" i="14"/>
  <c r="B170" i="14"/>
  <c r="M165" i="13" l="1"/>
  <c r="AD164" i="13"/>
  <c r="G170" i="9"/>
  <c r="B171" i="9"/>
  <c r="B168" i="13"/>
  <c r="C167" i="13"/>
  <c r="D167" i="13" s="1"/>
  <c r="H167" i="13" s="1"/>
  <c r="P167" i="13"/>
  <c r="Q167" i="13"/>
  <c r="R166" i="13"/>
  <c r="S166" i="13" s="1"/>
  <c r="D112" i="9"/>
  <c r="F112" i="9" s="1"/>
  <c r="T165" i="13"/>
  <c r="U165" i="13" s="1"/>
  <c r="Y165" i="13" s="1"/>
  <c r="F166" i="13"/>
  <c r="K166" i="13" s="1"/>
  <c r="G166" i="13"/>
  <c r="E166" i="13"/>
  <c r="D104" i="8"/>
  <c r="G104" i="8" s="1"/>
  <c r="AD163" i="13"/>
  <c r="O55" i="12" s="1"/>
  <c r="F170" i="14"/>
  <c r="B171" i="14"/>
  <c r="D73" i="14"/>
  <c r="G73" i="14" s="1"/>
  <c r="B171" i="8"/>
  <c r="F170" i="8"/>
  <c r="R167" i="13" l="1"/>
  <c r="S167" i="13" s="1"/>
  <c r="M166" i="13"/>
  <c r="I70" i="13"/>
  <c r="L70" i="13" s="1"/>
  <c r="Z70" i="13"/>
  <c r="AC70" i="13" s="1"/>
  <c r="T166" i="13"/>
  <c r="U166" i="13" s="1"/>
  <c r="Y166" i="13" s="1"/>
  <c r="B172" i="9"/>
  <c r="G171" i="9"/>
  <c r="X165" i="13"/>
  <c r="W165" i="13"/>
  <c r="AB165" i="13" s="1"/>
  <c r="V165" i="13"/>
  <c r="O57" i="12"/>
  <c r="O58" i="12"/>
  <c r="E104" i="8"/>
  <c r="H104" i="8" s="1"/>
  <c r="C105" i="8" s="1"/>
  <c r="B172" i="8"/>
  <c r="F171" i="8"/>
  <c r="E167" i="13"/>
  <c r="G167" i="13"/>
  <c r="F167" i="13"/>
  <c r="K167" i="13" s="1"/>
  <c r="F171" i="14"/>
  <c r="B172" i="14"/>
  <c r="E112" i="9"/>
  <c r="H112" i="9" s="1"/>
  <c r="C113" i="9" s="1"/>
  <c r="B169" i="13"/>
  <c r="Q168" i="13"/>
  <c r="C168" i="13"/>
  <c r="D168" i="13" s="1"/>
  <c r="H168" i="13" s="1"/>
  <c r="P168" i="13"/>
  <c r="E73" i="14"/>
  <c r="H73" i="14" s="1"/>
  <c r="R168" i="13" l="1"/>
  <c r="AD165" i="13"/>
  <c r="M167" i="13"/>
  <c r="D105" i="8"/>
  <c r="G105" i="8" s="1"/>
  <c r="E105" i="8"/>
  <c r="H105" i="8" s="1"/>
  <c r="C106" i="8" s="1"/>
  <c r="B173" i="9"/>
  <c r="G172" i="9"/>
  <c r="X166" i="13"/>
  <c r="W166" i="13"/>
  <c r="V166" i="13"/>
  <c r="D113" i="9"/>
  <c r="F113" i="9" s="1"/>
  <c r="E113" i="9"/>
  <c r="H113" i="9" s="1"/>
  <c r="C114" i="9" s="1"/>
  <c r="J70" i="13"/>
  <c r="C74" i="14"/>
  <c r="AA70" i="13"/>
  <c r="B170" i="13"/>
  <c r="Q169" i="13"/>
  <c r="C169" i="13"/>
  <c r="D169" i="13" s="1"/>
  <c r="H169" i="13" s="1"/>
  <c r="P169" i="13"/>
  <c r="B173" i="8"/>
  <c r="F172" i="8"/>
  <c r="T167" i="13"/>
  <c r="U167" i="13" s="1"/>
  <c r="Y167" i="13" s="1"/>
  <c r="B173" i="14"/>
  <c r="F172" i="14"/>
  <c r="S168" i="13"/>
  <c r="E168" i="13"/>
  <c r="G168" i="13"/>
  <c r="F168" i="13"/>
  <c r="K168" i="13" s="1"/>
  <c r="R169" i="13" l="1"/>
  <c r="S169" i="13" s="1"/>
  <c r="T169" i="13" s="1"/>
  <c r="U169" i="13" s="1"/>
  <c r="Y169" i="13" s="1"/>
  <c r="M168" i="13"/>
  <c r="D74" i="14"/>
  <c r="G74" i="14" s="1"/>
  <c r="D114" i="9"/>
  <c r="F114" i="9" s="1"/>
  <c r="D106" i="8"/>
  <c r="G106" i="8" s="1"/>
  <c r="E106" i="8"/>
  <c r="H106" i="8" s="1"/>
  <c r="C107" i="8" s="1"/>
  <c r="G169" i="13"/>
  <c r="E169" i="13"/>
  <c r="F169" i="13"/>
  <c r="K169" i="13" s="1"/>
  <c r="AB166" i="13"/>
  <c r="AD166" i="13" s="1"/>
  <c r="B174" i="14"/>
  <c r="F173" i="14"/>
  <c r="C170" i="13"/>
  <c r="D170" i="13" s="1"/>
  <c r="H170" i="13" s="1"/>
  <c r="B171" i="13"/>
  <c r="Q170" i="13"/>
  <c r="P170" i="13"/>
  <c r="W167" i="13"/>
  <c r="AB167" i="13" s="1"/>
  <c r="X167" i="13"/>
  <c r="V167" i="13"/>
  <c r="G173" i="9"/>
  <c r="B174" i="9"/>
  <c r="T168" i="13"/>
  <c r="U168" i="13" s="1"/>
  <c r="Y168" i="13" s="1"/>
  <c r="F173" i="8"/>
  <c r="B174" i="8"/>
  <c r="E74" i="14" l="1"/>
  <c r="H74" i="14" s="1"/>
  <c r="C75" i="14" s="1"/>
  <c r="AD167" i="13"/>
  <c r="R170" i="13"/>
  <c r="S170" i="13" s="1"/>
  <c r="T170" i="13" s="1"/>
  <c r="U170" i="13" s="1"/>
  <c r="Y170" i="13" s="1"/>
  <c r="Q171" i="13"/>
  <c r="P171" i="13"/>
  <c r="C171" i="13"/>
  <c r="D171" i="13" s="1"/>
  <c r="H171" i="13" s="1"/>
  <c r="B172" i="13"/>
  <c r="G170" i="13"/>
  <c r="E170" i="13"/>
  <c r="F170" i="13"/>
  <c r="K170" i="13" s="1"/>
  <c r="W169" i="13"/>
  <c r="AB169" i="13" s="1"/>
  <c r="V169" i="13"/>
  <c r="X169" i="13"/>
  <c r="D107" i="8"/>
  <c r="G107" i="8" s="1"/>
  <c r="E107" i="8"/>
  <c r="H107" i="8" s="1"/>
  <c r="C108" i="8" s="1"/>
  <c r="J71" i="13"/>
  <c r="AA71" i="13"/>
  <c r="B175" i="14"/>
  <c r="F174" i="14"/>
  <c r="M169" i="13"/>
  <c r="I71" i="13"/>
  <c r="L71" i="13" s="1"/>
  <c r="Z71" i="13"/>
  <c r="AC71" i="13" s="1"/>
  <c r="W168" i="13"/>
  <c r="AB168" i="13" s="1"/>
  <c r="X168" i="13"/>
  <c r="V168" i="13"/>
  <c r="B175" i="9"/>
  <c r="G174" i="9"/>
  <c r="F174" i="8"/>
  <c r="B175" i="8"/>
  <c r="E114" i="9"/>
  <c r="H114" i="9" s="1"/>
  <c r="C115" i="9" s="1"/>
  <c r="AD169" i="13" l="1"/>
  <c r="R171" i="13"/>
  <c r="S171" i="13" s="1"/>
  <c r="F175" i="14"/>
  <c r="B176" i="14"/>
  <c r="D75" i="14"/>
  <c r="G75" i="14" s="1"/>
  <c r="M170" i="13"/>
  <c r="E115" i="9"/>
  <c r="H115" i="9" s="1"/>
  <c r="C116" i="9" s="1"/>
  <c r="D115" i="9"/>
  <c r="F115" i="9" s="1"/>
  <c r="AD168" i="13"/>
  <c r="V170" i="13"/>
  <c r="W170" i="13"/>
  <c r="X170" i="13"/>
  <c r="F175" i="8"/>
  <c r="B176" i="8"/>
  <c r="D108" i="8"/>
  <c r="G108" i="8" s="1"/>
  <c r="P172" i="13"/>
  <c r="B173" i="13"/>
  <c r="C172" i="13"/>
  <c r="D172" i="13" s="1"/>
  <c r="H172" i="13" s="1"/>
  <c r="Q172" i="13"/>
  <c r="B176" i="9"/>
  <c r="G175" i="9"/>
  <c r="G171" i="13"/>
  <c r="E171" i="13"/>
  <c r="F171" i="13"/>
  <c r="K171" i="13" s="1"/>
  <c r="M171" i="13" l="1"/>
  <c r="D116" i="9"/>
  <c r="F116" i="9" s="1"/>
  <c r="B177" i="8"/>
  <c r="F176" i="8"/>
  <c r="F172" i="13"/>
  <c r="K172" i="13" s="1"/>
  <c r="E172" i="13"/>
  <c r="G172" i="13"/>
  <c r="AB170" i="13"/>
  <c r="AD170" i="13" s="1"/>
  <c r="E75" i="14"/>
  <c r="H75" i="14" s="1"/>
  <c r="I72" i="13"/>
  <c r="L72" i="13" s="1"/>
  <c r="Z72" i="13"/>
  <c r="AC72" i="13" s="1"/>
  <c r="T171" i="13"/>
  <c r="U171" i="13" s="1"/>
  <c r="Y171" i="13" s="1"/>
  <c r="R172" i="13"/>
  <c r="S172" i="13" s="1"/>
  <c r="B177" i="14"/>
  <c r="F176" i="14"/>
  <c r="B174" i="13"/>
  <c r="C173" i="13"/>
  <c r="D173" i="13" s="1"/>
  <c r="H173" i="13" s="1"/>
  <c r="Q173" i="13"/>
  <c r="P173" i="13"/>
  <c r="B177" i="9"/>
  <c r="G176" i="9"/>
  <c r="E108" i="8"/>
  <c r="H108" i="8" s="1"/>
  <c r="C109" i="8" s="1"/>
  <c r="R173" i="13" l="1"/>
  <c r="S173" i="13" s="1"/>
  <c r="T173" i="13" s="1"/>
  <c r="U173" i="13" s="1"/>
  <c r="Y173" i="13" s="1"/>
  <c r="M172" i="13"/>
  <c r="B178" i="14"/>
  <c r="F177" i="14"/>
  <c r="B178" i="8"/>
  <c r="F177" i="8"/>
  <c r="J72" i="13"/>
  <c r="C76" i="14"/>
  <c r="AA72" i="13"/>
  <c r="E173" i="13"/>
  <c r="F173" i="13"/>
  <c r="K173" i="13" s="1"/>
  <c r="G173" i="13"/>
  <c r="E116" i="9"/>
  <c r="H116" i="9" s="1"/>
  <c r="C117" i="9" s="1"/>
  <c r="D109" i="8"/>
  <c r="G109" i="8" s="1"/>
  <c r="G177" i="9"/>
  <c r="B178" i="9"/>
  <c r="Q174" i="13"/>
  <c r="P174" i="13"/>
  <c r="B175" i="13"/>
  <c r="C174" i="13"/>
  <c r="D174" i="13" s="1"/>
  <c r="H174" i="13" s="1"/>
  <c r="T172" i="13"/>
  <c r="U172" i="13" s="1"/>
  <c r="Y172" i="13" s="1"/>
  <c r="X171" i="13"/>
  <c r="V171" i="13"/>
  <c r="W171" i="13"/>
  <c r="AB171" i="13" s="1"/>
  <c r="R174" i="13" l="1"/>
  <c r="S174" i="13" s="1"/>
  <c r="T174" i="13" s="1"/>
  <c r="U174" i="13" s="1"/>
  <c r="Y174" i="13" s="1"/>
  <c r="AD171" i="13"/>
  <c r="F178" i="14"/>
  <c r="B179" i="14"/>
  <c r="E109" i="8"/>
  <c r="H109" i="8" s="1"/>
  <c r="C110" i="8" s="1"/>
  <c r="M173" i="13"/>
  <c r="D76" i="14"/>
  <c r="G76" i="14" s="1"/>
  <c r="B179" i="8"/>
  <c r="F178" i="8"/>
  <c r="Q175" i="13"/>
  <c r="B176" i="13"/>
  <c r="C175" i="13"/>
  <c r="D175" i="13" s="1"/>
  <c r="H175" i="13" s="1"/>
  <c r="P175" i="13"/>
  <c r="D117" i="9"/>
  <c r="F117" i="9" s="1"/>
  <c r="E117" i="9"/>
  <c r="H117" i="9" s="1"/>
  <c r="C118" i="9" s="1"/>
  <c r="G178" i="9"/>
  <c r="B179" i="9"/>
  <c r="X172" i="13"/>
  <c r="W172" i="13"/>
  <c r="AB172" i="13" s="1"/>
  <c r="V172" i="13"/>
  <c r="G174" i="13"/>
  <c r="F174" i="13"/>
  <c r="K174" i="13" s="1"/>
  <c r="E174" i="13"/>
  <c r="W173" i="13"/>
  <c r="AB173" i="13" s="1"/>
  <c r="X173" i="13"/>
  <c r="V173" i="13"/>
  <c r="AD173" i="13" l="1"/>
  <c r="E76" i="14"/>
  <c r="H76" i="14" s="1"/>
  <c r="J73" i="13" s="1"/>
  <c r="M174" i="13"/>
  <c r="AD172" i="13"/>
  <c r="D110" i="8"/>
  <c r="G110" i="8" s="1"/>
  <c r="F179" i="14"/>
  <c r="B180" i="14"/>
  <c r="R175" i="13"/>
  <c r="S175" i="13" s="1"/>
  <c r="X174" i="13"/>
  <c r="V174" i="13"/>
  <c r="W174" i="13"/>
  <c r="AB174" i="13" s="1"/>
  <c r="E118" i="9"/>
  <c r="H118" i="9" s="1"/>
  <c r="C119" i="9" s="1"/>
  <c r="D118" i="9"/>
  <c r="F118" i="9" s="1"/>
  <c r="B180" i="9"/>
  <c r="G179" i="9"/>
  <c r="G175" i="13"/>
  <c r="E175" i="13"/>
  <c r="F175" i="13"/>
  <c r="K175" i="13" s="1"/>
  <c r="B180" i="8"/>
  <c r="F179" i="8"/>
  <c r="C176" i="13"/>
  <c r="D176" i="13" s="1"/>
  <c r="H176" i="13" s="1"/>
  <c r="P176" i="13"/>
  <c r="B177" i="13"/>
  <c r="Q176" i="13"/>
  <c r="I73" i="13"/>
  <c r="L73" i="13" s="1"/>
  <c r="Z73" i="13"/>
  <c r="AC73" i="13" s="1"/>
  <c r="AA73" i="13" l="1"/>
  <c r="C77" i="14"/>
  <c r="D77" i="14" s="1"/>
  <c r="G77" i="14" s="1"/>
  <c r="M175" i="13"/>
  <c r="P37" i="12" s="1"/>
  <c r="P39" i="12" s="1"/>
  <c r="AD174" i="13"/>
  <c r="B181" i="8"/>
  <c r="F180" i="8"/>
  <c r="Q177" i="13"/>
  <c r="P177" i="13"/>
  <c r="B178" i="13"/>
  <c r="C177" i="13"/>
  <c r="D177" i="13" s="1"/>
  <c r="H177" i="13" s="1"/>
  <c r="T175" i="13"/>
  <c r="U175" i="13" s="1"/>
  <c r="Y175" i="13" s="1"/>
  <c r="F180" i="14"/>
  <c r="B181" i="14"/>
  <c r="B181" i="9"/>
  <c r="G180" i="9"/>
  <c r="D119" i="9"/>
  <c r="F119" i="9" s="1"/>
  <c r="R176" i="13"/>
  <c r="S176" i="13" s="1"/>
  <c r="E110" i="8"/>
  <c r="H110" i="8" s="1"/>
  <c r="C111" i="8" s="1"/>
  <c r="G176" i="13"/>
  <c r="E176" i="13"/>
  <c r="F176" i="13"/>
  <c r="K176" i="13" s="1"/>
  <c r="E77" i="14" l="1"/>
  <c r="H77" i="14" s="1"/>
  <c r="J74" i="13" s="1"/>
  <c r="P40" i="12"/>
  <c r="I74" i="13"/>
  <c r="L74" i="13" s="1"/>
  <c r="Z74" i="13"/>
  <c r="AC74" i="13" s="1"/>
  <c r="AA74" i="13"/>
  <c r="G181" i="9"/>
  <c r="B182" i="9"/>
  <c r="W175" i="13"/>
  <c r="AB175" i="13" s="1"/>
  <c r="V175" i="13"/>
  <c r="X175" i="13"/>
  <c r="F181" i="8"/>
  <c r="B182" i="8"/>
  <c r="E111" i="8"/>
  <c r="H111" i="8" s="1"/>
  <c r="C112" i="8" s="1"/>
  <c r="D111" i="8"/>
  <c r="G111" i="8" s="1"/>
  <c r="M176" i="13"/>
  <c r="E119" i="9"/>
  <c r="H119" i="9" s="1"/>
  <c r="C120" i="9" s="1"/>
  <c r="G177" i="13"/>
  <c r="F177" i="13"/>
  <c r="K177" i="13" s="1"/>
  <c r="E177" i="13"/>
  <c r="R177" i="13"/>
  <c r="S177" i="13" s="1"/>
  <c r="T176" i="13"/>
  <c r="U176" i="13" s="1"/>
  <c r="Y176" i="13" s="1"/>
  <c r="B182" i="14"/>
  <c r="F181" i="14"/>
  <c r="P178" i="13"/>
  <c r="C178" i="13"/>
  <c r="D178" i="13" s="1"/>
  <c r="H178" i="13" s="1"/>
  <c r="Q178" i="13"/>
  <c r="B179" i="13"/>
  <c r="C78" i="14" l="1"/>
  <c r="D78" i="14" s="1"/>
  <c r="G78" i="14" s="1"/>
  <c r="R178" i="13"/>
  <c r="S178" i="13" s="1"/>
  <c r="M177" i="13"/>
  <c r="V176" i="13"/>
  <c r="W176" i="13"/>
  <c r="AB176" i="13" s="1"/>
  <c r="X176" i="13"/>
  <c r="F182" i="8"/>
  <c r="B183" i="8"/>
  <c r="AD175" i="13"/>
  <c r="P55" i="12" s="1"/>
  <c r="T177" i="13"/>
  <c r="U177" i="13" s="1"/>
  <c r="Y177" i="13" s="1"/>
  <c r="F178" i="13"/>
  <c r="K178" i="13" s="1"/>
  <c r="E178" i="13"/>
  <c r="G178" i="13"/>
  <c r="B183" i="14"/>
  <c r="F182" i="14"/>
  <c r="D112" i="8"/>
  <c r="G112" i="8" s="1"/>
  <c r="C179" i="13"/>
  <c r="D179" i="13" s="1"/>
  <c r="H179" i="13" s="1"/>
  <c r="Q179" i="13"/>
  <c r="B180" i="13"/>
  <c r="P179" i="13"/>
  <c r="B183" i="9"/>
  <c r="G182" i="9"/>
  <c r="E120" i="9"/>
  <c r="H120" i="9" s="1"/>
  <c r="C121" i="9" s="1"/>
  <c r="D120" i="9"/>
  <c r="F120" i="9" s="1"/>
  <c r="R179" i="13" l="1"/>
  <c r="S179" i="13" s="1"/>
  <c r="AD176" i="13"/>
  <c r="G179" i="13"/>
  <c r="F179" i="13"/>
  <c r="K179" i="13" s="1"/>
  <c r="E179" i="13"/>
  <c r="F183" i="14"/>
  <c r="B184" i="14"/>
  <c r="F183" i="8"/>
  <c r="B184" i="8"/>
  <c r="B184" i="9"/>
  <c r="G183" i="9"/>
  <c r="E112" i="8"/>
  <c r="H112" i="8" s="1"/>
  <c r="C113" i="8" s="1"/>
  <c r="X177" i="13"/>
  <c r="W177" i="13"/>
  <c r="AB177" i="13" s="1"/>
  <c r="V177" i="13"/>
  <c r="E78" i="14"/>
  <c r="H78" i="14" s="1"/>
  <c r="D121" i="9"/>
  <c r="F121" i="9" s="1"/>
  <c r="I75" i="13"/>
  <c r="L75" i="13" s="1"/>
  <c r="Z75" i="13"/>
  <c r="AC75" i="13" s="1"/>
  <c r="T178" i="13"/>
  <c r="U178" i="13" s="1"/>
  <c r="Y178" i="13" s="1"/>
  <c r="M178" i="13"/>
  <c r="P180" i="13"/>
  <c r="B181" i="13"/>
  <c r="Q180" i="13"/>
  <c r="C180" i="13"/>
  <c r="D180" i="13" s="1"/>
  <c r="H180" i="13" s="1"/>
  <c r="P57" i="12"/>
  <c r="P58" i="12"/>
  <c r="M179" i="13" l="1"/>
  <c r="AD177" i="13"/>
  <c r="B185" i="14"/>
  <c r="F184" i="14"/>
  <c r="D113" i="8"/>
  <c r="G113" i="8" s="1"/>
  <c r="T179" i="13"/>
  <c r="U179" i="13" s="1"/>
  <c r="Y179" i="13" s="1"/>
  <c r="F180" i="13"/>
  <c r="K180" i="13" s="1"/>
  <c r="E180" i="13"/>
  <c r="G180" i="13"/>
  <c r="G184" i="9"/>
  <c r="B185" i="9"/>
  <c r="J75" i="13"/>
  <c r="C79" i="14"/>
  <c r="AA75" i="13"/>
  <c r="B182" i="13"/>
  <c r="C181" i="13"/>
  <c r="D181" i="13" s="1"/>
  <c r="H181" i="13" s="1"/>
  <c r="P181" i="13"/>
  <c r="Q181" i="13"/>
  <c r="E121" i="9"/>
  <c r="H121" i="9" s="1"/>
  <c r="C122" i="9" s="1"/>
  <c r="B185" i="8"/>
  <c r="F184" i="8"/>
  <c r="X178" i="13"/>
  <c r="V178" i="13"/>
  <c r="W178" i="13"/>
  <c r="AB178" i="13" s="1"/>
  <c r="R180" i="13"/>
  <c r="S180" i="13" s="1"/>
  <c r="M180" i="13" l="1"/>
  <c r="X179" i="13"/>
  <c r="V179" i="13"/>
  <c r="W179" i="13"/>
  <c r="AB179" i="13" s="1"/>
  <c r="T180" i="13"/>
  <c r="U180" i="13" s="1"/>
  <c r="Y180" i="13" s="1"/>
  <c r="B186" i="14"/>
  <c r="F185" i="14"/>
  <c r="AD178" i="13"/>
  <c r="R181" i="13"/>
  <c r="S181" i="13" s="1"/>
  <c r="D122" i="9"/>
  <c r="F122" i="9" s="1"/>
  <c r="E181" i="13"/>
  <c r="G181" i="13"/>
  <c r="F181" i="13"/>
  <c r="K181" i="13" s="1"/>
  <c r="E113" i="8"/>
  <c r="H113" i="8" s="1"/>
  <c r="C114" i="8" s="1"/>
  <c r="B186" i="8"/>
  <c r="F185" i="8"/>
  <c r="G185" i="9"/>
  <c r="B186" i="9"/>
  <c r="Q182" i="13"/>
  <c r="P182" i="13"/>
  <c r="C182" i="13"/>
  <c r="D182" i="13" s="1"/>
  <c r="H182" i="13" s="1"/>
  <c r="B183" i="13"/>
  <c r="D79" i="14"/>
  <c r="G79" i="14" s="1"/>
  <c r="R182" i="13" l="1"/>
  <c r="S182" i="13" s="1"/>
  <c r="E79" i="14"/>
  <c r="H79" i="14" s="1"/>
  <c r="J76" i="13" s="1"/>
  <c r="AD179" i="13"/>
  <c r="M181" i="13"/>
  <c r="E122" i="9"/>
  <c r="H122" i="9" s="1"/>
  <c r="C123" i="9" s="1"/>
  <c r="T182" i="13"/>
  <c r="U182" i="13" s="1"/>
  <c r="Y182" i="13" s="1"/>
  <c r="T181" i="13"/>
  <c r="U181" i="13" s="1"/>
  <c r="Y181" i="13" s="1"/>
  <c r="X180" i="13"/>
  <c r="W180" i="13"/>
  <c r="AB180" i="13" s="1"/>
  <c r="V180" i="13"/>
  <c r="G186" i="9"/>
  <c r="B187" i="9"/>
  <c r="F186" i="14"/>
  <c r="B187" i="14"/>
  <c r="AA76" i="13"/>
  <c r="I76" i="13"/>
  <c r="L76" i="13" s="1"/>
  <c r="Z76" i="13"/>
  <c r="AC76" i="13" s="1"/>
  <c r="B187" i="8"/>
  <c r="F186" i="8"/>
  <c r="Q183" i="13"/>
  <c r="B184" i="13"/>
  <c r="C183" i="13"/>
  <c r="D183" i="13" s="1"/>
  <c r="H183" i="13" s="1"/>
  <c r="P183" i="13"/>
  <c r="G182" i="13"/>
  <c r="F182" i="13"/>
  <c r="K182" i="13" s="1"/>
  <c r="E182" i="13"/>
  <c r="E114" i="8"/>
  <c r="H114" i="8" s="1"/>
  <c r="C115" i="8" s="1"/>
  <c r="D114" i="8"/>
  <c r="G114" i="8" s="1"/>
  <c r="R183" i="13" l="1"/>
  <c r="S183" i="13" s="1"/>
  <c r="T183" i="13" s="1"/>
  <c r="U183" i="13" s="1"/>
  <c r="Y183" i="13" s="1"/>
  <c r="C80" i="14"/>
  <c r="D80" i="14" s="1"/>
  <c r="G80" i="14" s="1"/>
  <c r="AD180" i="13"/>
  <c r="D115" i="8"/>
  <c r="G115" i="8" s="1"/>
  <c r="G183" i="13"/>
  <c r="E183" i="13"/>
  <c r="F183" i="13"/>
  <c r="K183" i="13" s="1"/>
  <c r="B188" i="8"/>
  <c r="F187" i="8"/>
  <c r="W181" i="13"/>
  <c r="AB181" i="13" s="1"/>
  <c r="V181" i="13"/>
  <c r="X181" i="13"/>
  <c r="C184" i="13"/>
  <c r="D184" i="13" s="1"/>
  <c r="H184" i="13" s="1"/>
  <c r="Q184" i="13"/>
  <c r="B185" i="13"/>
  <c r="P184" i="13"/>
  <c r="F187" i="14"/>
  <c r="B188" i="14"/>
  <c r="X182" i="13"/>
  <c r="W182" i="13"/>
  <c r="AB182" i="13" s="1"/>
  <c r="V182" i="13"/>
  <c r="M182" i="13"/>
  <c r="B188" i="9"/>
  <c r="G187" i="9"/>
  <c r="D123" i="9"/>
  <c r="F123" i="9" s="1"/>
  <c r="R184" i="13" l="1"/>
  <c r="S184" i="13" s="1"/>
  <c r="T184" i="13" s="1"/>
  <c r="U184" i="13" s="1"/>
  <c r="Y184" i="13" s="1"/>
  <c r="AD181" i="13"/>
  <c r="AD182" i="13"/>
  <c r="M183" i="13"/>
  <c r="Q185" i="13"/>
  <c r="P185" i="13"/>
  <c r="B186" i="13"/>
  <c r="C185" i="13"/>
  <c r="D185" i="13" s="1"/>
  <c r="H185" i="13" s="1"/>
  <c r="B189" i="9"/>
  <c r="G188" i="9"/>
  <c r="F184" i="13"/>
  <c r="K184" i="13" s="1"/>
  <c r="G184" i="13"/>
  <c r="E184" i="13"/>
  <c r="B189" i="8"/>
  <c r="F188" i="8"/>
  <c r="B189" i="14"/>
  <c r="F188" i="14"/>
  <c r="W183" i="13"/>
  <c r="V183" i="13"/>
  <c r="X183" i="13"/>
  <c r="E123" i="9"/>
  <c r="H123" i="9" s="1"/>
  <c r="C124" i="9" s="1"/>
  <c r="E115" i="8"/>
  <c r="H115" i="8" s="1"/>
  <c r="C116" i="8" s="1"/>
  <c r="I77" i="13"/>
  <c r="L77" i="13" s="1"/>
  <c r="Z77" i="13"/>
  <c r="AC77" i="13" s="1"/>
  <c r="E80" i="14"/>
  <c r="H80" i="14" s="1"/>
  <c r="M184" i="13" l="1"/>
  <c r="R185" i="13"/>
  <c r="S185" i="13" s="1"/>
  <c r="T185" i="13" s="1"/>
  <c r="U185" i="13" s="1"/>
  <c r="Y185" i="13" s="1"/>
  <c r="G185" i="13"/>
  <c r="F185" i="13"/>
  <c r="K185" i="13" s="1"/>
  <c r="E185" i="13"/>
  <c r="P186" i="13"/>
  <c r="B187" i="13"/>
  <c r="C186" i="13"/>
  <c r="D186" i="13" s="1"/>
  <c r="H186" i="13" s="1"/>
  <c r="Q186" i="13"/>
  <c r="D116" i="8"/>
  <c r="G116" i="8" s="1"/>
  <c r="AB183" i="13"/>
  <c r="AD183" i="13" s="1"/>
  <c r="F189" i="8"/>
  <c r="B190" i="8"/>
  <c r="V184" i="13"/>
  <c r="X184" i="13"/>
  <c r="W184" i="13"/>
  <c r="AB184" i="13" s="1"/>
  <c r="D124" i="9"/>
  <c r="F124" i="9" s="1"/>
  <c r="B190" i="14"/>
  <c r="F189" i="14"/>
  <c r="G189" i="9"/>
  <c r="B190" i="9"/>
  <c r="J77" i="13"/>
  <c r="AA77" i="13"/>
  <c r="C81" i="14"/>
  <c r="AD184" i="13" l="1"/>
  <c r="X185" i="13"/>
  <c r="W185" i="13"/>
  <c r="AB185" i="13" s="1"/>
  <c r="V185" i="13"/>
  <c r="B191" i="14"/>
  <c r="F190" i="14"/>
  <c r="M185" i="13"/>
  <c r="F186" i="13"/>
  <c r="K186" i="13" s="1"/>
  <c r="G186" i="13"/>
  <c r="E186" i="13"/>
  <c r="E124" i="9"/>
  <c r="H124" i="9" s="1"/>
  <c r="C125" i="9" s="1"/>
  <c r="C187" i="13"/>
  <c r="D187" i="13" s="1"/>
  <c r="H187" i="13" s="1"/>
  <c r="Q187" i="13"/>
  <c r="P187" i="13"/>
  <c r="R186" i="13"/>
  <c r="S186" i="13" s="1"/>
  <c r="D81" i="14"/>
  <c r="G81" i="14" s="1"/>
  <c r="B191" i="9"/>
  <c r="G190" i="9"/>
  <c r="F190" i="8"/>
  <c r="B191" i="8"/>
  <c r="E116" i="8"/>
  <c r="H116" i="8" s="1"/>
  <c r="C117" i="8" s="1"/>
  <c r="R187" i="13" l="1"/>
  <c r="S187" i="13" s="1"/>
  <c r="T187" i="13" s="1"/>
  <c r="U187" i="13" s="1"/>
  <c r="Y187" i="13" s="1"/>
  <c r="AD185" i="13"/>
  <c r="D117" i="8"/>
  <c r="G117" i="8" s="1"/>
  <c r="T186" i="13"/>
  <c r="U186" i="13" s="1"/>
  <c r="Y186" i="13" s="1"/>
  <c r="M186" i="13"/>
  <c r="I78" i="13"/>
  <c r="L78" i="13" s="1"/>
  <c r="Z78" i="13"/>
  <c r="AC78" i="13" s="1"/>
  <c r="G187" i="13"/>
  <c r="F187" i="13"/>
  <c r="K187" i="13" s="1"/>
  <c r="E187" i="13"/>
  <c r="B192" i="14"/>
  <c r="F191" i="14"/>
  <c r="E81" i="14"/>
  <c r="H81" i="14" s="1"/>
  <c r="F191" i="8"/>
  <c r="B192" i="8"/>
  <c r="B192" i="9"/>
  <c r="G191" i="9"/>
  <c r="D125" i="9"/>
  <c r="F125" i="9" s="1"/>
  <c r="E125" i="9"/>
  <c r="H125" i="9" s="1"/>
  <c r="C126" i="9" s="1"/>
  <c r="M187" i="13" l="1"/>
  <c r="Q37" i="12" s="1"/>
  <c r="Q39" i="12" s="1"/>
  <c r="B193" i="9"/>
  <c r="G192" i="9"/>
  <c r="X186" i="13"/>
  <c r="V186" i="13"/>
  <c r="W186" i="13"/>
  <c r="J78" i="13"/>
  <c r="AA78" i="13"/>
  <c r="C82" i="14"/>
  <c r="D126" i="9"/>
  <c r="F126" i="9" s="1"/>
  <c r="B193" i="8"/>
  <c r="F192" i="8"/>
  <c r="E117" i="8"/>
  <c r="H117" i="8" s="1"/>
  <c r="C118" i="8" s="1"/>
  <c r="B193" i="14"/>
  <c r="F192" i="14"/>
  <c r="X187" i="13"/>
  <c r="W187" i="13"/>
  <c r="V187" i="13"/>
  <c r="Q40" i="12" l="1"/>
  <c r="AB187" i="13"/>
  <c r="AD187" i="13" s="1"/>
  <c r="AB186" i="13"/>
  <c r="AD186" i="13" s="1"/>
  <c r="G193" i="9"/>
  <c r="B194" i="9"/>
  <c r="E126" i="9"/>
  <c r="H126" i="9" s="1"/>
  <c r="C127" i="9" s="1"/>
  <c r="D118" i="8"/>
  <c r="G118" i="8" s="1"/>
  <c r="E118" i="8"/>
  <c r="D82" i="14"/>
  <c r="G82" i="14" s="1"/>
  <c r="B194" i="8"/>
  <c r="F193" i="8"/>
  <c r="B194" i="14"/>
  <c r="F193" i="14"/>
  <c r="T37" i="12"/>
  <c r="T36" i="12"/>
  <c r="T38" i="12"/>
  <c r="T39" i="12" a="1"/>
  <c r="T39" i="12" s="1"/>
  <c r="E82" i="14" l="1"/>
  <c r="H82" i="14" s="1"/>
  <c r="J79" i="13" s="1"/>
  <c r="Q55" i="12"/>
  <c r="Q57" i="12" s="1"/>
  <c r="H118" i="8"/>
  <c r="C119" i="8" s="1"/>
  <c r="D127" i="9"/>
  <c r="F127" i="9" s="1"/>
  <c r="E127" i="9"/>
  <c r="H127" i="9" s="1"/>
  <c r="C128" i="9" s="1"/>
  <c r="F194" i="14"/>
  <c r="B195" i="14"/>
  <c r="AA79" i="13"/>
  <c r="B195" i="8"/>
  <c r="F194" i="8"/>
  <c r="G194" i="9"/>
  <c r="B195" i="9"/>
  <c r="I79" i="13"/>
  <c r="L79" i="13" s="1"/>
  <c r="H44" i="12" s="1"/>
  <c r="Z79" i="13"/>
  <c r="AC79" i="13" s="1"/>
  <c r="H62" i="12" s="1"/>
  <c r="C83" i="14" l="1"/>
  <c r="Q58" i="12"/>
  <c r="H46" i="12"/>
  <c r="H47" i="12"/>
  <c r="D119" i="8"/>
  <c r="G119" i="8" s="1"/>
  <c r="E119" i="8"/>
  <c r="H119" i="8" s="1"/>
  <c r="C120" i="8" s="1"/>
  <c r="D83" i="14"/>
  <c r="G83" i="14" s="1"/>
  <c r="F195" i="14"/>
  <c r="B196" i="14"/>
  <c r="D128" i="9"/>
  <c r="F128" i="9" s="1"/>
  <c r="B196" i="9"/>
  <c r="G195" i="9"/>
  <c r="B196" i="8"/>
  <c r="F195" i="8"/>
  <c r="H64" i="12"/>
  <c r="H65" i="12"/>
  <c r="T54" i="12"/>
  <c r="T57" i="12" a="1"/>
  <c r="T57" i="12" s="1"/>
  <c r="T56" i="12"/>
  <c r="T55" i="12"/>
  <c r="E83" i="14" l="1"/>
  <c r="H83" i="14" s="1"/>
  <c r="D120" i="8"/>
  <c r="G120" i="8" s="1"/>
  <c r="E120" i="8"/>
  <c r="H120" i="8" s="1"/>
  <c r="C121" i="8" s="1"/>
  <c r="B197" i="8"/>
  <c r="F196" i="8"/>
  <c r="E128" i="9"/>
  <c r="H128" i="9" s="1"/>
  <c r="C129" i="9" s="1"/>
  <c r="F196" i="14"/>
  <c r="B197" i="14"/>
  <c r="I80" i="13"/>
  <c r="L80" i="13" s="1"/>
  <c r="Z80" i="13"/>
  <c r="AC80" i="13" s="1"/>
  <c r="B197" i="9"/>
  <c r="G196" i="9"/>
  <c r="D121" i="8" l="1"/>
  <c r="G121" i="8" s="1"/>
  <c r="B198" i="14"/>
  <c r="F197" i="14"/>
  <c r="J80" i="13"/>
  <c r="C84" i="14"/>
  <c r="AA80" i="13"/>
  <c r="D129" i="9"/>
  <c r="F129" i="9" s="1"/>
  <c r="F197" i="8"/>
  <c r="B198" i="8"/>
  <c r="G197" i="9"/>
  <c r="B198" i="9"/>
  <c r="E129" i="9" l="1"/>
  <c r="H129" i="9" s="1"/>
  <c r="C130" i="9" s="1"/>
  <c r="F198" i="8"/>
  <c r="B199" i="8"/>
  <c r="B199" i="14"/>
  <c r="F198" i="14"/>
  <c r="B199" i="9"/>
  <c r="G198" i="9"/>
  <c r="D84" i="14"/>
  <c r="G84" i="14" s="1"/>
  <c r="E121" i="8"/>
  <c r="H121" i="8" s="1"/>
  <c r="C122" i="8" s="1"/>
  <c r="I81" i="13" l="1"/>
  <c r="L81" i="13" s="1"/>
  <c r="Z81" i="13"/>
  <c r="AC81" i="13" s="1"/>
  <c r="F199" i="8"/>
  <c r="B200" i="8"/>
  <c r="B200" i="9"/>
  <c r="G199" i="9"/>
  <c r="E84" i="14"/>
  <c r="H84" i="14" s="1"/>
  <c r="D122" i="8"/>
  <c r="G122" i="8" s="1"/>
  <c r="F199" i="14"/>
  <c r="B200" i="14"/>
  <c r="D130" i="9"/>
  <c r="F130" i="9" s="1"/>
  <c r="G200" i="9" l="1"/>
  <c r="B201" i="9"/>
  <c r="E130" i="9"/>
  <c r="H130" i="9" s="1"/>
  <c r="C131" i="9" s="1"/>
  <c r="E122" i="8"/>
  <c r="H122" i="8" s="1"/>
  <c r="C123" i="8" s="1"/>
  <c r="B201" i="8"/>
  <c r="F200" i="8"/>
  <c r="B201" i="14"/>
  <c r="F200" i="14"/>
  <c r="J81" i="13"/>
  <c r="C85" i="14"/>
  <c r="AA81" i="13"/>
  <c r="G201" i="9" l="1"/>
  <c r="B202" i="9"/>
  <c r="B202" i="14"/>
  <c r="F201" i="14"/>
  <c r="B202" i="8"/>
  <c r="F201" i="8"/>
  <c r="D85" i="14"/>
  <c r="G85" i="14" s="1"/>
  <c r="E131" i="9"/>
  <c r="H131" i="9" s="1"/>
  <c r="C132" i="9" s="1"/>
  <c r="D131" i="9"/>
  <c r="F131" i="9" s="1"/>
  <c r="D123" i="8"/>
  <c r="G123" i="8" s="1"/>
  <c r="E123" i="8"/>
  <c r="H123" i="8" s="1"/>
  <c r="C124" i="8" s="1"/>
  <c r="B203" i="8" l="1"/>
  <c r="F202" i="8"/>
  <c r="E132" i="9"/>
  <c r="H132" i="9" s="1"/>
  <c r="C133" i="9" s="1"/>
  <c r="D132" i="9"/>
  <c r="F132" i="9" s="1"/>
  <c r="G202" i="9"/>
  <c r="B203" i="9"/>
  <c r="I82" i="13"/>
  <c r="L82" i="13" s="1"/>
  <c r="Z82" i="13"/>
  <c r="AC82" i="13" s="1"/>
  <c r="D124" i="8"/>
  <c r="G124" i="8" s="1"/>
  <c r="F202" i="14"/>
  <c r="B203" i="14"/>
  <c r="E85" i="14"/>
  <c r="H85" i="14" s="1"/>
  <c r="F203" i="14" l="1"/>
  <c r="B204" i="14"/>
  <c r="B204" i="9"/>
  <c r="G203" i="9"/>
  <c r="D133" i="9"/>
  <c r="F133" i="9" s="1"/>
  <c r="E133" i="9"/>
  <c r="H133" i="9" s="1"/>
  <c r="C134" i="9" s="1"/>
  <c r="J82" i="13"/>
  <c r="C86" i="14"/>
  <c r="AA82" i="13"/>
  <c r="E124" i="8"/>
  <c r="H124" i="8" s="1"/>
  <c r="C125" i="8" s="1"/>
  <c r="B204" i="8"/>
  <c r="F203" i="8"/>
  <c r="B205" i="14" l="1"/>
  <c r="F204" i="14"/>
  <c r="B205" i="8"/>
  <c r="F204" i="8"/>
  <c r="D134" i="9"/>
  <c r="F134" i="9" s="1"/>
  <c r="E134" i="9"/>
  <c r="H134" i="9" s="1"/>
  <c r="C135" i="9" s="1"/>
  <c r="D125" i="8"/>
  <c r="G125" i="8" s="1"/>
  <c r="D86" i="14"/>
  <c r="G86" i="14" s="1"/>
  <c r="B205" i="9"/>
  <c r="G204" i="9"/>
  <c r="E86" i="14" l="1"/>
  <c r="H86" i="14" s="1"/>
  <c r="J83" i="13" s="1"/>
  <c r="B206" i="14"/>
  <c r="F205" i="14"/>
  <c r="I83" i="13"/>
  <c r="L83" i="13" s="1"/>
  <c r="Z83" i="13"/>
  <c r="AC83" i="13" s="1"/>
  <c r="D135" i="9"/>
  <c r="F135" i="9" s="1"/>
  <c r="E135" i="9"/>
  <c r="H135" i="9" s="1"/>
  <c r="C136" i="9" s="1"/>
  <c r="AA83" i="13"/>
  <c r="G205" i="9"/>
  <c r="B206" i="9"/>
  <c r="F205" i="8"/>
  <c r="B206" i="8"/>
  <c r="E125" i="8"/>
  <c r="H125" i="8" s="1"/>
  <c r="C126" i="8" s="1"/>
  <c r="C87" i="14" l="1"/>
  <c r="D87" i="14" s="1"/>
  <c r="G87" i="14" s="1"/>
  <c r="D126" i="8"/>
  <c r="G126" i="8" s="1"/>
  <c r="E126" i="8"/>
  <c r="H126" i="8" s="1"/>
  <c r="C127" i="8" s="1"/>
  <c r="D136" i="9"/>
  <c r="F136" i="9" s="1"/>
  <c r="B207" i="9"/>
  <c r="G206" i="9"/>
  <c r="F206" i="8"/>
  <c r="B207" i="8"/>
  <c r="B207" i="14"/>
  <c r="F206" i="14"/>
  <c r="E136" i="9" l="1"/>
  <c r="H136" i="9" s="1"/>
  <c r="C137" i="9" s="1"/>
  <c r="D127" i="8"/>
  <c r="G127" i="8" s="1"/>
  <c r="E127" i="8"/>
  <c r="H127" i="8" s="1"/>
  <c r="C128" i="8" s="1"/>
  <c r="F207" i="8"/>
  <c r="B208" i="8"/>
  <c r="E87" i="14"/>
  <c r="H87" i="14" s="1"/>
  <c r="B208" i="14"/>
  <c r="F207" i="14"/>
  <c r="B208" i="9"/>
  <c r="G207" i="9"/>
  <c r="I84" i="13"/>
  <c r="L84" i="13" s="1"/>
  <c r="Z84" i="13"/>
  <c r="AC84" i="13" s="1"/>
  <c r="B209" i="9" l="1"/>
  <c r="G208" i="9"/>
  <c r="J84" i="13"/>
  <c r="C88" i="14"/>
  <c r="AA84" i="13"/>
  <c r="B209" i="14"/>
  <c r="F208" i="14"/>
  <c r="B209" i="8"/>
  <c r="F208" i="8"/>
  <c r="D128" i="8"/>
  <c r="G128" i="8" s="1"/>
  <c r="D137" i="9"/>
  <c r="F137" i="9" s="1"/>
  <c r="B210" i="14" l="1"/>
  <c r="F209" i="14"/>
  <c r="G209" i="9"/>
  <c r="B210" i="9"/>
  <c r="E137" i="9"/>
  <c r="H137" i="9" s="1"/>
  <c r="C138" i="9" s="1"/>
  <c r="B210" i="8"/>
  <c r="F209" i="8"/>
  <c r="E128" i="8"/>
  <c r="H128" i="8" s="1"/>
  <c r="C129" i="8" s="1"/>
  <c r="D88" i="14"/>
  <c r="G88" i="14" s="1"/>
  <c r="I85" i="13" l="1"/>
  <c r="L85" i="13" s="1"/>
  <c r="Z85" i="13"/>
  <c r="AC85" i="13" s="1"/>
  <c r="D129" i="8"/>
  <c r="G129" i="8" s="1"/>
  <c r="F210" i="14"/>
  <c r="B211" i="14"/>
  <c r="D138" i="9"/>
  <c r="F138" i="9" s="1"/>
  <c r="G210" i="9"/>
  <c r="B211" i="9"/>
  <c r="B211" i="8"/>
  <c r="F210" i="8"/>
  <c r="E88" i="14"/>
  <c r="H88" i="14" s="1"/>
  <c r="B212" i="8" l="1"/>
  <c r="F211" i="8"/>
  <c r="E138" i="9"/>
  <c r="H138" i="9" s="1"/>
  <c r="C139" i="9" s="1"/>
  <c r="B212" i="9"/>
  <c r="G211" i="9"/>
  <c r="E129" i="8"/>
  <c r="H129" i="8" s="1"/>
  <c r="C130" i="8" s="1"/>
  <c r="J85" i="13"/>
  <c r="C89" i="14"/>
  <c r="AA85" i="13"/>
  <c r="F211" i="14"/>
  <c r="B212" i="14"/>
  <c r="D130" i="8" l="1"/>
  <c r="G130" i="8" s="1"/>
  <c r="B213" i="8"/>
  <c r="F212" i="8"/>
  <c r="B213" i="9"/>
  <c r="G212" i="9"/>
  <c r="D89" i="14"/>
  <c r="G89" i="14" s="1"/>
  <c r="F212" i="14"/>
  <c r="B213" i="14"/>
  <c r="D139" i="9"/>
  <c r="F139" i="9" s="1"/>
  <c r="E139" i="9"/>
  <c r="H139" i="9" s="1"/>
  <c r="C140" i="9" s="1"/>
  <c r="E89" i="14" l="1"/>
  <c r="H89" i="14" s="1"/>
  <c r="J86" i="13" s="1"/>
  <c r="F213" i="8"/>
  <c r="B214" i="8"/>
  <c r="G213" i="9"/>
  <c r="B214" i="9"/>
  <c r="AA86" i="13"/>
  <c r="E130" i="8"/>
  <c r="H130" i="8" s="1"/>
  <c r="C131" i="8" s="1"/>
  <c r="B214" i="14"/>
  <c r="F213" i="14"/>
  <c r="D140" i="9"/>
  <c r="F140" i="9" s="1"/>
  <c r="I86" i="13"/>
  <c r="L86" i="13" s="1"/>
  <c r="Z86" i="13"/>
  <c r="AC86" i="13" s="1"/>
  <c r="C90" i="14" l="1"/>
  <c r="D90" i="14" s="1"/>
  <c r="G90" i="14" s="1"/>
  <c r="F214" i="8"/>
  <c r="B215" i="8"/>
  <c r="B215" i="9"/>
  <c r="G214" i="9"/>
  <c r="B215" i="14"/>
  <c r="F214" i="14"/>
  <c r="E140" i="9"/>
  <c r="H140" i="9" s="1"/>
  <c r="C141" i="9" s="1"/>
  <c r="D131" i="8"/>
  <c r="G131" i="8" s="1"/>
  <c r="E131" i="8"/>
  <c r="H131" i="8" s="1"/>
  <c r="C132" i="8" s="1"/>
  <c r="E90" i="14" l="1"/>
  <c r="H90" i="14" s="1"/>
  <c r="J87" i="13" s="1"/>
  <c r="F215" i="8"/>
  <c r="B216" i="8"/>
  <c r="D141" i="9"/>
  <c r="F141" i="9" s="1"/>
  <c r="B216" i="9"/>
  <c r="G215" i="9"/>
  <c r="AA87" i="13"/>
  <c r="D132" i="8"/>
  <c r="G132" i="8" s="1"/>
  <c r="B216" i="14"/>
  <c r="F215" i="14"/>
  <c r="I87" i="13"/>
  <c r="L87" i="13" s="1"/>
  <c r="Z87" i="13"/>
  <c r="AC87" i="13" s="1"/>
  <c r="C91" i="14" l="1"/>
  <c r="D91" i="14" s="1"/>
  <c r="G91" i="14" s="1"/>
  <c r="B217" i="8"/>
  <c r="F216" i="8"/>
  <c r="B217" i="14"/>
  <c r="F216" i="14"/>
  <c r="G216" i="9"/>
  <c r="B217" i="9"/>
  <c r="E132" i="8"/>
  <c r="H132" i="8" s="1"/>
  <c r="C133" i="8" s="1"/>
  <c r="E141" i="9"/>
  <c r="H141" i="9" s="1"/>
  <c r="C142" i="9" s="1"/>
  <c r="E91" i="14" l="1"/>
  <c r="H91" i="14" s="1"/>
  <c r="D133" i="8"/>
  <c r="G133" i="8" s="1"/>
  <c r="E133" i="8"/>
  <c r="H133" i="8" s="1"/>
  <c r="C134" i="8" s="1"/>
  <c r="G217" i="9"/>
  <c r="B218" i="9"/>
  <c r="B218" i="14"/>
  <c r="F217" i="14"/>
  <c r="I88" i="13"/>
  <c r="L88" i="13" s="1"/>
  <c r="Z88" i="13"/>
  <c r="AC88" i="13" s="1"/>
  <c r="D142" i="9"/>
  <c r="F142" i="9" s="1"/>
  <c r="E142" i="9"/>
  <c r="H142" i="9" s="1"/>
  <c r="C143" i="9" s="1"/>
  <c r="B218" i="8"/>
  <c r="F217" i="8"/>
  <c r="F218" i="14" l="1"/>
  <c r="B219" i="14"/>
  <c r="D143" i="9"/>
  <c r="F143" i="9" s="1"/>
  <c r="D134" i="8"/>
  <c r="G134" i="8" s="1"/>
  <c r="B219" i="8"/>
  <c r="F218" i="8"/>
  <c r="B219" i="9"/>
  <c r="G218" i="9"/>
  <c r="J88" i="13"/>
  <c r="C92" i="14"/>
  <c r="AA88" i="13"/>
  <c r="B220" i="8" l="1"/>
  <c r="F219" i="8"/>
  <c r="F219" i="14"/>
  <c r="B220" i="14"/>
  <c r="B220" i="9"/>
  <c r="G219" i="9"/>
  <c r="E134" i="8"/>
  <c r="H134" i="8" s="1"/>
  <c r="C135" i="8" s="1"/>
  <c r="D92" i="14"/>
  <c r="G92" i="14" s="1"/>
  <c r="E143" i="9"/>
  <c r="H143" i="9" s="1"/>
  <c r="C144" i="9" s="1"/>
  <c r="B221" i="9" l="1"/>
  <c r="G220" i="9"/>
  <c r="D135" i="8"/>
  <c r="G135" i="8" s="1"/>
  <c r="E92" i="14"/>
  <c r="H92" i="14" s="1"/>
  <c r="B221" i="8"/>
  <c r="F220" i="8"/>
  <c r="I89" i="13"/>
  <c r="L89" i="13" s="1"/>
  <c r="Z89" i="13"/>
  <c r="AC89" i="13" s="1"/>
  <c r="F220" i="14"/>
  <c r="B221" i="14"/>
  <c r="D144" i="9"/>
  <c r="F144" i="9" s="1"/>
  <c r="E135" i="8" l="1"/>
  <c r="H135" i="8" s="1"/>
  <c r="C136" i="8" s="1"/>
  <c r="B222" i="14"/>
  <c r="F221" i="14"/>
  <c r="F221" i="8"/>
  <c r="B222" i="8"/>
  <c r="E144" i="9"/>
  <c r="H144" i="9" s="1"/>
  <c r="C145" i="9" s="1"/>
  <c r="B222" i="9"/>
  <c r="G221" i="9"/>
  <c r="J89" i="13"/>
  <c r="C93" i="14"/>
  <c r="AA89" i="13"/>
  <c r="F222" i="8" l="1"/>
  <c r="B223" i="8"/>
  <c r="B223" i="9"/>
  <c r="G222" i="9"/>
  <c r="B223" i="14"/>
  <c r="F222" i="14"/>
  <c r="D93" i="14"/>
  <c r="G93" i="14" s="1"/>
  <c r="D145" i="9"/>
  <c r="F145" i="9" s="1"/>
  <c r="D136" i="8"/>
  <c r="G136" i="8" s="1"/>
  <c r="I90" i="13" l="1"/>
  <c r="L90" i="13" s="1"/>
  <c r="Z90" i="13"/>
  <c r="AC90" i="13" s="1"/>
  <c r="F223" i="8"/>
  <c r="B224" i="8"/>
  <c r="E93" i="14"/>
  <c r="H93" i="14" s="1"/>
  <c r="E136" i="8"/>
  <c r="H136" i="8" s="1"/>
  <c r="C137" i="8" s="1"/>
  <c r="B224" i="14"/>
  <c r="F223" i="14"/>
  <c r="B224" i="9"/>
  <c r="G223" i="9"/>
  <c r="E145" i="9"/>
  <c r="H145" i="9" s="1"/>
  <c r="C146" i="9" s="1"/>
  <c r="D137" i="8" l="1"/>
  <c r="G137" i="8" s="1"/>
  <c r="B225" i="14"/>
  <c r="F224" i="14"/>
  <c r="D146" i="9"/>
  <c r="F146" i="9" s="1"/>
  <c r="J90" i="13"/>
  <c r="C94" i="14"/>
  <c r="AA90" i="13"/>
  <c r="G224" i="9"/>
  <c r="B225" i="9"/>
  <c r="B225" i="8"/>
  <c r="F224" i="8"/>
  <c r="B226" i="14" l="1"/>
  <c r="F225" i="14"/>
  <c r="B226" i="8"/>
  <c r="F225" i="8"/>
  <c r="D94" i="14"/>
  <c r="G94" i="14" s="1"/>
  <c r="G225" i="9"/>
  <c r="B226" i="9"/>
  <c r="E146" i="9"/>
  <c r="H146" i="9" s="1"/>
  <c r="C147" i="9" s="1"/>
  <c r="E137" i="8"/>
  <c r="H137" i="8" s="1"/>
  <c r="C138" i="8" s="1"/>
  <c r="E94" i="14" l="1"/>
  <c r="H94" i="14" s="1"/>
  <c r="C95" i="14" s="1"/>
  <c r="D147" i="9"/>
  <c r="F147" i="9" s="1"/>
  <c r="B227" i="9"/>
  <c r="G226" i="9"/>
  <c r="F226" i="14"/>
  <c r="B227" i="14"/>
  <c r="F226" i="8"/>
  <c r="B227" i="8"/>
  <c r="D138" i="8"/>
  <c r="G138" i="8" s="1"/>
  <c r="E138" i="8"/>
  <c r="H138" i="8" s="1"/>
  <c r="C139" i="8" s="1"/>
  <c r="I91" i="13"/>
  <c r="L91" i="13" s="1"/>
  <c r="I44" i="12" s="1"/>
  <c r="Z91" i="13"/>
  <c r="AC91" i="13" s="1"/>
  <c r="I62" i="12" s="1"/>
  <c r="J91" i="13" l="1"/>
  <c r="AA91" i="13"/>
  <c r="I64" i="12"/>
  <c r="I65" i="12"/>
  <c r="F227" i="14"/>
  <c r="B228" i="14"/>
  <c r="B228" i="8"/>
  <c r="F227" i="8"/>
  <c r="I46" i="12"/>
  <c r="I47" i="12"/>
  <c r="B228" i="9"/>
  <c r="G227" i="9"/>
  <c r="D139" i="8"/>
  <c r="G139" i="8" s="1"/>
  <c r="D95" i="14"/>
  <c r="G95" i="14" s="1"/>
  <c r="E147" i="9"/>
  <c r="H147" i="9" s="1"/>
  <c r="C148" i="9" s="1"/>
  <c r="F228" i="14" l="1"/>
  <c r="B229" i="14"/>
  <c r="B229" i="9"/>
  <c r="G228" i="9"/>
  <c r="D148" i="9"/>
  <c r="F148" i="9" s="1"/>
  <c r="E148" i="9"/>
  <c r="H148" i="9" s="1"/>
  <c r="C149" i="9" s="1"/>
  <c r="E95" i="14"/>
  <c r="H95" i="14" s="1"/>
  <c r="E139" i="8"/>
  <c r="H139" i="8" s="1"/>
  <c r="C140" i="8" s="1"/>
  <c r="I92" i="13"/>
  <c r="L92" i="13" s="1"/>
  <c r="Z92" i="13"/>
  <c r="AC92" i="13" s="1"/>
  <c r="B229" i="8"/>
  <c r="F228" i="8"/>
  <c r="D149" i="9" l="1"/>
  <c r="F149" i="9" s="1"/>
  <c r="D140" i="8"/>
  <c r="G140" i="8" s="1"/>
  <c r="F229" i="8"/>
  <c r="B230" i="8"/>
  <c r="B230" i="14"/>
  <c r="F229" i="14"/>
  <c r="B230" i="9"/>
  <c r="G229" i="9"/>
  <c r="J92" i="13"/>
  <c r="AA92" i="13"/>
  <c r="C96" i="14"/>
  <c r="D96" i="14" l="1"/>
  <c r="G96" i="14" s="1"/>
  <c r="B231" i="9"/>
  <c r="G230" i="9"/>
  <c r="B231" i="14"/>
  <c r="F230" i="14"/>
  <c r="E140" i="8"/>
  <c r="H140" i="8" s="1"/>
  <c r="C141" i="8" s="1"/>
  <c r="E149" i="9"/>
  <c r="H149" i="9" s="1"/>
  <c r="C150" i="9" s="1"/>
  <c r="B231" i="8"/>
  <c r="F230" i="8"/>
  <c r="E96" i="14" l="1"/>
  <c r="H96" i="14" s="1"/>
  <c r="C97" i="14" s="1"/>
  <c r="B232" i="9"/>
  <c r="G231" i="9"/>
  <c r="E141" i="8"/>
  <c r="H141" i="8" s="1"/>
  <c r="C142" i="8" s="1"/>
  <c r="D141" i="8"/>
  <c r="G141" i="8" s="1"/>
  <c r="B232" i="8"/>
  <c r="F231" i="8"/>
  <c r="D150" i="9"/>
  <c r="F150" i="9" s="1"/>
  <c r="AA93" i="13"/>
  <c r="B232" i="14"/>
  <c r="F231" i="14"/>
  <c r="I93" i="13"/>
  <c r="L93" i="13" s="1"/>
  <c r="Z93" i="13"/>
  <c r="AC93" i="13" s="1"/>
  <c r="J93" i="13" l="1"/>
  <c r="B233" i="8"/>
  <c r="F232" i="8"/>
  <c r="G232" i="9"/>
  <c r="B233" i="9"/>
  <c r="B233" i="14"/>
  <c r="F232" i="14"/>
  <c r="D97" i="14"/>
  <c r="G97" i="14" s="1"/>
  <c r="E142" i="8"/>
  <c r="H142" i="8" s="1"/>
  <c r="C143" i="8" s="1"/>
  <c r="D142" i="8"/>
  <c r="G142" i="8" s="1"/>
  <c r="E150" i="9"/>
  <c r="H150" i="9" s="1"/>
  <c r="C151" i="9" s="1"/>
  <c r="I94" i="13" l="1"/>
  <c r="L94" i="13" s="1"/>
  <c r="Z94" i="13"/>
  <c r="AC94" i="13" s="1"/>
  <c r="G233" i="9"/>
  <c r="B234" i="9"/>
  <c r="D151" i="9"/>
  <c r="F151" i="9" s="1"/>
  <c r="E151" i="9"/>
  <c r="H151" i="9" s="1"/>
  <c r="C152" i="9" s="1"/>
  <c r="E97" i="14"/>
  <c r="H97" i="14" s="1"/>
  <c r="B234" i="8"/>
  <c r="F233" i="8"/>
  <c r="D143" i="8"/>
  <c r="G143" i="8" s="1"/>
  <c r="B234" i="14"/>
  <c r="F233" i="14"/>
  <c r="B235" i="9" l="1"/>
  <c r="G234" i="9"/>
  <c r="F234" i="14"/>
  <c r="B235" i="14"/>
  <c r="B235" i="8"/>
  <c r="F234" i="8"/>
  <c r="E143" i="8"/>
  <c r="H143" i="8" s="1"/>
  <c r="C144" i="8" s="1"/>
  <c r="J94" i="13"/>
  <c r="C98" i="14"/>
  <c r="AA94" i="13"/>
  <c r="D152" i="9"/>
  <c r="F152" i="9" s="1"/>
  <c r="F235" i="14" l="1"/>
  <c r="B236" i="14"/>
  <c r="E152" i="9"/>
  <c r="H152" i="9" s="1"/>
  <c r="C153" i="9" s="1"/>
  <c r="D98" i="14"/>
  <c r="G98" i="14" s="1"/>
  <c r="D144" i="8"/>
  <c r="G144" i="8" s="1"/>
  <c r="B236" i="8"/>
  <c r="F235" i="8"/>
  <c r="B236" i="9"/>
  <c r="G235" i="9"/>
  <c r="E98" i="14" l="1"/>
  <c r="H98" i="14" s="1"/>
  <c r="J95" i="13" s="1"/>
  <c r="F236" i="14"/>
  <c r="B237" i="14"/>
  <c r="B237" i="8"/>
  <c r="F236" i="8"/>
  <c r="E144" i="8"/>
  <c r="H144" i="8" s="1"/>
  <c r="C145" i="8" s="1"/>
  <c r="AA95" i="13"/>
  <c r="I95" i="13"/>
  <c r="L95" i="13" s="1"/>
  <c r="Z95" i="13"/>
  <c r="AC95" i="13" s="1"/>
  <c r="D153" i="9"/>
  <c r="F153" i="9" s="1"/>
  <c r="E153" i="9"/>
  <c r="H153" i="9" s="1"/>
  <c r="C154" i="9" s="1"/>
  <c r="B237" i="9"/>
  <c r="G236" i="9"/>
  <c r="C99" i="14" l="1"/>
  <c r="D99" i="14" s="1"/>
  <c r="G99" i="14" s="1"/>
  <c r="D145" i="8"/>
  <c r="G145" i="8" s="1"/>
  <c r="B238" i="14"/>
  <c r="F237" i="14"/>
  <c r="F237" i="8"/>
  <c r="B238" i="8"/>
  <c r="D154" i="9"/>
  <c r="F154" i="9" s="1"/>
  <c r="B238" i="9"/>
  <c r="G237" i="9"/>
  <c r="B239" i="9" l="1"/>
  <c r="G238" i="9"/>
  <c r="E154" i="9"/>
  <c r="H154" i="9" s="1"/>
  <c r="C155" i="9" s="1"/>
  <c r="B239" i="14"/>
  <c r="F238" i="14"/>
  <c r="E99" i="14"/>
  <c r="H99" i="14" s="1"/>
  <c r="F238" i="8"/>
  <c r="B239" i="8"/>
  <c r="I96" i="13"/>
  <c r="L96" i="13" s="1"/>
  <c r="Z96" i="13"/>
  <c r="AC96" i="13" s="1"/>
  <c r="E145" i="8"/>
  <c r="H145" i="8" s="1"/>
  <c r="C146" i="8" s="1"/>
  <c r="J96" i="13" l="1"/>
  <c r="C100" i="14"/>
  <c r="AA96" i="13"/>
  <c r="D155" i="9"/>
  <c r="F155" i="9" s="1"/>
  <c r="B240" i="8"/>
  <c r="F239" i="8"/>
  <c r="B240" i="14"/>
  <c r="F239" i="14"/>
  <c r="B240" i="9"/>
  <c r="G239" i="9"/>
  <c r="D146" i="8"/>
  <c r="G146" i="8" s="1"/>
  <c r="G240" i="9" l="1"/>
  <c r="B241" i="9"/>
  <c r="B241" i="14"/>
  <c r="F240" i="14"/>
  <c r="E155" i="9"/>
  <c r="H155" i="9" s="1"/>
  <c r="C156" i="9" s="1"/>
  <c r="D100" i="14"/>
  <c r="G100" i="14" s="1"/>
  <c r="B241" i="8"/>
  <c r="F240" i="8"/>
  <c r="E146" i="8"/>
  <c r="H146" i="8" s="1"/>
  <c r="C147" i="8" s="1"/>
  <c r="E100" i="14" l="1"/>
  <c r="H100" i="14" s="1"/>
  <c r="J97" i="13" s="1"/>
  <c r="AA97" i="13"/>
  <c r="D156" i="9"/>
  <c r="F156" i="9" s="1"/>
  <c r="F241" i="8"/>
  <c r="B242" i="8"/>
  <c r="G241" i="9"/>
  <c r="B242" i="9"/>
  <c r="D147" i="8"/>
  <c r="G147" i="8" s="1"/>
  <c r="I97" i="13"/>
  <c r="L97" i="13" s="1"/>
  <c r="Z97" i="13"/>
  <c r="AC97" i="13" s="1"/>
  <c r="F241" i="14"/>
  <c r="B242" i="14"/>
  <c r="C101" i="14" l="1"/>
  <c r="D101" i="14" s="1"/>
  <c r="G101" i="14" s="1"/>
  <c r="E156" i="9"/>
  <c r="H156" i="9" s="1"/>
  <c r="C157" i="9" s="1"/>
  <c r="B243" i="14"/>
  <c r="F242" i="14"/>
  <c r="B243" i="9"/>
  <c r="G242" i="9"/>
  <c r="B243" i="8"/>
  <c r="F242" i="8"/>
  <c r="E147" i="8"/>
  <c r="H147" i="8" s="1"/>
  <c r="C148" i="8" s="1"/>
  <c r="E101" i="14" l="1"/>
  <c r="H101" i="14" s="1"/>
  <c r="C102" i="14" s="1"/>
  <c r="B244" i="14"/>
  <c r="F243" i="14"/>
  <c r="B244" i="8"/>
  <c r="F243" i="8"/>
  <c r="B244" i="9"/>
  <c r="G243" i="9"/>
  <c r="D148" i="8"/>
  <c r="G148" i="8" s="1"/>
  <c r="I98" i="13"/>
  <c r="L98" i="13" s="1"/>
  <c r="Z98" i="13"/>
  <c r="AC98" i="13" s="1"/>
  <c r="D157" i="9"/>
  <c r="F157" i="9" s="1"/>
  <c r="AA98" i="13" l="1"/>
  <c r="J98" i="13"/>
  <c r="F244" i="8"/>
  <c r="B245" i="8"/>
  <c r="B245" i="14"/>
  <c r="F244" i="14"/>
  <c r="E157" i="9"/>
  <c r="H157" i="9" s="1"/>
  <c r="C158" i="9" s="1"/>
  <c r="B245" i="9"/>
  <c r="G244" i="9"/>
  <c r="D102" i="14"/>
  <c r="G102" i="14" s="1"/>
  <c r="E148" i="8"/>
  <c r="H148" i="8" s="1"/>
  <c r="C149" i="8" s="1"/>
  <c r="D158" i="9" l="1"/>
  <c r="F158" i="9" s="1"/>
  <c r="I99" i="13"/>
  <c r="L99" i="13" s="1"/>
  <c r="Z99" i="13"/>
  <c r="AC99" i="13" s="1"/>
  <c r="E102" i="14"/>
  <c r="H102" i="14" s="1"/>
  <c r="F245" i="14"/>
  <c r="B246" i="14"/>
  <c r="B246" i="9"/>
  <c r="G245" i="9"/>
  <c r="F245" i="8"/>
  <c r="B246" i="8"/>
  <c r="D149" i="8"/>
  <c r="G149" i="8" s="1"/>
  <c r="E149" i="8"/>
  <c r="H149" i="8" s="1"/>
  <c r="C150" i="8" s="1"/>
  <c r="B247" i="8" l="1"/>
  <c r="F246" i="8"/>
  <c r="J99" i="13"/>
  <c r="C103" i="14"/>
  <c r="AA99" i="13"/>
  <c r="B247" i="9"/>
  <c r="G246" i="9"/>
  <c r="B247" i="14"/>
  <c r="F246" i="14"/>
  <c r="D150" i="8"/>
  <c r="G150" i="8" s="1"/>
  <c r="E158" i="9"/>
  <c r="H158" i="9" s="1"/>
  <c r="C159" i="9" s="1"/>
  <c r="B248" i="8" l="1"/>
  <c r="F247" i="8"/>
  <c r="B248" i="9"/>
  <c r="G247" i="9"/>
  <c r="D159" i="9"/>
  <c r="F159" i="9" s="1"/>
  <c r="F247" i="14"/>
  <c r="B248" i="14"/>
  <c r="E150" i="8"/>
  <c r="H150" i="8" s="1"/>
  <c r="C151" i="8" s="1"/>
  <c r="D103" i="14"/>
  <c r="G103" i="14" s="1"/>
  <c r="E103" i="14" l="1"/>
  <c r="H103" i="14" s="1"/>
  <c r="J100" i="13" s="1"/>
  <c r="F248" i="14"/>
  <c r="B249" i="14"/>
  <c r="G248" i="9"/>
  <c r="B249" i="9"/>
  <c r="B249" i="8"/>
  <c r="F248" i="8"/>
  <c r="E151" i="8"/>
  <c r="H151" i="8" s="1"/>
  <c r="C152" i="8" s="1"/>
  <c r="D151" i="8"/>
  <c r="G151" i="8" s="1"/>
  <c r="AA100" i="13"/>
  <c r="E159" i="9"/>
  <c r="H159" i="9" s="1"/>
  <c r="C160" i="9" s="1"/>
  <c r="I100" i="13"/>
  <c r="L100" i="13" s="1"/>
  <c r="Z100" i="13"/>
  <c r="AC100" i="13" s="1"/>
  <c r="C104" i="14" l="1"/>
  <c r="D104" i="14" s="1"/>
  <c r="G104" i="14" s="1"/>
  <c r="B250" i="8"/>
  <c r="F249" i="8"/>
  <c r="D152" i="8"/>
  <c r="G152" i="8" s="1"/>
  <c r="G249" i="9"/>
  <c r="B250" i="9"/>
  <c r="D160" i="9"/>
  <c r="F160" i="9" s="1"/>
  <c r="E160" i="9"/>
  <c r="H160" i="9" s="1"/>
  <c r="C161" i="9" s="1"/>
  <c r="B250" i="14"/>
  <c r="F249" i="14"/>
  <c r="E104" i="14" l="1"/>
  <c r="H104" i="14" s="1"/>
  <c r="C105" i="14" s="1"/>
  <c r="B251" i="14"/>
  <c r="F250" i="14"/>
  <c r="I101" i="13"/>
  <c r="L101" i="13" s="1"/>
  <c r="Z101" i="13"/>
  <c r="AC101" i="13" s="1"/>
  <c r="B251" i="9"/>
  <c r="G250" i="9"/>
  <c r="B251" i="8"/>
  <c r="F250" i="8"/>
  <c r="D161" i="9"/>
  <c r="F161" i="9" s="1"/>
  <c r="E152" i="8"/>
  <c r="H152" i="8" s="1"/>
  <c r="C153" i="8" s="1"/>
  <c r="AA101" i="13" l="1"/>
  <c r="J101" i="13"/>
  <c r="B252" i="8"/>
  <c r="F251" i="8"/>
  <c r="E153" i="8"/>
  <c r="H153" i="8" s="1"/>
  <c r="C154" i="8" s="1"/>
  <c r="D153" i="8"/>
  <c r="G153" i="8" s="1"/>
  <c r="E161" i="9"/>
  <c r="H161" i="9" s="1"/>
  <c r="C162" i="9" s="1"/>
  <c r="D105" i="14"/>
  <c r="G105" i="14" s="1"/>
  <c r="B252" i="9"/>
  <c r="G251" i="9"/>
  <c r="B252" i="14"/>
  <c r="F251" i="14"/>
  <c r="B253" i="9" l="1"/>
  <c r="G252" i="9"/>
  <c r="F252" i="14"/>
  <c r="B253" i="14"/>
  <c r="D154" i="8"/>
  <c r="G154" i="8" s="1"/>
  <c r="E105" i="14"/>
  <c r="H105" i="14" s="1"/>
  <c r="F252" i="8"/>
  <c r="B253" i="8"/>
  <c r="I102" i="13"/>
  <c r="L102" i="13" s="1"/>
  <c r="Z102" i="13"/>
  <c r="AC102" i="13" s="1"/>
  <c r="E162" i="9"/>
  <c r="H162" i="9" s="1"/>
  <c r="C163" i="9" s="1"/>
  <c r="D162" i="9"/>
  <c r="F162" i="9" s="1"/>
  <c r="F253" i="14" l="1"/>
  <c r="B254" i="14"/>
  <c r="E154" i="8"/>
  <c r="H154" i="8" s="1"/>
  <c r="C155" i="8" s="1"/>
  <c r="D163" i="9"/>
  <c r="F163" i="9" s="1"/>
  <c r="B254" i="9"/>
  <c r="G253" i="9"/>
  <c r="F253" i="8"/>
  <c r="B254" i="8"/>
  <c r="J102" i="13"/>
  <c r="C106" i="14"/>
  <c r="AA102" i="13"/>
  <c r="B255" i="9" l="1"/>
  <c r="G254" i="9"/>
  <c r="F254" i="14"/>
  <c r="B255" i="14"/>
  <c r="B255" i="8"/>
  <c r="F254" i="8"/>
  <c r="D106" i="14"/>
  <c r="G106" i="14" s="1"/>
  <c r="E163" i="9"/>
  <c r="H163" i="9" s="1"/>
  <c r="C164" i="9" s="1"/>
  <c r="D155" i="8"/>
  <c r="G155" i="8" s="1"/>
  <c r="E155" i="8"/>
  <c r="H155" i="8" s="1"/>
  <c r="C156" i="8" s="1"/>
  <c r="I103" i="13" l="1"/>
  <c r="L103" i="13" s="1"/>
  <c r="J44" i="12" s="1"/>
  <c r="Z103" i="13"/>
  <c r="AC103" i="13" s="1"/>
  <c r="J62" i="12" s="1"/>
  <c r="E106" i="14"/>
  <c r="H106" i="14" s="1"/>
  <c r="D164" i="9"/>
  <c r="F164" i="9" s="1"/>
  <c r="E164" i="9"/>
  <c r="H164" i="9" s="1"/>
  <c r="C165" i="9" s="1"/>
  <c r="B256" i="9"/>
  <c r="G255" i="9"/>
  <c r="F255" i="14"/>
  <c r="B256" i="14"/>
  <c r="D156" i="8"/>
  <c r="G156" i="8" s="1"/>
  <c r="F255" i="8"/>
  <c r="B256" i="8"/>
  <c r="D165" i="9" l="1"/>
  <c r="F165" i="9" s="1"/>
  <c r="F256" i="14"/>
  <c r="B257" i="14"/>
  <c r="E156" i="8"/>
  <c r="H156" i="8" s="1"/>
  <c r="C157" i="8" s="1"/>
  <c r="B257" i="8"/>
  <c r="F256" i="8"/>
  <c r="J103" i="13"/>
  <c r="C107" i="14"/>
  <c r="AA103" i="13"/>
  <c r="J64" i="12"/>
  <c r="J65" i="12"/>
  <c r="G256" i="9"/>
  <c r="B257" i="9"/>
  <c r="J46" i="12"/>
  <c r="J47" i="12"/>
  <c r="G257" i="9" l="1"/>
  <c r="B258" i="9"/>
  <c r="B258" i="8"/>
  <c r="F257" i="8"/>
  <c r="B258" i="14"/>
  <c r="F257" i="14"/>
  <c r="D157" i="8"/>
  <c r="G157" i="8" s="1"/>
  <c r="D107" i="14"/>
  <c r="G107" i="14" s="1"/>
  <c r="E165" i="9"/>
  <c r="H165" i="9" s="1"/>
  <c r="C166" i="9" s="1"/>
  <c r="B259" i="9" l="1"/>
  <c r="G258" i="9"/>
  <c r="E157" i="8"/>
  <c r="H157" i="8" s="1"/>
  <c r="C158" i="8" s="1"/>
  <c r="F258" i="8"/>
  <c r="B259" i="8"/>
  <c r="I104" i="13"/>
  <c r="L104" i="13" s="1"/>
  <c r="Z104" i="13"/>
  <c r="AC104" i="13" s="1"/>
  <c r="D166" i="9"/>
  <c r="F166" i="9" s="1"/>
  <c r="E166" i="9"/>
  <c r="H166" i="9" s="1"/>
  <c r="C167" i="9" s="1"/>
  <c r="E107" i="14"/>
  <c r="H107" i="14" s="1"/>
  <c r="B259" i="14"/>
  <c r="F258" i="14"/>
  <c r="D158" i="8" l="1"/>
  <c r="G158" i="8" s="1"/>
  <c r="J104" i="13"/>
  <c r="C108" i="14"/>
  <c r="AA104" i="13"/>
  <c r="B260" i="14"/>
  <c r="F259" i="14"/>
  <c r="D167" i="9"/>
  <c r="F167" i="9" s="1"/>
  <c r="E167" i="9"/>
  <c r="H167" i="9" s="1"/>
  <c r="C168" i="9" s="1"/>
  <c r="B260" i="8"/>
  <c r="F259" i="8"/>
  <c r="B260" i="9"/>
  <c r="G259" i="9"/>
  <c r="D168" i="9" l="1"/>
  <c r="F168" i="9" s="1"/>
  <c r="B261" i="14"/>
  <c r="F260" i="14"/>
  <c r="B261" i="8"/>
  <c r="F260" i="8"/>
  <c r="D108" i="14"/>
  <c r="G108" i="14" s="1"/>
  <c r="B261" i="9"/>
  <c r="G260" i="9"/>
  <c r="E158" i="8"/>
  <c r="H158" i="8" s="1"/>
  <c r="C159" i="8" s="1"/>
  <c r="E108" i="14" l="1"/>
  <c r="H108" i="14" s="1"/>
  <c r="C109" i="14" s="1"/>
  <c r="F261" i="14"/>
  <c r="B262" i="14"/>
  <c r="B262" i="9"/>
  <c r="G261" i="9"/>
  <c r="D159" i="8"/>
  <c r="G159" i="8" s="1"/>
  <c r="F261" i="8"/>
  <c r="B262" i="8"/>
  <c r="I105" i="13"/>
  <c r="L105" i="13" s="1"/>
  <c r="Z105" i="13"/>
  <c r="AC105" i="13" s="1"/>
  <c r="E168" i="9"/>
  <c r="H168" i="9" s="1"/>
  <c r="C169" i="9" s="1"/>
  <c r="J105" i="13" l="1"/>
  <c r="AA105" i="13"/>
  <c r="B263" i="14"/>
  <c r="F262" i="14"/>
  <c r="E159" i="8"/>
  <c r="H159" i="8" s="1"/>
  <c r="C160" i="8" s="1"/>
  <c r="D169" i="9"/>
  <c r="F169" i="9" s="1"/>
  <c r="B263" i="9"/>
  <c r="G262" i="9"/>
  <c r="B263" i="8"/>
  <c r="F262" i="8"/>
  <c r="D109" i="14"/>
  <c r="G109" i="14" s="1"/>
  <c r="E109" i="14" l="1"/>
  <c r="H109" i="14" s="1"/>
  <c r="J106" i="13" s="1"/>
  <c r="D160" i="8"/>
  <c r="G160" i="8" s="1"/>
  <c r="F263" i="14"/>
  <c r="B264" i="14"/>
  <c r="B264" i="8"/>
  <c r="F263" i="8"/>
  <c r="AA106" i="13"/>
  <c r="I106" i="13"/>
  <c r="L106" i="13" s="1"/>
  <c r="Z106" i="13"/>
  <c r="AC106" i="13" s="1"/>
  <c r="B264" i="9"/>
  <c r="G263" i="9"/>
  <c r="E169" i="9"/>
  <c r="H169" i="9" s="1"/>
  <c r="C170" i="9" s="1"/>
  <c r="C110" i="14" l="1"/>
  <c r="F264" i="14"/>
  <c r="B265" i="14"/>
  <c r="D170" i="9"/>
  <c r="F170" i="9" s="1"/>
  <c r="B265" i="8"/>
  <c r="F264" i="8"/>
  <c r="G264" i="9"/>
  <c r="B265" i="9"/>
  <c r="D110" i="14"/>
  <c r="G110" i="14" s="1"/>
  <c r="E160" i="8"/>
  <c r="H160" i="8" s="1"/>
  <c r="C161" i="8" s="1"/>
  <c r="G265" i="9" l="1"/>
  <c r="B266" i="9"/>
  <c r="B266" i="8"/>
  <c r="F265" i="8"/>
  <c r="F265" i="14"/>
  <c r="B266" i="14"/>
  <c r="D161" i="8"/>
  <c r="G161" i="8" s="1"/>
  <c r="E161" i="8"/>
  <c r="H161" i="8" s="1"/>
  <c r="C162" i="8" s="1"/>
  <c r="I107" i="13"/>
  <c r="L107" i="13" s="1"/>
  <c r="Z107" i="13"/>
  <c r="AC107" i="13" s="1"/>
  <c r="E110" i="14"/>
  <c r="H110" i="14" s="1"/>
  <c r="E170" i="9"/>
  <c r="H170" i="9" s="1"/>
  <c r="C171" i="9" s="1"/>
  <c r="B267" i="9" l="1"/>
  <c r="G266" i="9"/>
  <c r="D162" i="8"/>
  <c r="G162" i="8" s="1"/>
  <c r="E171" i="9"/>
  <c r="H171" i="9" s="1"/>
  <c r="C172" i="9" s="1"/>
  <c r="D171" i="9"/>
  <c r="F171" i="9" s="1"/>
  <c r="B267" i="8"/>
  <c r="F266" i="8"/>
  <c r="B267" i="14"/>
  <c r="F266" i="14"/>
  <c r="J107" i="13"/>
  <c r="C111" i="14"/>
  <c r="AA107" i="13"/>
  <c r="E162" i="8" l="1"/>
  <c r="H162" i="8" s="1"/>
  <c r="C163" i="8" s="1"/>
  <c r="B268" i="8"/>
  <c r="F267" i="8"/>
  <c r="D111" i="14"/>
  <c r="G111" i="14" s="1"/>
  <c r="B268" i="14"/>
  <c r="F267" i="14"/>
  <c r="D172" i="9"/>
  <c r="F172" i="9" s="1"/>
  <c r="B268" i="9"/>
  <c r="G267" i="9"/>
  <c r="E111" i="14" l="1"/>
  <c r="H111" i="14" s="1"/>
  <c r="J108" i="13" s="1"/>
  <c r="B269" i="8"/>
  <c r="F268" i="8"/>
  <c r="AA108" i="13"/>
  <c r="B269" i="9"/>
  <c r="G268" i="9"/>
  <c r="F268" i="14"/>
  <c r="B269" i="14"/>
  <c r="E172" i="9"/>
  <c r="H172" i="9" s="1"/>
  <c r="C173" i="9" s="1"/>
  <c r="I108" i="13"/>
  <c r="L108" i="13" s="1"/>
  <c r="Z108" i="13"/>
  <c r="AC108" i="13" s="1"/>
  <c r="D163" i="8"/>
  <c r="G163" i="8" s="1"/>
  <c r="C112" i="14" l="1"/>
  <c r="D112" i="14" s="1"/>
  <c r="G112" i="14" s="1"/>
  <c r="F269" i="14"/>
  <c r="B270" i="14"/>
  <c r="B270" i="9"/>
  <c r="G269" i="9"/>
  <c r="D173" i="9"/>
  <c r="F173" i="9" s="1"/>
  <c r="E163" i="8"/>
  <c r="H163" i="8" s="1"/>
  <c r="C164" i="8" s="1"/>
  <c r="F269" i="8"/>
  <c r="B270" i="8"/>
  <c r="E112" i="14" l="1"/>
  <c r="H112" i="14" s="1"/>
  <c r="J109" i="13" s="1"/>
  <c r="AA109" i="13"/>
  <c r="B271" i="14"/>
  <c r="F270" i="14"/>
  <c r="F270" i="8"/>
  <c r="B271" i="8"/>
  <c r="E173" i="9"/>
  <c r="H173" i="9" s="1"/>
  <c r="C174" i="9" s="1"/>
  <c r="I109" i="13"/>
  <c r="L109" i="13" s="1"/>
  <c r="Z109" i="13"/>
  <c r="AC109" i="13" s="1"/>
  <c r="B271" i="9"/>
  <c r="G270" i="9"/>
  <c r="D164" i="8"/>
  <c r="G164" i="8" s="1"/>
  <c r="C113" i="14" l="1"/>
  <c r="D113" i="14" s="1"/>
  <c r="G113" i="14" s="1"/>
  <c r="F271" i="14"/>
  <c r="B272" i="14"/>
  <c r="E164" i="8"/>
  <c r="H164" i="8" s="1"/>
  <c r="C165" i="8" s="1"/>
  <c r="D174" i="9"/>
  <c r="F174" i="9" s="1"/>
  <c r="F271" i="8"/>
  <c r="B272" i="8"/>
  <c r="B272" i="9"/>
  <c r="G271" i="9"/>
  <c r="E165" i="8" l="1"/>
  <c r="H165" i="8" s="1"/>
  <c r="C166" i="8" s="1"/>
  <c r="D165" i="8"/>
  <c r="G165" i="8" s="1"/>
  <c r="I110" i="13"/>
  <c r="L110" i="13" s="1"/>
  <c r="Z110" i="13"/>
  <c r="AC110" i="13" s="1"/>
  <c r="B273" i="9"/>
  <c r="G272" i="9"/>
  <c r="F272" i="14"/>
  <c r="B273" i="14"/>
  <c r="E113" i="14"/>
  <c r="H113" i="14" s="1"/>
  <c r="B273" i="8"/>
  <c r="F272" i="8"/>
  <c r="E174" i="9"/>
  <c r="H174" i="9" s="1"/>
  <c r="C175" i="9" s="1"/>
  <c r="G273" i="9" l="1"/>
  <c r="B274" i="9"/>
  <c r="D175" i="9"/>
  <c r="F175" i="9" s="1"/>
  <c r="J110" i="13"/>
  <c r="C114" i="14"/>
  <c r="AA110" i="13"/>
  <c r="B274" i="8"/>
  <c r="F273" i="8"/>
  <c r="D166" i="8"/>
  <c r="G166" i="8" s="1"/>
  <c r="E166" i="8"/>
  <c r="H166" i="8" s="1"/>
  <c r="C167" i="8" s="1"/>
  <c r="B274" i="14"/>
  <c r="F273" i="14"/>
  <c r="B275" i="8" l="1"/>
  <c r="F274" i="8"/>
  <c r="E167" i="8"/>
  <c r="H167" i="8" s="1"/>
  <c r="C168" i="8" s="1"/>
  <c r="D167" i="8"/>
  <c r="G167" i="8" s="1"/>
  <c r="B275" i="14"/>
  <c r="F274" i="14"/>
  <c r="G274" i="9"/>
  <c r="B275" i="9"/>
  <c r="D114" i="14"/>
  <c r="G114" i="14" s="1"/>
  <c r="E175" i="9"/>
  <c r="H175" i="9" s="1"/>
  <c r="C176" i="9" s="1"/>
  <c r="B276" i="9" l="1"/>
  <c r="G275" i="9"/>
  <c r="I111" i="13"/>
  <c r="L111" i="13" s="1"/>
  <c r="Z111" i="13"/>
  <c r="AC111" i="13" s="1"/>
  <c r="B276" i="8"/>
  <c r="F275" i="8"/>
  <c r="E168" i="8"/>
  <c r="H168" i="8" s="1"/>
  <c r="C169" i="8" s="1"/>
  <c r="D168" i="8"/>
  <c r="G168" i="8" s="1"/>
  <c r="D176" i="9"/>
  <c r="F176" i="9" s="1"/>
  <c r="E176" i="9"/>
  <c r="H176" i="9" s="1"/>
  <c r="C177" i="9" s="1"/>
  <c r="B276" i="14"/>
  <c r="F275" i="14"/>
  <c r="E114" i="14"/>
  <c r="H114" i="14" s="1"/>
  <c r="F276" i="14" l="1"/>
  <c r="B277" i="14"/>
  <c r="J111" i="13"/>
  <c r="C115" i="14"/>
  <c r="AA111" i="13"/>
  <c r="D177" i="9"/>
  <c r="F177" i="9" s="1"/>
  <c r="E177" i="9"/>
  <c r="H177" i="9" s="1"/>
  <c r="C178" i="9" s="1"/>
  <c r="F276" i="8"/>
  <c r="B277" i="8"/>
  <c r="D169" i="8"/>
  <c r="G169" i="8" s="1"/>
  <c r="B277" i="9"/>
  <c r="G276" i="9"/>
  <c r="F277" i="14" l="1"/>
  <c r="B278" i="14"/>
  <c r="E178" i="9"/>
  <c r="H178" i="9" s="1"/>
  <c r="C179" i="9" s="1"/>
  <c r="D178" i="9"/>
  <c r="F178" i="9" s="1"/>
  <c r="E169" i="8"/>
  <c r="H169" i="8" s="1"/>
  <c r="C170" i="8" s="1"/>
  <c r="F277" i="8"/>
  <c r="B278" i="8"/>
  <c r="G277" i="9"/>
  <c r="B278" i="9"/>
  <c r="D115" i="14"/>
  <c r="G115" i="14" s="1"/>
  <c r="F278" i="14" l="1"/>
  <c r="B279" i="14"/>
  <c r="D179" i="9"/>
  <c r="F179" i="9" s="1"/>
  <c r="F278" i="8"/>
  <c r="B279" i="8"/>
  <c r="B279" i="9"/>
  <c r="G278" i="9"/>
  <c r="I112" i="13"/>
  <c r="L112" i="13" s="1"/>
  <c r="Z112" i="13"/>
  <c r="AC112" i="13" s="1"/>
  <c r="D170" i="8"/>
  <c r="G170" i="8" s="1"/>
  <c r="E170" i="8"/>
  <c r="H170" i="8" s="1"/>
  <c r="C171" i="8" s="1"/>
  <c r="E115" i="14"/>
  <c r="H115" i="14" s="1"/>
  <c r="F279" i="14" l="1"/>
  <c r="B280" i="14"/>
  <c r="J112" i="13"/>
  <c r="C116" i="14"/>
  <c r="AA112" i="13"/>
  <c r="D171" i="8"/>
  <c r="G171" i="8" s="1"/>
  <c r="E171" i="8"/>
  <c r="H171" i="8" s="1"/>
  <c r="C172" i="8" s="1"/>
  <c r="F279" i="8"/>
  <c r="B280" i="8"/>
  <c r="B280" i="9"/>
  <c r="G279" i="9"/>
  <c r="E179" i="9"/>
  <c r="H179" i="9" s="1"/>
  <c r="C180" i="9" s="1"/>
  <c r="E180" i="9" l="1"/>
  <c r="H180" i="9" s="1"/>
  <c r="C181" i="9" s="1"/>
  <c r="D180" i="9"/>
  <c r="F180" i="9" s="1"/>
  <c r="F280" i="14"/>
  <c r="B281" i="14"/>
  <c r="G280" i="9"/>
  <c r="B281" i="9"/>
  <c r="D172" i="8"/>
  <c r="G172" i="8" s="1"/>
  <c r="B281" i="8"/>
  <c r="F280" i="8"/>
  <c r="D116" i="14"/>
  <c r="G116" i="14" s="1"/>
  <c r="E172" i="8" l="1"/>
  <c r="H172" i="8" s="1"/>
  <c r="C173" i="8" s="1"/>
  <c r="B282" i="14"/>
  <c r="F281" i="14"/>
  <c r="G281" i="9"/>
  <c r="B282" i="9"/>
  <c r="I113" i="13"/>
  <c r="L113" i="13" s="1"/>
  <c r="Z113" i="13"/>
  <c r="AC113" i="13" s="1"/>
  <c r="B282" i="8"/>
  <c r="F281" i="8"/>
  <c r="E116" i="14"/>
  <c r="H116" i="14" s="1"/>
  <c r="D181" i="9"/>
  <c r="F181" i="9" s="1"/>
  <c r="B283" i="14" l="1"/>
  <c r="F282" i="14"/>
  <c r="B283" i="9"/>
  <c r="G282" i="9"/>
  <c r="B283" i="8"/>
  <c r="F282" i="8"/>
  <c r="E181" i="9"/>
  <c r="H181" i="9" s="1"/>
  <c r="C182" i="9" s="1"/>
  <c r="J113" i="13"/>
  <c r="AA113" i="13"/>
  <c r="C117" i="14"/>
  <c r="D173" i="8"/>
  <c r="G173" i="8" s="1"/>
  <c r="B284" i="8" l="1"/>
  <c r="F283" i="8"/>
  <c r="D117" i="14"/>
  <c r="G117" i="14" s="1"/>
  <c r="B284" i="9"/>
  <c r="G283" i="9"/>
  <c r="D182" i="9"/>
  <c r="F182" i="9" s="1"/>
  <c r="E182" i="9"/>
  <c r="H182" i="9" s="1"/>
  <c r="C183" i="9" s="1"/>
  <c r="E173" i="8"/>
  <c r="H173" i="8" s="1"/>
  <c r="C174" i="8" s="1"/>
  <c r="B284" i="14"/>
  <c r="F283" i="14"/>
  <c r="E117" i="14" l="1"/>
  <c r="H117" i="14" s="1"/>
  <c r="J114" i="13" s="1"/>
  <c r="F284" i="14"/>
  <c r="B285" i="14"/>
  <c r="B285" i="8"/>
  <c r="F284" i="8"/>
  <c r="AA114" i="13"/>
  <c r="B285" i="9"/>
  <c r="G284" i="9"/>
  <c r="E183" i="9"/>
  <c r="H183" i="9" s="1"/>
  <c r="C184" i="9" s="1"/>
  <c r="D183" i="9"/>
  <c r="F183" i="9" s="1"/>
  <c r="D174" i="8"/>
  <c r="G174" i="8" s="1"/>
  <c r="E174" i="8"/>
  <c r="H174" i="8" s="1"/>
  <c r="C175" i="8" s="1"/>
  <c r="I114" i="13"/>
  <c r="L114" i="13" s="1"/>
  <c r="Z114" i="13"/>
  <c r="AC114" i="13" s="1"/>
  <c r="C118" i="14" l="1"/>
  <c r="D118" i="14" s="1"/>
  <c r="G118" i="14" s="1"/>
  <c r="D184" i="9"/>
  <c r="F184" i="9" s="1"/>
  <c r="E184" i="9"/>
  <c r="H184" i="9" s="1"/>
  <c r="C185" i="9" s="1"/>
  <c r="F285" i="14"/>
  <c r="B286" i="14"/>
  <c r="F285" i="8"/>
  <c r="B286" i="8"/>
  <c r="D175" i="8"/>
  <c r="G175" i="8" s="1"/>
  <c r="E175" i="8"/>
  <c r="H175" i="8" s="1"/>
  <c r="C176" i="8" s="1"/>
  <c r="G285" i="9"/>
  <c r="B286" i="9"/>
  <c r="I115" i="13" l="1"/>
  <c r="L115" i="13" s="1"/>
  <c r="K44" i="12" s="1"/>
  <c r="Z115" i="13"/>
  <c r="AC115" i="13" s="1"/>
  <c r="K62" i="12" s="1"/>
  <c r="E118" i="14"/>
  <c r="H118" i="14" s="1"/>
  <c r="B287" i="9"/>
  <c r="G286" i="9"/>
  <c r="B287" i="14"/>
  <c r="F286" i="14"/>
  <c r="D185" i="9"/>
  <c r="F185" i="9" s="1"/>
  <c r="D176" i="8"/>
  <c r="G176" i="8" s="1"/>
  <c r="F286" i="8"/>
  <c r="B287" i="8"/>
  <c r="B288" i="9" l="1"/>
  <c r="G287" i="9"/>
  <c r="E176" i="8"/>
  <c r="H176" i="8" s="1"/>
  <c r="C177" i="8" s="1"/>
  <c r="J115" i="13"/>
  <c r="C119" i="14"/>
  <c r="AA115" i="13"/>
  <c r="F287" i="14"/>
  <c r="B288" i="14"/>
  <c r="E185" i="9"/>
  <c r="H185" i="9" s="1"/>
  <c r="C186" i="9" s="1"/>
  <c r="K64" i="12"/>
  <c r="K65" i="12"/>
  <c r="F287" i="8"/>
  <c r="B288" i="8"/>
  <c r="K46" i="12"/>
  <c r="K47" i="12"/>
  <c r="F288" i="14" l="1"/>
  <c r="B289" i="14"/>
  <c r="B289" i="9"/>
  <c r="G288" i="9"/>
  <c r="D177" i="8"/>
  <c r="G177" i="8" s="1"/>
  <c r="D119" i="14"/>
  <c r="G119" i="14" s="1"/>
  <c r="D186" i="9"/>
  <c r="F186" i="9" s="1"/>
  <c r="B289" i="8"/>
  <c r="F288" i="8"/>
  <c r="B290" i="8" l="1"/>
  <c r="F289" i="8"/>
  <c r="E186" i="9"/>
  <c r="H186" i="9" s="1"/>
  <c r="C187" i="9" s="1"/>
  <c r="G289" i="9"/>
  <c r="B290" i="9"/>
  <c r="I116" i="13"/>
  <c r="L116" i="13" s="1"/>
  <c r="Z116" i="13"/>
  <c r="AC116" i="13" s="1"/>
  <c r="E177" i="8"/>
  <c r="H177" i="8" s="1"/>
  <c r="C178" i="8" s="1"/>
  <c r="B290" i="14"/>
  <c r="F289" i="14"/>
  <c r="E119" i="14"/>
  <c r="H119" i="14" s="1"/>
  <c r="D187" i="9" l="1"/>
  <c r="F187" i="9" s="1"/>
  <c r="B291" i="14"/>
  <c r="F290" i="14"/>
  <c r="J116" i="13"/>
  <c r="C120" i="14"/>
  <c r="AA116" i="13"/>
  <c r="B291" i="9"/>
  <c r="G290" i="9"/>
  <c r="D178" i="8"/>
  <c r="G178" i="8" s="1"/>
  <c r="B291" i="8"/>
  <c r="F290" i="8"/>
  <c r="D120" i="14" l="1"/>
  <c r="G120" i="14" s="1"/>
  <c r="B292" i="14"/>
  <c r="F291" i="14"/>
  <c r="E178" i="8"/>
  <c r="H178" i="8" s="1"/>
  <c r="C179" i="8" s="1"/>
  <c r="E187" i="9"/>
  <c r="H187" i="9" s="1"/>
  <c r="C188" i="9" s="1"/>
  <c r="B292" i="8"/>
  <c r="F291" i="8"/>
  <c r="B292" i="9"/>
  <c r="G291" i="9"/>
  <c r="E120" i="14" l="1"/>
  <c r="H120" i="14" s="1"/>
  <c r="J117" i="13" s="1"/>
  <c r="F292" i="8"/>
  <c r="B293" i="8"/>
  <c r="F292" i="14"/>
  <c r="B293" i="14"/>
  <c r="B293" i="9"/>
  <c r="G292" i="9"/>
  <c r="D179" i="8"/>
  <c r="G179" i="8" s="1"/>
  <c r="E179" i="8"/>
  <c r="H179" i="8" s="1"/>
  <c r="C180" i="8" s="1"/>
  <c r="AA117" i="13"/>
  <c r="D188" i="9"/>
  <c r="F188" i="9" s="1"/>
  <c r="I117" i="13"/>
  <c r="L117" i="13" s="1"/>
  <c r="Z117" i="13"/>
  <c r="AC117" i="13" s="1"/>
  <c r="C121" i="14" l="1"/>
  <c r="D121" i="14" s="1"/>
  <c r="G121" i="14" s="1"/>
  <c r="G293" i="9"/>
  <c r="B294" i="9"/>
  <c r="F293" i="8"/>
  <c r="B294" i="8"/>
  <c r="D180" i="8"/>
  <c r="G180" i="8" s="1"/>
  <c r="F293" i="14"/>
  <c r="B294" i="14"/>
  <c r="E188" i="9"/>
  <c r="H188" i="9" s="1"/>
  <c r="C189" i="9" s="1"/>
  <c r="E121" i="14" l="1"/>
  <c r="H121" i="14" s="1"/>
  <c r="J118" i="13" s="1"/>
  <c r="F294" i="14"/>
  <c r="B295" i="14"/>
  <c r="F294" i="8"/>
  <c r="B295" i="8"/>
  <c r="AA118" i="13"/>
  <c r="B295" i="9"/>
  <c r="G294" i="9"/>
  <c r="I118" i="13"/>
  <c r="L118" i="13" s="1"/>
  <c r="Z118" i="13"/>
  <c r="AC118" i="13" s="1"/>
  <c r="D189" i="9"/>
  <c r="F189" i="9" s="1"/>
  <c r="E180" i="8"/>
  <c r="H180" i="8" s="1"/>
  <c r="C181" i="8" s="1"/>
  <c r="C122" i="14" l="1"/>
  <c r="D122" i="14" s="1"/>
  <c r="G122" i="14" s="1"/>
  <c r="F295" i="14"/>
  <c r="B296" i="14"/>
  <c r="E181" i="8"/>
  <c r="H181" i="8" s="1"/>
  <c r="C182" i="8" s="1"/>
  <c r="D181" i="8"/>
  <c r="G181" i="8" s="1"/>
  <c r="F295" i="8"/>
  <c r="B296" i="8"/>
  <c r="E189" i="9"/>
  <c r="H189" i="9" s="1"/>
  <c r="C190" i="9" s="1"/>
  <c r="B296" i="9"/>
  <c r="G295" i="9"/>
  <c r="B297" i="9" l="1"/>
  <c r="G296" i="9"/>
  <c r="F296" i="14"/>
  <c r="B297" i="14"/>
  <c r="I119" i="13"/>
  <c r="L119" i="13" s="1"/>
  <c r="Z119" i="13"/>
  <c r="AC119" i="13" s="1"/>
  <c r="D182" i="8"/>
  <c r="G182" i="8" s="1"/>
  <c r="D190" i="9"/>
  <c r="F190" i="9" s="1"/>
  <c r="E190" i="9"/>
  <c r="H190" i="9" s="1"/>
  <c r="C191" i="9" s="1"/>
  <c r="B297" i="8"/>
  <c r="F296" i="8"/>
  <c r="E122" i="14"/>
  <c r="H122" i="14" s="1"/>
  <c r="B298" i="14" l="1"/>
  <c r="F297" i="14"/>
  <c r="J119" i="13"/>
  <c r="C123" i="14"/>
  <c r="AA119" i="13"/>
  <c r="G297" i="9"/>
  <c r="B298" i="9"/>
  <c r="B298" i="8"/>
  <c r="F297" i="8"/>
  <c r="D191" i="9"/>
  <c r="F191" i="9" s="1"/>
  <c r="E182" i="8"/>
  <c r="H182" i="8" s="1"/>
  <c r="C183" i="8" s="1"/>
  <c r="D183" i="8" l="1"/>
  <c r="G183" i="8" s="1"/>
  <c r="B299" i="8"/>
  <c r="F298" i="8"/>
  <c r="D123" i="14"/>
  <c r="G123" i="14" s="1"/>
  <c r="B299" i="14"/>
  <c r="F298" i="14"/>
  <c r="E191" i="9"/>
  <c r="H191" i="9" s="1"/>
  <c r="C192" i="9" s="1"/>
  <c r="B299" i="9"/>
  <c r="G298" i="9"/>
  <c r="B300" i="9" l="1"/>
  <c r="G299" i="9"/>
  <c r="B300" i="14"/>
  <c r="F299" i="14"/>
  <c r="B300" i="8"/>
  <c r="F299" i="8"/>
  <c r="E123" i="14"/>
  <c r="H123" i="14" s="1"/>
  <c r="I120" i="13"/>
  <c r="L120" i="13" s="1"/>
  <c r="Z120" i="13"/>
  <c r="AC120" i="13" s="1"/>
  <c r="E183" i="8"/>
  <c r="H183" i="8" s="1"/>
  <c r="C184" i="8" s="1"/>
  <c r="D192" i="9"/>
  <c r="F192" i="9" s="1"/>
  <c r="E192" i="9"/>
  <c r="H192" i="9" s="1"/>
  <c r="C193" i="9" s="1"/>
  <c r="B301" i="14" l="1"/>
  <c r="F300" i="14"/>
  <c r="J120" i="13"/>
  <c r="C124" i="14"/>
  <c r="AA120" i="13"/>
  <c r="D193" i="9"/>
  <c r="F193" i="9" s="1"/>
  <c r="D184" i="8"/>
  <c r="G184" i="8" s="1"/>
  <c r="B301" i="8"/>
  <c r="F300" i="8"/>
  <c r="G300" i="9"/>
  <c r="B301" i="9"/>
  <c r="E184" i="8" l="1"/>
  <c r="H184" i="8" s="1"/>
  <c r="C185" i="8" s="1"/>
  <c r="E193" i="9"/>
  <c r="H193" i="9" s="1"/>
  <c r="C194" i="9" s="1"/>
  <c r="F301" i="14"/>
  <c r="B302" i="14"/>
  <c r="F301" i="8"/>
  <c r="B302" i="8"/>
  <c r="D124" i="14"/>
  <c r="G124" i="14" s="1"/>
  <c r="G301" i="9"/>
  <c r="B302" i="9"/>
  <c r="F302" i="8" l="1"/>
  <c r="B303" i="8"/>
  <c r="E124" i="14"/>
  <c r="H124" i="14" s="1"/>
  <c r="E194" i="9"/>
  <c r="H194" i="9" s="1"/>
  <c r="C195" i="9" s="1"/>
  <c r="D194" i="9"/>
  <c r="F194" i="9" s="1"/>
  <c r="F302" i="14"/>
  <c r="B303" i="14"/>
  <c r="D185" i="8"/>
  <c r="G185" i="8" s="1"/>
  <c r="B303" i="9"/>
  <c r="G302" i="9"/>
  <c r="I121" i="13"/>
  <c r="L121" i="13" s="1"/>
  <c r="Z121" i="13"/>
  <c r="AC121" i="13" s="1"/>
  <c r="F303" i="8" l="1"/>
  <c r="B304" i="8"/>
  <c r="B304" i="9"/>
  <c r="G303" i="9"/>
  <c r="E185" i="8"/>
  <c r="H185" i="8" s="1"/>
  <c r="C186" i="8" s="1"/>
  <c r="D195" i="9"/>
  <c r="F195" i="9" s="1"/>
  <c r="F303" i="14"/>
  <c r="B304" i="14"/>
  <c r="J121" i="13"/>
  <c r="AA121" i="13"/>
  <c r="C125" i="14"/>
  <c r="B305" i="8" l="1"/>
  <c r="F304" i="8"/>
  <c r="E195" i="9"/>
  <c r="H195" i="9" s="1"/>
  <c r="C196" i="9" s="1"/>
  <c r="B305" i="14"/>
  <c r="F304" i="14"/>
  <c r="E186" i="8"/>
  <c r="H186" i="8" s="1"/>
  <c r="C187" i="8" s="1"/>
  <c r="D186" i="8"/>
  <c r="G186" i="8" s="1"/>
  <c r="D125" i="14"/>
  <c r="G125" i="14" s="1"/>
  <c r="B305" i="9"/>
  <c r="G304" i="9"/>
  <c r="E125" i="14" l="1"/>
  <c r="H125" i="14" s="1"/>
  <c r="J122" i="13" s="1"/>
  <c r="D187" i="8"/>
  <c r="G187" i="8" s="1"/>
  <c r="G305" i="9"/>
  <c r="B306" i="9"/>
  <c r="AA122" i="13"/>
  <c r="D196" i="9"/>
  <c r="F196" i="9" s="1"/>
  <c r="I122" i="13"/>
  <c r="L122" i="13" s="1"/>
  <c r="Z122" i="13"/>
  <c r="AC122" i="13" s="1"/>
  <c r="B306" i="14"/>
  <c r="F305" i="14"/>
  <c r="B306" i="8"/>
  <c r="F305" i="8"/>
  <c r="C126" i="14" l="1"/>
  <c r="D126" i="14" s="1"/>
  <c r="G126" i="14" s="1"/>
  <c r="B307" i="8"/>
  <c r="F306" i="8"/>
  <c r="G306" i="9"/>
  <c r="B307" i="9"/>
  <c r="E196" i="9"/>
  <c r="H196" i="9" s="1"/>
  <c r="C197" i="9" s="1"/>
  <c r="B307" i="14"/>
  <c r="F306" i="14"/>
  <c r="E187" i="8"/>
  <c r="H187" i="8" s="1"/>
  <c r="C188" i="8" s="1"/>
  <c r="I123" i="13" l="1"/>
  <c r="L123" i="13" s="1"/>
  <c r="Z123" i="13"/>
  <c r="AC123" i="13" s="1"/>
  <c r="E126" i="14"/>
  <c r="H126" i="14" s="1"/>
  <c r="F307" i="14"/>
  <c r="B308" i="14"/>
  <c r="B308" i="8"/>
  <c r="F307" i="8"/>
  <c r="B308" i="9"/>
  <c r="G307" i="9"/>
  <c r="D188" i="8"/>
  <c r="G188" i="8" s="1"/>
  <c r="D197" i="9"/>
  <c r="F197" i="9" s="1"/>
  <c r="F308" i="8" l="1"/>
  <c r="B309" i="8"/>
  <c r="E197" i="9"/>
  <c r="H197" i="9" s="1"/>
  <c r="C198" i="9" s="1"/>
  <c r="B309" i="9"/>
  <c r="G308" i="9"/>
  <c r="J123" i="13"/>
  <c r="C127" i="14"/>
  <c r="AA123" i="13"/>
  <c r="F308" i="14"/>
  <c r="B309" i="14"/>
  <c r="E188" i="8"/>
  <c r="H188" i="8" s="1"/>
  <c r="C189" i="8" s="1"/>
  <c r="D127" i="14" l="1"/>
  <c r="G127" i="14" s="1"/>
  <c r="D198" i="9"/>
  <c r="F198" i="9" s="1"/>
  <c r="F309" i="8"/>
  <c r="B310" i="8"/>
  <c r="F309" i="14"/>
  <c r="B310" i="14"/>
  <c r="G309" i="9"/>
  <c r="B310" i="9"/>
  <c r="D189" i="8"/>
  <c r="G189" i="8" s="1"/>
  <c r="E189" i="8"/>
  <c r="H189" i="8" s="1"/>
  <c r="C190" i="8" s="1"/>
  <c r="E198" i="9" l="1"/>
  <c r="H198" i="9" s="1"/>
  <c r="C199" i="9" s="1"/>
  <c r="B311" i="9"/>
  <c r="G310" i="9"/>
  <c r="D190" i="8"/>
  <c r="G190" i="8" s="1"/>
  <c r="F310" i="8"/>
  <c r="B311" i="8"/>
  <c r="I124" i="13"/>
  <c r="L124" i="13" s="1"/>
  <c r="Z124" i="13"/>
  <c r="AC124" i="13" s="1"/>
  <c r="B311" i="14"/>
  <c r="F310" i="14"/>
  <c r="E127" i="14"/>
  <c r="H127" i="14" s="1"/>
  <c r="B312" i="9" l="1"/>
  <c r="G311" i="9"/>
  <c r="F311" i="14"/>
  <c r="B312" i="14"/>
  <c r="J124" i="13"/>
  <c r="C128" i="14"/>
  <c r="AA124" i="13"/>
  <c r="F311" i="8"/>
  <c r="B312" i="8"/>
  <c r="E190" i="8"/>
  <c r="H190" i="8" s="1"/>
  <c r="C191" i="8" s="1"/>
  <c r="D199" i="9"/>
  <c r="F199" i="9" s="1"/>
  <c r="B313" i="14" l="1"/>
  <c r="F312" i="14"/>
  <c r="D128" i="14"/>
  <c r="G128" i="14" s="1"/>
  <c r="B313" i="8"/>
  <c r="F312" i="8"/>
  <c r="E199" i="9"/>
  <c r="H199" i="9" s="1"/>
  <c r="C200" i="9" s="1"/>
  <c r="G312" i="9"/>
  <c r="B313" i="9"/>
  <c r="D191" i="8"/>
  <c r="G191" i="8" s="1"/>
  <c r="E191" i="8"/>
  <c r="H191" i="8" s="1"/>
  <c r="C192" i="8" s="1"/>
  <c r="B314" i="8" l="1"/>
  <c r="F313" i="8"/>
  <c r="E200" i="9"/>
  <c r="H200" i="9" s="1"/>
  <c r="C201" i="9" s="1"/>
  <c r="D200" i="9"/>
  <c r="F200" i="9" s="1"/>
  <c r="B314" i="14"/>
  <c r="F313" i="14"/>
  <c r="G313" i="9"/>
  <c r="B314" i="9"/>
  <c r="E192" i="8"/>
  <c r="H192" i="8" s="1"/>
  <c r="C193" i="8" s="1"/>
  <c r="D192" i="8"/>
  <c r="G192" i="8" s="1"/>
  <c r="I125" i="13"/>
  <c r="L125" i="13" s="1"/>
  <c r="Z125" i="13"/>
  <c r="AC125" i="13" s="1"/>
  <c r="E128" i="14"/>
  <c r="H128" i="14" s="1"/>
  <c r="D201" i="9" l="1"/>
  <c r="F201" i="9" s="1"/>
  <c r="E201" i="9"/>
  <c r="H201" i="9" s="1"/>
  <c r="C202" i="9" s="1"/>
  <c r="B315" i="9"/>
  <c r="G314" i="9"/>
  <c r="J125" i="13"/>
  <c r="C129" i="14"/>
  <c r="AA125" i="13"/>
  <c r="B315" i="14"/>
  <c r="F314" i="14"/>
  <c r="D193" i="8"/>
  <c r="G193" i="8" s="1"/>
  <c r="B315" i="8"/>
  <c r="F314" i="8"/>
  <c r="B316" i="8" l="1"/>
  <c r="F315" i="8"/>
  <c r="B316" i="14"/>
  <c r="F315" i="14"/>
  <c r="E193" i="8"/>
  <c r="H193" i="8" s="1"/>
  <c r="C194" i="8" s="1"/>
  <c r="B316" i="9"/>
  <c r="G315" i="9"/>
  <c r="D129" i="14"/>
  <c r="G129" i="14" s="1"/>
  <c r="D202" i="9"/>
  <c r="F202" i="9" s="1"/>
  <c r="B317" i="9" l="1"/>
  <c r="G316" i="9"/>
  <c r="E129" i="14"/>
  <c r="H129" i="14" s="1"/>
  <c r="B317" i="8"/>
  <c r="F316" i="8"/>
  <c r="D194" i="8"/>
  <c r="G194" i="8" s="1"/>
  <c r="F316" i="14"/>
  <c r="B317" i="14"/>
  <c r="I126" i="13"/>
  <c r="L126" i="13" s="1"/>
  <c r="Z126" i="13"/>
  <c r="AC126" i="13" s="1"/>
  <c r="E202" i="9"/>
  <c r="H202" i="9" s="1"/>
  <c r="C203" i="9" s="1"/>
  <c r="F317" i="14" l="1"/>
  <c r="B318" i="14"/>
  <c r="J126" i="13"/>
  <c r="C130" i="14"/>
  <c r="AA126" i="13"/>
  <c r="F317" i="8"/>
  <c r="B318" i="8"/>
  <c r="E194" i="8"/>
  <c r="H194" i="8" s="1"/>
  <c r="C195" i="8" s="1"/>
  <c r="D203" i="9"/>
  <c r="F203" i="9" s="1"/>
  <c r="G317" i="9"/>
  <c r="B318" i="9"/>
  <c r="F318" i="14" l="1"/>
  <c r="B319" i="14"/>
  <c r="E203" i="9"/>
  <c r="H203" i="9" s="1"/>
  <c r="C204" i="9" s="1"/>
  <c r="D195" i="8"/>
  <c r="G195" i="8" s="1"/>
  <c r="B319" i="9"/>
  <c r="G318" i="9"/>
  <c r="F318" i="8"/>
  <c r="B319" i="8"/>
  <c r="D130" i="14"/>
  <c r="G130" i="14" s="1"/>
  <c r="D204" i="9" l="1"/>
  <c r="F204" i="9" s="1"/>
  <c r="B320" i="9"/>
  <c r="G319" i="9"/>
  <c r="B320" i="8"/>
  <c r="F319" i="8"/>
  <c r="F319" i="14"/>
  <c r="B320" i="14"/>
  <c r="I127" i="13"/>
  <c r="L127" i="13" s="1"/>
  <c r="L44" i="12" s="1"/>
  <c r="Z127" i="13"/>
  <c r="AC127" i="13" s="1"/>
  <c r="L62" i="12" s="1"/>
  <c r="E130" i="14"/>
  <c r="H130" i="14" s="1"/>
  <c r="E195" i="8"/>
  <c r="H195" i="8" s="1"/>
  <c r="C196" i="8" s="1"/>
  <c r="G320" i="9" l="1"/>
  <c r="B321" i="9"/>
  <c r="L46" i="12"/>
  <c r="L47" i="12"/>
  <c r="B321" i="14"/>
  <c r="F320" i="14"/>
  <c r="E196" i="8"/>
  <c r="H196" i="8" s="1"/>
  <c r="C197" i="8" s="1"/>
  <c r="D196" i="8"/>
  <c r="G196" i="8" s="1"/>
  <c r="J127" i="13"/>
  <c r="C131" i="14"/>
  <c r="AA127" i="13"/>
  <c r="B321" i="8"/>
  <c r="F320" i="8"/>
  <c r="L64" i="12"/>
  <c r="L65" i="12"/>
  <c r="E204" i="9"/>
  <c r="H204" i="9" s="1"/>
  <c r="C205" i="9" s="1"/>
  <c r="D205" i="9" l="1"/>
  <c r="F205" i="9" s="1"/>
  <c r="D197" i="8"/>
  <c r="G197" i="8" s="1"/>
  <c r="B322" i="8"/>
  <c r="F321" i="8"/>
  <c r="G321" i="9"/>
  <c r="B322" i="9"/>
  <c r="D131" i="14"/>
  <c r="G131" i="14" s="1"/>
  <c r="B322" i="14"/>
  <c r="F321" i="14"/>
  <c r="B323" i="9" l="1"/>
  <c r="G322" i="9"/>
  <c r="B323" i="8"/>
  <c r="F322" i="8"/>
  <c r="B323" i="14"/>
  <c r="F322" i="14"/>
  <c r="I128" i="13"/>
  <c r="L128" i="13" s="1"/>
  <c r="Z128" i="13"/>
  <c r="AC128" i="13" s="1"/>
  <c r="E197" i="8"/>
  <c r="H197" i="8" s="1"/>
  <c r="C198" i="8" s="1"/>
  <c r="E131" i="14"/>
  <c r="H131" i="14" s="1"/>
  <c r="E205" i="9"/>
  <c r="H205" i="9" s="1"/>
  <c r="C206" i="9" s="1"/>
  <c r="B324" i="14" l="1"/>
  <c r="F323" i="14"/>
  <c r="D198" i="8"/>
  <c r="G198" i="8" s="1"/>
  <c r="D206" i="9"/>
  <c r="F206" i="9" s="1"/>
  <c r="J128" i="13"/>
  <c r="C132" i="14"/>
  <c r="AA128" i="13"/>
  <c r="B324" i="8"/>
  <c r="F323" i="8"/>
  <c r="B324" i="9"/>
  <c r="G323" i="9"/>
  <c r="D132" i="14" l="1"/>
  <c r="G132" i="14" s="1"/>
  <c r="G324" i="9"/>
  <c r="B325" i="9"/>
  <c r="F324" i="8"/>
  <c r="B325" i="8"/>
  <c r="F324" i="14"/>
  <c r="B325" i="14"/>
  <c r="E206" i="9"/>
  <c r="H206" i="9" s="1"/>
  <c r="C207" i="9" s="1"/>
  <c r="E198" i="8"/>
  <c r="H198" i="8" s="1"/>
  <c r="C199" i="8" s="1"/>
  <c r="D207" i="9" l="1"/>
  <c r="F207" i="9" s="1"/>
  <c r="F325" i="14"/>
  <c r="B326" i="14"/>
  <c r="I129" i="13"/>
  <c r="L129" i="13" s="1"/>
  <c r="Z129" i="13"/>
  <c r="AC129" i="13" s="1"/>
  <c r="G325" i="9"/>
  <c r="B326" i="9"/>
  <c r="F325" i="8"/>
  <c r="B326" i="8"/>
  <c r="D199" i="8"/>
  <c r="G199" i="8" s="1"/>
  <c r="E132" i="14"/>
  <c r="H132" i="14" s="1"/>
  <c r="F326" i="8" l="1"/>
  <c r="B327" i="8"/>
  <c r="J129" i="13"/>
  <c r="C133" i="14"/>
  <c r="AA129" i="13"/>
  <c r="E207" i="9"/>
  <c r="H207" i="9" s="1"/>
  <c r="C208" i="9" s="1"/>
  <c r="G326" i="9"/>
  <c r="B327" i="9"/>
  <c r="E199" i="8"/>
  <c r="H199" i="8" s="1"/>
  <c r="C200" i="8" s="1"/>
  <c r="F326" i="14"/>
  <c r="B327" i="14"/>
  <c r="D208" i="9" l="1"/>
  <c r="F208" i="9" s="1"/>
  <c r="D200" i="8"/>
  <c r="G200" i="8" s="1"/>
  <c r="E200" i="8"/>
  <c r="H200" i="8" s="1"/>
  <c r="C201" i="8" s="1"/>
  <c r="B328" i="9"/>
  <c r="G327" i="9"/>
  <c r="D133" i="14"/>
  <c r="G133" i="14" s="1"/>
  <c r="B328" i="8"/>
  <c r="F327" i="8"/>
  <c r="F327" i="14"/>
  <c r="B328" i="14"/>
  <c r="B329" i="14" l="1"/>
  <c r="F328" i="14"/>
  <c r="B329" i="8"/>
  <c r="F328" i="8"/>
  <c r="E201" i="8"/>
  <c r="H201" i="8" s="1"/>
  <c r="C202" i="8" s="1"/>
  <c r="D201" i="8"/>
  <c r="G201" i="8" s="1"/>
  <c r="G328" i="9"/>
  <c r="B329" i="9"/>
  <c r="I130" i="13"/>
  <c r="L130" i="13" s="1"/>
  <c r="Z130" i="13"/>
  <c r="AC130" i="13" s="1"/>
  <c r="E133" i="14"/>
  <c r="H133" i="14" s="1"/>
  <c r="E208" i="9"/>
  <c r="H208" i="9" s="1"/>
  <c r="C209" i="9" s="1"/>
  <c r="D202" i="8" l="1"/>
  <c r="G202" i="8" s="1"/>
  <c r="D209" i="9"/>
  <c r="F209" i="9" s="1"/>
  <c r="E209" i="9"/>
  <c r="H209" i="9" s="1"/>
  <c r="C210" i="9" s="1"/>
  <c r="G329" i="9"/>
  <c r="B330" i="9"/>
  <c r="J130" i="13"/>
  <c r="C134" i="14"/>
  <c r="AA130" i="13"/>
  <c r="B330" i="14"/>
  <c r="F329" i="14"/>
  <c r="B330" i="8"/>
  <c r="F329" i="8"/>
  <c r="D210" i="9" l="1"/>
  <c r="F210" i="9" s="1"/>
  <c r="D134" i="14"/>
  <c r="G134" i="14" s="1"/>
  <c r="B331" i="14"/>
  <c r="F330" i="14"/>
  <c r="B331" i="8"/>
  <c r="F330" i="8"/>
  <c r="B331" i="9"/>
  <c r="G330" i="9"/>
  <c r="E202" i="8"/>
  <c r="H202" i="8" s="1"/>
  <c r="C203" i="8" s="1"/>
  <c r="I131" i="13" l="1"/>
  <c r="L131" i="13" s="1"/>
  <c r="Z131" i="13"/>
  <c r="AC131" i="13" s="1"/>
  <c r="E134" i="14"/>
  <c r="H134" i="14" s="1"/>
  <c r="B332" i="14"/>
  <c r="F331" i="14"/>
  <c r="D203" i="8"/>
  <c r="G203" i="8" s="1"/>
  <c r="B332" i="8"/>
  <c r="F331" i="8"/>
  <c r="B332" i="9"/>
  <c r="G331" i="9"/>
  <c r="E210" i="9"/>
  <c r="H210" i="9" s="1"/>
  <c r="C211" i="9" s="1"/>
  <c r="B333" i="14" l="1"/>
  <c r="F332" i="14"/>
  <c r="F332" i="8"/>
  <c r="B333" i="8"/>
  <c r="D211" i="9"/>
  <c r="F211" i="9" s="1"/>
  <c r="E203" i="8"/>
  <c r="H203" i="8" s="1"/>
  <c r="C204" i="8" s="1"/>
  <c r="J131" i="13"/>
  <c r="C135" i="14"/>
  <c r="AA131" i="13"/>
  <c r="B333" i="9"/>
  <c r="G332" i="9"/>
  <c r="F333" i="8" l="1"/>
  <c r="B334" i="8"/>
  <c r="F333" i="14"/>
  <c r="B334" i="14"/>
  <c r="G333" i="9"/>
  <c r="B334" i="9"/>
  <c r="E211" i="9"/>
  <c r="H211" i="9" s="1"/>
  <c r="C212" i="9" s="1"/>
  <c r="D135" i="14"/>
  <c r="G135" i="14" s="1"/>
  <c r="D204" i="8"/>
  <c r="G204" i="8" s="1"/>
  <c r="E204" i="8"/>
  <c r="H204" i="8" s="1"/>
  <c r="C205" i="8" s="1"/>
  <c r="E135" i="14" l="1"/>
  <c r="H135" i="14" s="1"/>
  <c r="J132" i="13" s="1"/>
  <c r="I132" i="13"/>
  <c r="L132" i="13" s="1"/>
  <c r="Z132" i="13"/>
  <c r="AC132" i="13" s="1"/>
  <c r="F334" i="8"/>
  <c r="B335" i="8"/>
  <c r="D212" i="9"/>
  <c r="F212" i="9" s="1"/>
  <c r="B335" i="9"/>
  <c r="G334" i="9"/>
  <c r="F334" i="14"/>
  <c r="B335" i="14"/>
  <c r="D205" i="8"/>
  <c r="G205" i="8" s="1"/>
  <c r="AA132" i="13" l="1"/>
  <c r="C136" i="14"/>
  <c r="D136" i="14" s="1"/>
  <c r="G136" i="14" s="1"/>
  <c r="E212" i="9"/>
  <c r="H212" i="9" s="1"/>
  <c r="C213" i="9" s="1"/>
  <c r="E205" i="8"/>
  <c r="H205" i="8" s="1"/>
  <c r="C206" i="8" s="1"/>
  <c r="B336" i="8"/>
  <c r="F335" i="8"/>
  <c r="B336" i="9"/>
  <c r="G335" i="9"/>
  <c r="F335" i="14"/>
  <c r="B336" i="14"/>
  <c r="I133" i="13" l="1"/>
  <c r="L133" i="13" s="1"/>
  <c r="Z133" i="13"/>
  <c r="AC133" i="13" s="1"/>
  <c r="G336" i="9"/>
  <c r="B337" i="9"/>
  <c r="B337" i="8"/>
  <c r="F336" i="8"/>
  <c r="B337" i="14"/>
  <c r="F336" i="14"/>
  <c r="E206" i="8"/>
  <c r="H206" i="8" s="1"/>
  <c r="C207" i="8" s="1"/>
  <c r="D206" i="8"/>
  <c r="G206" i="8" s="1"/>
  <c r="E136" i="14"/>
  <c r="H136" i="14" s="1"/>
  <c r="D213" i="9"/>
  <c r="F213" i="9" s="1"/>
  <c r="E213" i="9"/>
  <c r="H213" i="9" s="1"/>
  <c r="C214" i="9" s="1"/>
  <c r="G337" i="9" l="1"/>
  <c r="B338" i="9"/>
  <c r="D207" i="8"/>
  <c r="G207" i="8" s="1"/>
  <c r="D214" i="9"/>
  <c r="F214" i="9" s="1"/>
  <c r="E214" i="9"/>
  <c r="H214" i="9" s="1"/>
  <c r="C215" i="9" s="1"/>
  <c r="J133" i="13"/>
  <c r="C137" i="14"/>
  <c r="AA133" i="13"/>
  <c r="B338" i="8"/>
  <c r="F337" i="8"/>
  <c r="B338" i="14"/>
  <c r="F337" i="14"/>
  <c r="B339" i="9" l="1"/>
  <c r="G338" i="9"/>
  <c r="D137" i="14"/>
  <c r="G137" i="14" s="1"/>
  <c r="E215" i="9"/>
  <c r="H215" i="9" s="1"/>
  <c r="C216" i="9" s="1"/>
  <c r="D215" i="9"/>
  <c r="F215" i="9" s="1"/>
  <c r="B339" i="14"/>
  <c r="F338" i="14"/>
  <c r="B339" i="8"/>
  <c r="F338" i="8"/>
  <c r="E207" i="8"/>
  <c r="H207" i="8" s="1"/>
  <c r="C208" i="8" s="1"/>
  <c r="E137" i="14" l="1"/>
  <c r="H137" i="14" s="1"/>
  <c r="J134" i="13" s="1"/>
  <c r="B340" i="8"/>
  <c r="F339" i="8"/>
  <c r="B340" i="14"/>
  <c r="F339" i="14"/>
  <c r="AA134" i="13"/>
  <c r="D208" i="8"/>
  <c r="G208" i="8" s="1"/>
  <c r="I134" i="13"/>
  <c r="L134" i="13" s="1"/>
  <c r="Z134" i="13"/>
  <c r="AC134" i="13" s="1"/>
  <c r="D216" i="9"/>
  <c r="F216" i="9" s="1"/>
  <c r="B340" i="9"/>
  <c r="G339" i="9"/>
  <c r="C138" i="14" l="1"/>
  <c r="D138" i="14" s="1"/>
  <c r="G138" i="14" s="1"/>
  <c r="B341" i="14"/>
  <c r="F340" i="14"/>
  <c r="E216" i="9"/>
  <c r="H216" i="9" s="1"/>
  <c r="C217" i="9" s="1"/>
  <c r="F340" i="8"/>
  <c r="B341" i="8"/>
  <c r="E208" i="8"/>
  <c r="H208" i="8" s="1"/>
  <c r="C209" i="8" s="1"/>
  <c r="B341" i="9"/>
  <c r="G340" i="9"/>
  <c r="F341" i="14" l="1"/>
  <c r="B342" i="14"/>
  <c r="I135" i="13"/>
  <c r="L135" i="13" s="1"/>
  <c r="Z135" i="13"/>
  <c r="AC135" i="13" s="1"/>
  <c r="F341" i="8"/>
  <c r="B342" i="8"/>
  <c r="G341" i="9"/>
  <c r="B342" i="9"/>
  <c r="E138" i="14"/>
  <c r="H138" i="14" s="1"/>
  <c r="D209" i="8"/>
  <c r="G209" i="8" s="1"/>
  <c r="D217" i="9"/>
  <c r="F217" i="9" s="1"/>
  <c r="E217" i="9"/>
  <c r="H217" i="9" s="1"/>
  <c r="C218" i="9" s="1"/>
  <c r="B343" i="9" l="1"/>
  <c r="G342" i="9"/>
  <c r="J135" i="13"/>
  <c r="AA135" i="13"/>
  <c r="C139" i="14"/>
  <c r="D218" i="9"/>
  <c r="F218" i="9" s="1"/>
  <c r="F342" i="14"/>
  <c r="B343" i="14"/>
  <c r="F342" i="8"/>
  <c r="B343" i="8"/>
  <c r="E209" i="8"/>
  <c r="H209" i="8" s="1"/>
  <c r="C210" i="8" s="1"/>
  <c r="B344" i="9" l="1"/>
  <c r="G343" i="9"/>
  <c r="E210" i="8"/>
  <c r="H210" i="8" s="1"/>
  <c r="C211" i="8" s="1"/>
  <c r="D210" i="8"/>
  <c r="G210" i="8" s="1"/>
  <c r="E218" i="9"/>
  <c r="H218" i="9" s="1"/>
  <c r="C219" i="9" s="1"/>
  <c r="B344" i="8"/>
  <c r="F343" i="8"/>
  <c r="F343" i="14"/>
  <c r="B344" i="14"/>
  <c r="D139" i="14"/>
  <c r="G139" i="14" s="1"/>
  <c r="D211" i="8" l="1"/>
  <c r="G211" i="8" s="1"/>
  <c r="E211" i="8"/>
  <c r="H211" i="8" s="1"/>
  <c r="C212" i="8" s="1"/>
  <c r="B345" i="14"/>
  <c r="F344" i="14"/>
  <c r="B345" i="8"/>
  <c r="F344" i="8"/>
  <c r="I136" i="13"/>
  <c r="L136" i="13" s="1"/>
  <c r="Z136" i="13"/>
  <c r="AC136" i="13" s="1"/>
  <c r="D219" i="9"/>
  <c r="F219" i="9" s="1"/>
  <c r="G344" i="9"/>
  <c r="B345" i="9"/>
  <c r="E139" i="14"/>
  <c r="H139" i="14" s="1"/>
  <c r="E219" i="9" l="1"/>
  <c r="H219" i="9" s="1"/>
  <c r="C220" i="9" s="1"/>
  <c r="B346" i="14"/>
  <c r="F345" i="14"/>
  <c r="B346" i="8"/>
  <c r="F345" i="8"/>
  <c r="D212" i="8"/>
  <c r="G212" i="8" s="1"/>
  <c r="G345" i="9"/>
  <c r="B346" i="9"/>
  <c r="J136" i="13"/>
  <c r="C140" i="14"/>
  <c r="AA136" i="13"/>
  <c r="B347" i="9" l="1"/>
  <c r="G346" i="9"/>
  <c r="B347" i="8"/>
  <c r="F346" i="8"/>
  <c r="B347" i="14"/>
  <c r="F346" i="14"/>
  <c r="D140" i="14"/>
  <c r="G140" i="14" s="1"/>
  <c r="D220" i="9"/>
  <c r="F220" i="9" s="1"/>
  <c r="E212" i="8"/>
  <c r="H212" i="8" s="1"/>
  <c r="C213" i="8" s="1"/>
  <c r="B348" i="14" l="1"/>
  <c r="F347" i="14"/>
  <c r="I137" i="13"/>
  <c r="L137" i="13" s="1"/>
  <c r="Z137" i="13"/>
  <c r="AC137" i="13" s="1"/>
  <c r="E140" i="14"/>
  <c r="H140" i="14" s="1"/>
  <c r="D213" i="8"/>
  <c r="G213" i="8" s="1"/>
  <c r="B348" i="8"/>
  <c r="F347" i="8"/>
  <c r="E220" i="9"/>
  <c r="H220" i="9" s="1"/>
  <c r="C221" i="9" s="1"/>
  <c r="B348" i="9"/>
  <c r="G347" i="9"/>
  <c r="B349" i="9" l="1"/>
  <c r="G348" i="9"/>
  <c r="D221" i="9"/>
  <c r="F221" i="9" s="1"/>
  <c r="E221" i="9"/>
  <c r="H221" i="9" s="1"/>
  <c r="C222" i="9" s="1"/>
  <c r="E213" i="8"/>
  <c r="H213" i="8" s="1"/>
  <c r="C214" i="8" s="1"/>
  <c r="J137" i="13"/>
  <c r="C141" i="14"/>
  <c r="AA137" i="13"/>
  <c r="B349" i="14"/>
  <c r="F348" i="14"/>
  <c r="F348" i="8"/>
  <c r="B349" i="8"/>
  <c r="F349" i="14" l="1"/>
  <c r="B350" i="14"/>
  <c r="B350" i="9"/>
  <c r="G349" i="9"/>
  <c r="D141" i="14"/>
  <c r="G141" i="14" s="1"/>
  <c r="D222" i="9"/>
  <c r="F222" i="9" s="1"/>
  <c r="F349" i="8"/>
  <c r="B350" i="8"/>
  <c r="D214" i="8"/>
  <c r="G214" i="8" s="1"/>
  <c r="E214" i="8"/>
  <c r="H214" i="8" s="1"/>
  <c r="C215" i="8" s="1"/>
  <c r="E141" i="14" l="1"/>
  <c r="H141" i="14" s="1"/>
  <c r="I138" i="13"/>
  <c r="L138" i="13" s="1"/>
  <c r="Z138" i="13"/>
  <c r="AC138" i="13" s="1"/>
  <c r="B351" i="9"/>
  <c r="G350" i="9"/>
  <c r="F350" i="8"/>
  <c r="B351" i="8"/>
  <c r="F350" i="14"/>
  <c r="B351" i="14"/>
  <c r="E215" i="8"/>
  <c r="H215" i="8" s="1"/>
  <c r="C216" i="8" s="1"/>
  <c r="D215" i="8"/>
  <c r="G215" i="8" s="1"/>
  <c r="E222" i="9"/>
  <c r="H222" i="9" s="1"/>
  <c r="C223" i="9" s="1"/>
  <c r="D216" i="8" l="1"/>
  <c r="G216" i="8" s="1"/>
  <c r="E216" i="8"/>
  <c r="H216" i="8" s="1"/>
  <c r="C217" i="8" s="1"/>
  <c r="F351" i="14"/>
  <c r="B352" i="14"/>
  <c r="B352" i="9"/>
  <c r="G351" i="9"/>
  <c r="D223" i="9"/>
  <c r="F223" i="9" s="1"/>
  <c r="B352" i="8"/>
  <c r="F351" i="8"/>
  <c r="J138" i="13"/>
  <c r="AA138" i="13"/>
  <c r="C142" i="14"/>
  <c r="G352" i="9" l="1"/>
  <c r="B353" i="9"/>
  <c r="D142" i="14"/>
  <c r="G142" i="14" s="1"/>
  <c r="B353" i="8"/>
  <c r="F352" i="8"/>
  <c r="D217" i="8"/>
  <c r="G217" i="8" s="1"/>
  <c r="E223" i="9"/>
  <c r="H223" i="9" s="1"/>
  <c r="C224" i="9" s="1"/>
  <c r="B353" i="14"/>
  <c r="F352" i="14"/>
  <c r="E142" i="14" l="1"/>
  <c r="H142" i="14" s="1"/>
  <c r="J139" i="13" s="1"/>
  <c r="G353" i="9"/>
  <c r="B354" i="9"/>
  <c r="B354" i="14"/>
  <c r="F353" i="14"/>
  <c r="AA139" i="13"/>
  <c r="D224" i="9"/>
  <c r="F224" i="9" s="1"/>
  <c r="E224" i="9"/>
  <c r="H224" i="9" s="1"/>
  <c r="C225" i="9" s="1"/>
  <c r="B354" i="8"/>
  <c r="F353" i="8"/>
  <c r="E217" i="8"/>
  <c r="H217" i="8" s="1"/>
  <c r="C218" i="8" s="1"/>
  <c r="I139" i="13"/>
  <c r="L139" i="13" s="1"/>
  <c r="M44" i="12" s="1"/>
  <c r="Z139" i="13"/>
  <c r="AC139" i="13" s="1"/>
  <c r="M62" i="12" s="1"/>
  <c r="C143" i="14" l="1"/>
  <c r="D143" i="14" s="1"/>
  <c r="G143" i="14" s="1"/>
  <c r="B355" i="14"/>
  <c r="F354" i="14"/>
  <c r="B355" i="9"/>
  <c r="G354" i="9"/>
  <c r="M64" i="12"/>
  <c r="M65" i="12"/>
  <c r="D218" i="8"/>
  <c r="G218" i="8" s="1"/>
  <c r="B355" i="8"/>
  <c r="F354" i="8"/>
  <c r="D225" i="9"/>
  <c r="F225" i="9" s="1"/>
  <c r="E225" i="9"/>
  <c r="H225" i="9" s="1"/>
  <c r="C226" i="9" s="1"/>
  <c r="M46" i="12"/>
  <c r="M47" i="12"/>
  <c r="B356" i="9" l="1"/>
  <c r="G355" i="9"/>
  <c r="E143" i="14"/>
  <c r="H143" i="14" s="1"/>
  <c r="B356" i="8"/>
  <c r="F355" i="8"/>
  <c r="I140" i="13"/>
  <c r="L140" i="13" s="1"/>
  <c r="Z140" i="13"/>
  <c r="AC140" i="13" s="1"/>
  <c r="B356" i="14"/>
  <c r="F355" i="14"/>
  <c r="D226" i="9"/>
  <c r="F226" i="9" s="1"/>
  <c r="E218" i="8"/>
  <c r="H218" i="8" s="1"/>
  <c r="C219" i="8" s="1"/>
  <c r="B357" i="14" l="1"/>
  <c r="F356" i="14"/>
  <c r="F356" i="8"/>
  <c r="B357" i="8"/>
  <c r="J140" i="13"/>
  <c r="C144" i="14"/>
  <c r="AA140" i="13"/>
  <c r="D219" i="8"/>
  <c r="G219" i="8" s="1"/>
  <c r="E219" i="8"/>
  <c r="H219" i="8" s="1"/>
  <c r="C220" i="8" s="1"/>
  <c r="E226" i="9"/>
  <c r="H226" i="9" s="1"/>
  <c r="C227" i="9" s="1"/>
  <c r="G356" i="9"/>
  <c r="B357" i="9"/>
  <c r="F357" i="8" l="1"/>
  <c r="B358" i="8"/>
  <c r="D227" i="9"/>
  <c r="F227" i="9" s="1"/>
  <c r="F357" i="14"/>
  <c r="B358" i="14"/>
  <c r="B358" i="9"/>
  <c r="G357" i="9"/>
  <c r="D220" i="8"/>
  <c r="G220" i="8" s="1"/>
  <c r="D144" i="14"/>
  <c r="G144" i="14" s="1"/>
  <c r="F358" i="8" l="1"/>
  <c r="B359" i="8"/>
  <c r="F358" i="14"/>
  <c r="B359" i="14"/>
  <c r="E220" i="8"/>
  <c r="H220" i="8" s="1"/>
  <c r="C221" i="8" s="1"/>
  <c r="I141" i="13"/>
  <c r="L141" i="13" s="1"/>
  <c r="Z141" i="13"/>
  <c r="AC141" i="13" s="1"/>
  <c r="B359" i="9"/>
  <c r="G358" i="9"/>
  <c r="E144" i="14"/>
  <c r="H144" i="14" s="1"/>
  <c r="E227" i="9"/>
  <c r="H227" i="9" s="1"/>
  <c r="C228" i="9" s="1"/>
  <c r="D221" i="8" l="1"/>
  <c r="G221" i="8" s="1"/>
  <c r="B360" i="8"/>
  <c r="F359" i="8"/>
  <c r="B360" i="9"/>
  <c r="G359" i="9"/>
  <c r="F359" i="14"/>
  <c r="B360" i="14"/>
  <c r="D228" i="9"/>
  <c r="F228" i="9" s="1"/>
  <c r="E228" i="9"/>
  <c r="H228" i="9" s="1"/>
  <c r="C229" i="9" s="1"/>
  <c r="J141" i="13"/>
  <c r="C145" i="14"/>
  <c r="AA141" i="13"/>
  <c r="B361" i="14" l="1"/>
  <c r="F360" i="14"/>
  <c r="B361" i="8"/>
  <c r="F360" i="8"/>
  <c r="D145" i="14"/>
  <c r="G145" i="14" s="1"/>
  <c r="D229" i="9"/>
  <c r="F229" i="9" s="1"/>
  <c r="G360" i="9"/>
  <c r="B361" i="9"/>
  <c r="E221" i="8"/>
  <c r="H221" i="8" s="1"/>
  <c r="C222" i="8" s="1"/>
  <c r="I142" i="13" l="1"/>
  <c r="L142" i="13" s="1"/>
  <c r="Z142" i="13"/>
  <c r="AC142" i="13" s="1"/>
  <c r="G361" i="9"/>
  <c r="B362" i="9"/>
  <c r="B362" i="8"/>
  <c r="F361" i="8"/>
  <c r="D222" i="8"/>
  <c r="G222" i="8" s="1"/>
  <c r="E229" i="9"/>
  <c r="H229" i="9" s="1"/>
  <c r="C230" i="9" s="1"/>
  <c r="E145" i="14"/>
  <c r="H145" i="14" s="1"/>
  <c r="B362" i="14"/>
  <c r="F361" i="14"/>
  <c r="B363" i="14" l="1"/>
  <c r="F362" i="14"/>
  <c r="J142" i="13"/>
  <c r="C146" i="14"/>
  <c r="AA142" i="13"/>
  <c r="B363" i="9"/>
  <c r="G362" i="9"/>
  <c r="D230" i="9"/>
  <c r="F230" i="9" s="1"/>
  <c r="B363" i="8"/>
  <c r="F362" i="8"/>
  <c r="E222" i="8"/>
  <c r="H222" i="8" s="1"/>
  <c r="C223" i="8" s="1"/>
  <c r="B364" i="9" l="1"/>
  <c r="G363" i="9"/>
  <c r="B364" i="8"/>
  <c r="F363" i="8"/>
  <c r="D223" i="8"/>
  <c r="G223" i="8" s="1"/>
  <c r="E230" i="9"/>
  <c r="H230" i="9" s="1"/>
  <c r="C231" i="9" s="1"/>
  <c r="B364" i="14"/>
  <c r="F363" i="14"/>
  <c r="D146" i="14"/>
  <c r="G146" i="14" s="1"/>
  <c r="E146" i="14" l="1"/>
  <c r="H146" i="14" s="1"/>
  <c r="C147" i="14" s="1"/>
  <c r="B365" i="14"/>
  <c r="F364" i="14"/>
  <c r="E223" i="8"/>
  <c r="H223" i="8" s="1"/>
  <c r="C224" i="8" s="1"/>
  <c r="F364" i="8"/>
  <c r="B365" i="8"/>
  <c r="B365" i="9"/>
  <c r="G364" i="9"/>
  <c r="J143" i="13"/>
  <c r="AA143" i="13"/>
  <c r="I143" i="13"/>
  <c r="L143" i="13" s="1"/>
  <c r="Z143" i="13"/>
  <c r="AC143" i="13" s="1"/>
  <c r="E231" i="9"/>
  <c r="H231" i="9" s="1"/>
  <c r="C232" i="9" s="1"/>
  <c r="D231" i="9"/>
  <c r="F231" i="9" s="1"/>
  <c r="D224" i="8" l="1"/>
  <c r="G224" i="8" s="1"/>
  <c r="F365" i="8"/>
  <c r="B366" i="8"/>
  <c r="F365" i="14"/>
  <c r="B366" i="14"/>
  <c r="D232" i="9"/>
  <c r="F232" i="9" s="1"/>
  <c r="B366" i="9"/>
  <c r="G365" i="9"/>
  <c r="D147" i="14"/>
  <c r="G147" i="14" s="1"/>
  <c r="E147" i="14" l="1"/>
  <c r="H147" i="14" s="1"/>
  <c r="J144" i="13" s="1"/>
  <c r="F366" i="8"/>
  <c r="B367" i="8"/>
  <c r="B367" i="9"/>
  <c r="G366" i="9"/>
  <c r="C148" i="14"/>
  <c r="AA144" i="13"/>
  <c r="I144" i="13"/>
  <c r="L144" i="13" s="1"/>
  <c r="Z144" i="13"/>
  <c r="AC144" i="13" s="1"/>
  <c r="E232" i="9"/>
  <c r="H232" i="9" s="1"/>
  <c r="C233" i="9" s="1"/>
  <c r="F366" i="14"/>
  <c r="B367" i="14"/>
  <c r="E224" i="8"/>
  <c r="H224" i="8" s="1"/>
  <c r="C225" i="8" s="1"/>
  <c r="B368" i="8" l="1"/>
  <c r="F367" i="8"/>
  <c r="D148" i="14"/>
  <c r="G148" i="14" s="1"/>
  <c r="D233" i="9"/>
  <c r="F233" i="9" s="1"/>
  <c r="B368" i="9"/>
  <c r="G367" i="9"/>
  <c r="D225" i="8"/>
  <c r="G225" i="8" s="1"/>
  <c r="F367" i="14"/>
  <c r="B368" i="14"/>
  <c r="E148" i="14" l="1"/>
  <c r="H148" i="14" s="1"/>
  <c r="J145" i="13" s="1"/>
  <c r="AA145" i="13"/>
  <c r="E233" i="9"/>
  <c r="H233" i="9" s="1"/>
  <c r="C234" i="9" s="1"/>
  <c r="E225" i="8"/>
  <c r="H225" i="8" s="1"/>
  <c r="C226" i="8" s="1"/>
  <c r="B369" i="14"/>
  <c r="F368" i="14"/>
  <c r="G368" i="9"/>
  <c r="B369" i="9"/>
  <c r="I145" i="13"/>
  <c r="L145" i="13" s="1"/>
  <c r="Z145" i="13"/>
  <c r="AC145" i="13" s="1"/>
  <c r="B369" i="8"/>
  <c r="F368" i="8"/>
  <c r="C149" i="14" l="1"/>
  <c r="D149" i="14" s="1"/>
  <c r="G149" i="14" s="1"/>
  <c r="E226" i="8"/>
  <c r="H226" i="8" s="1"/>
  <c r="C227" i="8" s="1"/>
  <c r="D226" i="8"/>
  <c r="G226" i="8" s="1"/>
  <c r="B370" i="8"/>
  <c r="F369" i="8"/>
  <c r="D234" i="9"/>
  <c r="F234" i="9" s="1"/>
  <c r="G369" i="9"/>
  <c r="B370" i="9"/>
  <c r="B370" i="14"/>
  <c r="F369" i="14"/>
  <c r="B371" i="14" l="1"/>
  <c r="F370" i="14"/>
  <c r="E149" i="14"/>
  <c r="H149" i="14" s="1"/>
  <c r="I146" i="13"/>
  <c r="L146" i="13" s="1"/>
  <c r="Z146" i="13"/>
  <c r="AC146" i="13" s="1"/>
  <c r="E234" i="9"/>
  <c r="H234" i="9" s="1"/>
  <c r="C235" i="9" s="1"/>
  <c r="B371" i="9"/>
  <c r="G370" i="9"/>
  <c r="B371" i="8"/>
  <c r="F370" i="8"/>
  <c r="D227" i="8"/>
  <c r="G227" i="8" s="1"/>
  <c r="J146" i="13" l="1"/>
  <c r="C150" i="14"/>
  <c r="AA146" i="13"/>
  <c r="B372" i="8"/>
  <c r="F371" i="8"/>
  <c r="B372" i="9"/>
  <c r="G371" i="9"/>
  <c r="E227" i="8"/>
  <c r="H227" i="8" s="1"/>
  <c r="C228" i="8" s="1"/>
  <c r="D235" i="9"/>
  <c r="F235" i="9" s="1"/>
  <c r="E235" i="9"/>
  <c r="H235" i="9" s="1"/>
  <c r="C236" i="9" s="1"/>
  <c r="B372" i="14"/>
  <c r="F371" i="14"/>
  <c r="F372" i="8" l="1"/>
  <c r="B373" i="8"/>
  <c r="D236" i="9"/>
  <c r="F236" i="9" s="1"/>
  <c r="E236" i="9"/>
  <c r="H236" i="9" s="1"/>
  <c r="C237" i="9" s="1"/>
  <c r="B373" i="9"/>
  <c r="G372" i="9"/>
  <c r="D150" i="14"/>
  <c r="G150" i="14" s="1"/>
  <c r="B373" i="14"/>
  <c r="F372" i="14"/>
  <c r="D228" i="8"/>
  <c r="G228" i="8" s="1"/>
  <c r="F373" i="8" l="1"/>
  <c r="B374" i="8"/>
  <c r="B374" i="14"/>
  <c r="F373" i="14"/>
  <c r="E228" i="8"/>
  <c r="H228" i="8" s="1"/>
  <c r="C229" i="8" s="1"/>
  <c r="E237" i="9"/>
  <c r="H237" i="9" s="1"/>
  <c r="C238" i="9" s="1"/>
  <c r="D237" i="9"/>
  <c r="F237" i="9" s="1"/>
  <c r="B374" i="9"/>
  <c r="G373" i="9"/>
  <c r="I147" i="13"/>
  <c r="L147" i="13" s="1"/>
  <c r="Z147" i="13"/>
  <c r="AC147" i="13" s="1"/>
  <c r="E150" i="14"/>
  <c r="H150" i="14" s="1"/>
  <c r="B375" i="14" l="1"/>
  <c r="F374" i="14"/>
  <c r="F374" i="8"/>
  <c r="B375" i="8"/>
  <c r="J147" i="13"/>
  <c r="C151" i="14"/>
  <c r="AA147" i="13"/>
  <c r="D229" i="8"/>
  <c r="G229" i="8" s="1"/>
  <c r="G374" i="9"/>
  <c r="B375" i="9"/>
  <c r="D238" i="9"/>
  <c r="F238" i="9" s="1"/>
  <c r="B376" i="8" l="1"/>
  <c r="F375" i="8"/>
  <c r="D151" i="14"/>
  <c r="G151" i="14" s="1"/>
  <c r="E238" i="9"/>
  <c r="H238" i="9" s="1"/>
  <c r="C239" i="9" s="1"/>
  <c r="E229" i="8"/>
  <c r="H229" i="8" s="1"/>
  <c r="C230" i="8" s="1"/>
  <c r="B376" i="9"/>
  <c r="G375" i="9"/>
  <c r="F375" i="14"/>
  <c r="B376" i="14"/>
  <c r="E151" i="14" l="1"/>
  <c r="H151" i="14" s="1"/>
  <c r="C152" i="14" s="1"/>
  <c r="B377" i="14"/>
  <c r="F376" i="14"/>
  <c r="D239" i="9"/>
  <c r="F239" i="9" s="1"/>
  <c r="AA148" i="13"/>
  <c r="B377" i="8"/>
  <c r="F376" i="8"/>
  <c r="G376" i="9"/>
  <c r="B377" i="9"/>
  <c r="D230" i="8"/>
  <c r="G230" i="8" s="1"/>
  <c r="E230" i="8"/>
  <c r="H230" i="8" s="1"/>
  <c r="C231" i="8" s="1"/>
  <c r="I148" i="13"/>
  <c r="L148" i="13" s="1"/>
  <c r="Z148" i="13"/>
  <c r="AC148" i="13" s="1"/>
  <c r="J148" i="13" l="1"/>
  <c r="B378" i="8"/>
  <c r="F377" i="8"/>
  <c r="F377" i="14"/>
  <c r="B378" i="14"/>
  <c r="D152" i="14"/>
  <c r="G152" i="14" s="1"/>
  <c r="G377" i="9"/>
  <c r="B378" i="9"/>
  <c r="E231" i="8"/>
  <c r="H231" i="8" s="1"/>
  <c r="C232" i="8" s="1"/>
  <c r="D231" i="8"/>
  <c r="G231" i="8" s="1"/>
  <c r="E239" i="9"/>
  <c r="H239" i="9" s="1"/>
  <c r="C240" i="9" s="1"/>
  <c r="I149" i="13" l="1"/>
  <c r="L149" i="13" s="1"/>
  <c r="Z149" i="13"/>
  <c r="AC149" i="13" s="1"/>
  <c r="E232" i="8"/>
  <c r="H232" i="8" s="1"/>
  <c r="C233" i="8" s="1"/>
  <c r="D232" i="8"/>
  <c r="G232" i="8" s="1"/>
  <c r="F378" i="14"/>
  <c r="B379" i="14"/>
  <c r="E152" i="14"/>
  <c r="H152" i="14" s="1"/>
  <c r="B379" i="8"/>
  <c r="F378" i="8"/>
  <c r="B379" i="9"/>
  <c r="G378" i="9"/>
  <c r="E240" i="9"/>
  <c r="H240" i="9" s="1"/>
  <c r="C241" i="9" s="1"/>
  <c r="D240" i="9"/>
  <c r="F240" i="9" s="1"/>
  <c r="B380" i="9" l="1"/>
  <c r="G379" i="9"/>
  <c r="J149" i="13"/>
  <c r="C153" i="14"/>
  <c r="AA149" i="13"/>
  <c r="D241" i="9"/>
  <c r="F241" i="9" s="1"/>
  <c r="E241" i="9"/>
  <c r="H241" i="9" s="1"/>
  <c r="C242" i="9" s="1"/>
  <c r="F379" i="14"/>
  <c r="B380" i="14"/>
  <c r="D233" i="8"/>
  <c r="G233" i="8" s="1"/>
  <c r="E233" i="8"/>
  <c r="H233" i="8" s="1"/>
  <c r="C234" i="8" s="1"/>
  <c r="B380" i="8"/>
  <c r="F379" i="8"/>
  <c r="F380" i="8" l="1"/>
  <c r="B381" i="8"/>
  <c r="E234" i="8"/>
  <c r="H234" i="8" s="1"/>
  <c r="C235" i="8" s="1"/>
  <c r="D234" i="8"/>
  <c r="G234" i="8" s="1"/>
  <c r="B381" i="14"/>
  <c r="F380" i="14"/>
  <c r="D153" i="14"/>
  <c r="G153" i="14" s="1"/>
  <c r="D242" i="9"/>
  <c r="F242" i="9" s="1"/>
  <c r="G380" i="9"/>
  <c r="B381" i="9"/>
  <c r="E153" i="14" l="1"/>
  <c r="H153" i="14" s="1"/>
  <c r="C154" i="14" s="1"/>
  <c r="F381" i="8"/>
  <c r="B382" i="8"/>
  <c r="E235" i="8"/>
  <c r="H235" i="8" s="1"/>
  <c r="C236" i="8" s="1"/>
  <c r="D235" i="8"/>
  <c r="G235" i="8" s="1"/>
  <c r="E242" i="9"/>
  <c r="H242" i="9" s="1"/>
  <c r="C243" i="9" s="1"/>
  <c r="B382" i="9"/>
  <c r="G381" i="9"/>
  <c r="J150" i="13"/>
  <c r="AA150" i="13"/>
  <c r="B382" i="14"/>
  <c r="F381" i="14"/>
  <c r="I150" i="13"/>
  <c r="L150" i="13" s="1"/>
  <c r="Z150" i="13"/>
  <c r="AC150" i="13" s="1"/>
  <c r="F382" i="8" l="1"/>
  <c r="B383" i="8"/>
  <c r="G382" i="9"/>
  <c r="B383" i="9"/>
  <c r="D236" i="8"/>
  <c r="G236" i="8" s="1"/>
  <c r="D154" i="14"/>
  <c r="G154" i="14" s="1"/>
  <c r="D243" i="9"/>
  <c r="F243" i="9" s="1"/>
  <c r="B383" i="14"/>
  <c r="F382" i="14"/>
  <c r="B384" i="14" l="1"/>
  <c r="F383" i="14"/>
  <c r="E236" i="8"/>
  <c r="H236" i="8" s="1"/>
  <c r="C237" i="8" s="1"/>
  <c r="B384" i="9"/>
  <c r="G383" i="9"/>
  <c r="B384" i="8"/>
  <c r="F383" i="8"/>
  <c r="E243" i="9"/>
  <c r="H243" i="9" s="1"/>
  <c r="C244" i="9" s="1"/>
  <c r="I151" i="13"/>
  <c r="L151" i="13" s="1"/>
  <c r="N44" i="12" s="1"/>
  <c r="Z151" i="13"/>
  <c r="AC151" i="13" s="1"/>
  <c r="N62" i="12" s="1"/>
  <c r="E154" i="14"/>
  <c r="H154" i="14" s="1"/>
  <c r="D237" i="8" l="1"/>
  <c r="G237" i="8" s="1"/>
  <c r="D244" i="9"/>
  <c r="F244" i="9" s="1"/>
  <c r="N64" i="12"/>
  <c r="N65" i="12"/>
  <c r="B385" i="8"/>
  <c r="F384" i="8"/>
  <c r="J151" i="13"/>
  <c r="AA151" i="13"/>
  <c r="C155" i="14"/>
  <c r="N46" i="12"/>
  <c r="N47" i="12"/>
  <c r="B385" i="14"/>
  <c r="F384" i="14"/>
  <c r="G384" i="9"/>
  <c r="B385" i="9"/>
  <c r="F385" i="14" l="1"/>
  <c r="B386" i="14"/>
  <c r="G385" i="9"/>
  <c r="B386" i="9"/>
  <c r="E244" i="9"/>
  <c r="H244" i="9" s="1"/>
  <c r="C245" i="9" s="1"/>
  <c r="B386" i="8"/>
  <c r="F385" i="8"/>
  <c r="D155" i="14"/>
  <c r="G155" i="14" s="1"/>
  <c r="E237" i="8"/>
  <c r="H237" i="8" s="1"/>
  <c r="C238" i="8" s="1"/>
  <c r="E155" i="14" l="1"/>
  <c r="H155" i="14" s="1"/>
  <c r="F386" i="14"/>
  <c r="B387" i="14"/>
  <c r="I152" i="13"/>
  <c r="L152" i="13" s="1"/>
  <c r="Z152" i="13"/>
  <c r="AC152" i="13" s="1"/>
  <c r="E245" i="9"/>
  <c r="H245" i="9" s="1"/>
  <c r="C246" i="9" s="1"/>
  <c r="D245" i="9"/>
  <c r="F245" i="9" s="1"/>
  <c r="B387" i="9"/>
  <c r="G386" i="9"/>
  <c r="B387" i="8"/>
  <c r="F386" i="8"/>
  <c r="D238" i="8"/>
  <c r="G238" i="8" s="1"/>
  <c r="E238" i="8"/>
  <c r="H238" i="8" s="1"/>
  <c r="C239" i="8" s="1"/>
  <c r="F387" i="14" l="1"/>
  <c r="B388" i="14"/>
  <c r="B388" i="8"/>
  <c r="F387" i="8"/>
  <c r="B388" i="9"/>
  <c r="G387" i="9"/>
  <c r="D239" i="8"/>
  <c r="G239" i="8" s="1"/>
  <c r="E239" i="8"/>
  <c r="H239" i="8" s="1"/>
  <c r="C240" i="8" s="1"/>
  <c r="D246" i="9"/>
  <c r="F246" i="9" s="1"/>
  <c r="E246" i="9"/>
  <c r="H246" i="9" s="1"/>
  <c r="C247" i="9" s="1"/>
  <c r="J152" i="13"/>
  <c r="C156" i="14"/>
  <c r="AA152" i="13"/>
  <c r="D240" i="8" l="1"/>
  <c r="G240" i="8" s="1"/>
  <c r="E240" i="8"/>
  <c r="H240" i="8" s="1"/>
  <c r="C241" i="8" s="1"/>
  <c r="D156" i="14"/>
  <c r="G156" i="14" s="1"/>
  <c r="B389" i="14"/>
  <c r="F388" i="14"/>
  <c r="F388" i="8"/>
  <c r="B389" i="8"/>
  <c r="D247" i="9"/>
  <c r="F247" i="9" s="1"/>
  <c r="E247" i="9"/>
  <c r="H247" i="9" s="1"/>
  <c r="C248" i="9" s="1"/>
  <c r="B389" i="9"/>
  <c r="G388" i="9"/>
  <c r="E156" i="14" l="1"/>
  <c r="H156" i="14" s="1"/>
  <c r="J153" i="13" s="1"/>
  <c r="D248" i="9"/>
  <c r="F248" i="9" s="1"/>
  <c r="AA153" i="13"/>
  <c r="I153" i="13"/>
  <c r="L153" i="13" s="1"/>
  <c r="Z153" i="13"/>
  <c r="AC153" i="13" s="1"/>
  <c r="E241" i="8"/>
  <c r="H241" i="8" s="1"/>
  <c r="C242" i="8" s="1"/>
  <c r="D241" i="8"/>
  <c r="G241" i="8" s="1"/>
  <c r="B390" i="14"/>
  <c r="F389" i="14"/>
  <c r="B390" i="9"/>
  <c r="G389" i="9"/>
  <c r="F389" i="8"/>
  <c r="B390" i="8"/>
  <c r="C157" i="14" l="1"/>
  <c r="D157" i="14" s="1"/>
  <c r="G157" i="14" s="1"/>
  <c r="F390" i="8"/>
  <c r="B391" i="8"/>
  <c r="D242" i="8"/>
  <c r="G242" i="8" s="1"/>
  <c r="G390" i="9"/>
  <c r="B391" i="9"/>
  <c r="B391" i="14"/>
  <c r="F390" i="14"/>
  <c r="E248" i="9"/>
  <c r="H248" i="9" s="1"/>
  <c r="C249" i="9" s="1"/>
  <c r="E157" i="14" l="1"/>
  <c r="H157" i="14" s="1"/>
  <c r="J154" i="13" s="1"/>
  <c r="AA154" i="13"/>
  <c r="B392" i="9"/>
  <c r="G391" i="9"/>
  <c r="I154" i="13"/>
  <c r="L154" i="13" s="1"/>
  <c r="Z154" i="13"/>
  <c r="AC154" i="13" s="1"/>
  <c r="B392" i="14"/>
  <c r="F391" i="14"/>
  <c r="E242" i="8"/>
  <c r="H242" i="8" s="1"/>
  <c r="C243" i="8" s="1"/>
  <c r="B392" i="8"/>
  <c r="F391" i="8"/>
  <c r="D249" i="9"/>
  <c r="F249" i="9" s="1"/>
  <c r="C158" i="14" l="1"/>
  <c r="D158" i="14" s="1"/>
  <c r="G158" i="14" s="1"/>
  <c r="G392" i="9"/>
  <c r="B393" i="9"/>
  <c r="B393" i="8"/>
  <c r="F392" i="8"/>
  <c r="B393" i="14"/>
  <c r="F392" i="14"/>
  <c r="E249" i="9"/>
  <c r="H249" i="9" s="1"/>
  <c r="C250" i="9" s="1"/>
  <c r="D243" i="8"/>
  <c r="G243" i="8" s="1"/>
  <c r="E243" i="8"/>
  <c r="H243" i="8" s="1"/>
  <c r="C244" i="8" s="1"/>
  <c r="E158" i="14" l="1"/>
  <c r="H158" i="14" s="1"/>
  <c r="J155" i="13" s="1"/>
  <c r="B394" i="8"/>
  <c r="F393" i="8"/>
  <c r="E244" i="8"/>
  <c r="H244" i="8" s="1"/>
  <c r="C245" i="8" s="1"/>
  <c r="D244" i="8"/>
  <c r="G244" i="8" s="1"/>
  <c r="D250" i="9"/>
  <c r="F250" i="9" s="1"/>
  <c r="G393" i="9"/>
  <c r="B394" i="9"/>
  <c r="I155" i="13"/>
  <c r="L155" i="13" s="1"/>
  <c r="Z155" i="13"/>
  <c r="AC155" i="13" s="1"/>
  <c r="AA155" i="13"/>
  <c r="C159" i="14"/>
  <c r="F393" i="14"/>
  <c r="B394" i="14"/>
  <c r="D245" i="8" l="1"/>
  <c r="G245" i="8" s="1"/>
  <c r="D159" i="14"/>
  <c r="G159" i="14" s="1"/>
  <c r="B395" i="9"/>
  <c r="G394" i="9"/>
  <c r="E250" i="9"/>
  <c r="H250" i="9" s="1"/>
  <c r="C251" i="9" s="1"/>
  <c r="B395" i="8"/>
  <c r="F394" i="8"/>
  <c r="F394" i="14"/>
  <c r="B395" i="14"/>
  <c r="B396" i="8" l="1"/>
  <c r="F395" i="8"/>
  <c r="B396" i="9"/>
  <c r="G395" i="9"/>
  <c r="E159" i="14"/>
  <c r="H159" i="14" s="1"/>
  <c r="F395" i="14"/>
  <c r="B396" i="14"/>
  <c r="D251" i="9"/>
  <c r="F251" i="9" s="1"/>
  <c r="I156" i="13"/>
  <c r="L156" i="13" s="1"/>
  <c r="Z156" i="13"/>
  <c r="AC156" i="13" s="1"/>
  <c r="E245" i="8"/>
  <c r="H245" i="8" s="1"/>
  <c r="C246" i="8" s="1"/>
  <c r="J156" i="13" l="1"/>
  <c r="C160" i="14"/>
  <c r="AA156" i="13"/>
  <c r="E251" i="9"/>
  <c r="H251" i="9" s="1"/>
  <c r="C252" i="9" s="1"/>
  <c r="F396" i="8"/>
  <c r="B397" i="8"/>
  <c r="G396" i="9"/>
  <c r="B397" i="9"/>
  <c r="B397" i="14"/>
  <c r="F396" i="14"/>
  <c r="D246" i="8"/>
  <c r="G246" i="8" s="1"/>
  <c r="E246" i="8"/>
  <c r="H246" i="8" s="1"/>
  <c r="C247" i="8" s="1"/>
  <c r="D252" i="9" l="1"/>
  <c r="F252" i="9" s="1"/>
  <c r="F397" i="8"/>
  <c r="B398" i="8"/>
  <c r="B398" i="14"/>
  <c r="F397" i="14"/>
  <c r="D160" i="14"/>
  <c r="G160" i="14" s="1"/>
  <c r="D247" i="8"/>
  <c r="G247" i="8" s="1"/>
  <c r="B398" i="9"/>
  <c r="G397" i="9"/>
  <c r="B399" i="9" l="1"/>
  <c r="G398" i="9"/>
  <c r="B399" i="14"/>
  <c r="F398" i="14"/>
  <c r="E160" i="14"/>
  <c r="H160" i="14" s="1"/>
  <c r="E247" i="8"/>
  <c r="H247" i="8" s="1"/>
  <c r="C248" i="8" s="1"/>
  <c r="I157" i="13"/>
  <c r="L157" i="13" s="1"/>
  <c r="Z157" i="13"/>
  <c r="AC157" i="13" s="1"/>
  <c r="F398" i="8"/>
  <c r="B399" i="8"/>
  <c r="E252" i="9"/>
  <c r="H252" i="9" s="1"/>
  <c r="C253" i="9" s="1"/>
  <c r="D248" i="8" l="1"/>
  <c r="G248" i="8" s="1"/>
  <c r="J157" i="13"/>
  <c r="C161" i="14"/>
  <c r="AA157" i="13"/>
  <c r="B400" i="14"/>
  <c r="F399" i="14"/>
  <c r="B400" i="9"/>
  <c r="G399" i="9"/>
  <c r="B400" i="8"/>
  <c r="F399" i="8"/>
  <c r="D253" i="9"/>
  <c r="F253" i="9" s="1"/>
  <c r="E253" i="9"/>
  <c r="H253" i="9" s="1"/>
  <c r="C254" i="9" s="1"/>
  <c r="G400" i="9" l="1"/>
  <c r="B401" i="9"/>
  <c r="D161" i="14"/>
  <c r="G161" i="14" s="1"/>
  <c r="B401" i="14"/>
  <c r="F400" i="14"/>
  <c r="B401" i="8"/>
  <c r="F400" i="8"/>
  <c r="D254" i="9"/>
  <c r="F254" i="9" s="1"/>
  <c r="E248" i="8"/>
  <c r="H248" i="8" s="1"/>
  <c r="C249" i="8" s="1"/>
  <c r="E161" i="14" l="1"/>
  <c r="H161" i="14" s="1"/>
  <c r="J158" i="13" s="1"/>
  <c r="B402" i="8"/>
  <c r="F401" i="8"/>
  <c r="E254" i="9"/>
  <c r="H254" i="9" s="1"/>
  <c r="C255" i="9" s="1"/>
  <c r="G401" i="9"/>
  <c r="B402" i="9"/>
  <c r="I158" i="13"/>
  <c r="L158" i="13" s="1"/>
  <c r="Z158" i="13"/>
  <c r="AC158" i="13" s="1"/>
  <c r="F401" i="14"/>
  <c r="B402" i="14"/>
  <c r="D249" i="8"/>
  <c r="G249" i="8" s="1"/>
  <c r="AA158" i="13" l="1"/>
  <c r="C162" i="14"/>
  <c r="D162" i="14" s="1"/>
  <c r="G162" i="14" s="1"/>
  <c r="D255" i="9"/>
  <c r="F255" i="9" s="1"/>
  <c r="F402" i="14"/>
  <c r="B403" i="14"/>
  <c r="E249" i="8"/>
  <c r="H249" i="8" s="1"/>
  <c r="C250" i="8" s="1"/>
  <c r="B403" i="8"/>
  <c r="F402" i="8"/>
  <c r="B403" i="9"/>
  <c r="G402" i="9"/>
  <c r="B404" i="9" l="1"/>
  <c r="G403" i="9"/>
  <c r="B404" i="8"/>
  <c r="F403" i="8"/>
  <c r="E162" i="14"/>
  <c r="H162" i="14" s="1"/>
  <c r="F403" i="14"/>
  <c r="B404" i="14"/>
  <c r="I159" i="13"/>
  <c r="L159" i="13" s="1"/>
  <c r="Z159" i="13"/>
  <c r="AC159" i="13" s="1"/>
  <c r="D250" i="8"/>
  <c r="G250" i="8" s="1"/>
  <c r="E255" i="9"/>
  <c r="H255" i="9" s="1"/>
  <c r="C256" i="9" s="1"/>
  <c r="J159" i="13" l="1"/>
  <c r="AA159" i="13"/>
  <c r="C163" i="14"/>
  <c r="F404" i="8"/>
  <c r="B405" i="8"/>
  <c r="B405" i="14"/>
  <c r="F404" i="14"/>
  <c r="D256" i="9"/>
  <c r="F256" i="9" s="1"/>
  <c r="E250" i="8"/>
  <c r="H250" i="8" s="1"/>
  <c r="C251" i="8" s="1"/>
  <c r="G404" i="9"/>
  <c r="B405" i="9"/>
  <c r="B406" i="14" l="1"/>
  <c r="F405" i="14"/>
  <c r="E256" i="9"/>
  <c r="H256" i="9" s="1"/>
  <c r="C257" i="9" s="1"/>
  <c r="D163" i="14"/>
  <c r="G163" i="14" s="1"/>
  <c r="F405" i="8"/>
  <c r="B406" i="8"/>
  <c r="D251" i="8"/>
  <c r="G251" i="8" s="1"/>
  <c r="E251" i="8"/>
  <c r="H251" i="8" s="1"/>
  <c r="C252" i="8" s="1"/>
  <c r="B406" i="9"/>
  <c r="G405" i="9"/>
  <c r="D257" i="9" l="1"/>
  <c r="F257" i="9" s="1"/>
  <c r="B407" i="9"/>
  <c r="G406" i="9"/>
  <c r="D252" i="8"/>
  <c r="G252" i="8" s="1"/>
  <c r="F406" i="8"/>
  <c r="B407" i="8"/>
  <c r="I160" i="13"/>
  <c r="L160" i="13" s="1"/>
  <c r="Z160" i="13"/>
  <c r="AC160" i="13" s="1"/>
  <c r="E163" i="14"/>
  <c r="H163" i="14" s="1"/>
  <c r="B407" i="14"/>
  <c r="F406" i="14"/>
  <c r="J160" i="13" l="1"/>
  <c r="AA160" i="13"/>
  <c r="C164" i="14"/>
  <c r="B408" i="14"/>
  <c r="F407" i="14"/>
  <c r="B408" i="9"/>
  <c r="G407" i="9"/>
  <c r="B408" i="8"/>
  <c r="F407" i="8"/>
  <c r="E252" i="8"/>
  <c r="H252" i="8" s="1"/>
  <c r="C253" i="8" s="1"/>
  <c r="E257" i="9"/>
  <c r="H257" i="9" s="1"/>
  <c r="C258" i="9" s="1"/>
  <c r="G408" i="9" l="1"/>
  <c r="B409" i="9"/>
  <c r="D164" i="14"/>
  <c r="G164" i="14" s="1"/>
  <c r="D258" i="9"/>
  <c r="F258" i="9" s="1"/>
  <c r="B409" i="8"/>
  <c r="F408" i="8"/>
  <c r="D253" i="8"/>
  <c r="G253" i="8" s="1"/>
  <c r="E253" i="8"/>
  <c r="H253" i="8" s="1"/>
  <c r="C254" i="8" s="1"/>
  <c r="B409" i="14"/>
  <c r="F408" i="14"/>
  <c r="I161" i="13" l="1"/>
  <c r="L161" i="13" s="1"/>
  <c r="Z161" i="13"/>
  <c r="AC161" i="13" s="1"/>
  <c r="G409" i="9"/>
  <c r="B410" i="9"/>
  <c r="F409" i="14"/>
  <c r="B410" i="14"/>
  <c r="B410" i="8"/>
  <c r="F409" i="8"/>
  <c r="D254" i="8"/>
  <c r="G254" i="8" s="1"/>
  <c r="E258" i="9"/>
  <c r="H258" i="9" s="1"/>
  <c r="C259" i="9" s="1"/>
  <c r="E164" i="14"/>
  <c r="H164" i="14" s="1"/>
  <c r="B411" i="9" l="1"/>
  <c r="G410" i="9"/>
  <c r="E254" i="8"/>
  <c r="H254" i="8" s="1"/>
  <c r="C255" i="8" s="1"/>
  <c r="F410" i="14"/>
  <c r="B411" i="14"/>
  <c r="J161" i="13"/>
  <c r="C165" i="14"/>
  <c r="AA161" i="13"/>
  <c r="D259" i="9"/>
  <c r="F259" i="9" s="1"/>
  <c r="B411" i="8"/>
  <c r="F410" i="8"/>
  <c r="D255" i="8" l="1"/>
  <c r="G255" i="8" s="1"/>
  <c r="E255" i="8"/>
  <c r="H255" i="8" s="1"/>
  <c r="C256" i="8" s="1"/>
  <c r="B412" i="8"/>
  <c r="F411" i="8"/>
  <c r="F411" i="14"/>
  <c r="B412" i="14"/>
  <c r="E259" i="9"/>
  <c r="H259" i="9" s="1"/>
  <c r="C260" i="9" s="1"/>
  <c r="D165" i="14"/>
  <c r="G165" i="14" s="1"/>
  <c r="B412" i="9"/>
  <c r="G411" i="9"/>
  <c r="E165" i="14" l="1"/>
  <c r="H165" i="14" s="1"/>
  <c r="J162" i="13" s="1"/>
  <c r="G412" i="9"/>
  <c r="B413" i="9"/>
  <c r="D256" i="8"/>
  <c r="G256" i="8" s="1"/>
  <c r="E256" i="8"/>
  <c r="H256" i="8" s="1"/>
  <c r="C257" i="8" s="1"/>
  <c r="F412" i="8"/>
  <c r="B413" i="8"/>
  <c r="D260" i="9"/>
  <c r="F260" i="9" s="1"/>
  <c r="E260" i="9"/>
  <c r="H260" i="9" s="1"/>
  <c r="C261" i="9" s="1"/>
  <c r="C166" i="14"/>
  <c r="I162" i="13"/>
  <c r="L162" i="13" s="1"/>
  <c r="Z162" i="13"/>
  <c r="AC162" i="13" s="1"/>
  <c r="B413" i="14"/>
  <c r="F412" i="14"/>
  <c r="AA162" i="13" l="1"/>
  <c r="E257" i="8"/>
  <c r="H257" i="8" s="1"/>
  <c r="C258" i="8" s="1"/>
  <c r="D257" i="8"/>
  <c r="G257" i="8" s="1"/>
  <c r="B414" i="9"/>
  <c r="G413" i="9"/>
  <c r="F413" i="8"/>
  <c r="B414" i="8"/>
  <c r="B414" i="14"/>
  <c r="F413" i="14"/>
  <c r="D166" i="14"/>
  <c r="G166" i="14" s="1"/>
  <c r="D261" i="9"/>
  <c r="F261" i="9" s="1"/>
  <c r="E261" i="9"/>
  <c r="H261" i="9" s="1"/>
  <c r="C262" i="9" s="1"/>
  <c r="E166" i="14" l="1"/>
  <c r="H166" i="14" s="1"/>
  <c r="J163" i="13" s="1"/>
  <c r="B415" i="9"/>
  <c r="G414" i="9"/>
  <c r="AA163" i="13"/>
  <c r="B415" i="14"/>
  <c r="F414" i="14"/>
  <c r="D262" i="9"/>
  <c r="F262" i="9" s="1"/>
  <c r="E262" i="9"/>
  <c r="H262" i="9" s="1"/>
  <c r="C263" i="9" s="1"/>
  <c r="I163" i="13"/>
  <c r="L163" i="13" s="1"/>
  <c r="O44" i="12" s="1"/>
  <c r="Z163" i="13"/>
  <c r="AC163" i="13" s="1"/>
  <c r="O62" i="12" s="1"/>
  <c r="F414" i="8"/>
  <c r="B415" i="8"/>
  <c r="D258" i="8"/>
  <c r="G258" i="8" s="1"/>
  <c r="C167" i="14" l="1"/>
  <c r="D167" i="14" s="1"/>
  <c r="G167" i="14" s="1"/>
  <c r="O46" i="12"/>
  <c r="O47" i="12"/>
  <c r="O64" i="12"/>
  <c r="O65" i="12"/>
  <c r="B416" i="8"/>
  <c r="F415" i="8"/>
  <c r="B416" i="9"/>
  <c r="G415" i="9"/>
  <c r="D263" i="9"/>
  <c r="F263" i="9" s="1"/>
  <c r="E263" i="9"/>
  <c r="H263" i="9" s="1"/>
  <c r="C264" i="9" s="1"/>
  <c r="B416" i="14"/>
  <c r="F415" i="14"/>
  <c r="E258" i="8"/>
  <c r="H258" i="8" s="1"/>
  <c r="C259" i="8" s="1"/>
  <c r="E167" i="14" l="1"/>
  <c r="H167" i="14" s="1"/>
  <c r="J164" i="13" s="1"/>
  <c r="AA164" i="13"/>
  <c r="D259" i="8"/>
  <c r="G259" i="8" s="1"/>
  <c r="E259" i="8"/>
  <c r="H259" i="8" s="1"/>
  <c r="C260" i="8" s="1"/>
  <c r="B417" i="8"/>
  <c r="F416" i="8"/>
  <c r="G416" i="9"/>
  <c r="B417" i="9"/>
  <c r="I164" i="13"/>
  <c r="L164" i="13" s="1"/>
  <c r="Z164" i="13"/>
  <c r="AC164" i="13" s="1"/>
  <c r="D264" i="9"/>
  <c r="F264" i="9" s="1"/>
  <c r="B417" i="14"/>
  <c r="F416" i="14"/>
  <c r="C168" i="14" l="1"/>
  <c r="D168" i="14" s="1"/>
  <c r="G168" i="14" s="1"/>
  <c r="B418" i="8"/>
  <c r="F417" i="8"/>
  <c r="F417" i="14"/>
  <c r="B418" i="14"/>
  <c r="E264" i="9"/>
  <c r="H264" i="9" s="1"/>
  <c r="C265" i="9" s="1"/>
  <c r="D260" i="8"/>
  <c r="G260" i="8" s="1"/>
  <c r="E260" i="8"/>
  <c r="H260" i="8" s="1"/>
  <c r="C261" i="8" s="1"/>
  <c r="G417" i="9"/>
  <c r="B418" i="9"/>
  <c r="F418" i="14" l="1"/>
  <c r="B419" i="14"/>
  <c r="B419" i="8"/>
  <c r="F418" i="8"/>
  <c r="B419" i="9"/>
  <c r="G418" i="9"/>
  <c r="I165" i="13"/>
  <c r="L165" i="13" s="1"/>
  <c r="Z165" i="13"/>
  <c r="AC165" i="13" s="1"/>
  <c r="E265" i="9"/>
  <c r="H265" i="9" s="1"/>
  <c r="C266" i="9" s="1"/>
  <c r="D265" i="9"/>
  <c r="F265" i="9" s="1"/>
  <c r="E168" i="14"/>
  <c r="H168" i="14" s="1"/>
  <c r="D261" i="8"/>
  <c r="G261" i="8" s="1"/>
  <c r="E261" i="8"/>
  <c r="B420" i="9" l="1"/>
  <c r="G419" i="9"/>
  <c r="F419" i="14"/>
  <c r="B420" i="14"/>
  <c r="D266" i="9"/>
  <c r="F266" i="9" s="1"/>
  <c r="B420" i="8"/>
  <c r="F419" i="8"/>
  <c r="H261" i="8"/>
  <c r="C262" i="8" s="1"/>
  <c r="J165" i="13"/>
  <c r="C169" i="14"/>
  <c r="AA165" i="13"/>
  <c r="B421" i="14" l="1"/>
  <c r="F420" i="14"/>
  <c r="D169" i="14"/>
  <c r="G169" i="14" s="1"/>
  <c r="E266" i="9"/>
  <c r="H266" i="9" s="1"/>
  <c r="C267" i="9" s="1"/>
  <c r="D262" i="8"/>
  <c r="G262" i="8" s="1"/>
  <c r="F420" i="8"/>
  <c r="B421" i="8"/>
  <c r="G420" i="9"/>
  <c r="B421" i="9"/>
  <c r="E169" i="14" l="1"/>
  <c r="H169" i="14" s="1"/>
  <c r="J166" i="13" s="1"/>
  <c r="F421" i="8"/>
  <c r="B422" i="8"/>
  <c r="AA166" i="13"/>
  <c r="E262" i="8"/>
  <c r="H262" i="8" s="1"/>
  <c r="C263" i="8" s="1"/>
  <c r="D267" i="9"/>
  <c r="F267" i="9" s="1"/>
  <c r="E267" i="9"/>
  <c r="H267" i="9" s="1"/>
  <c r="C268" i="9" s="1"/>
  <c r="B422" i="9"/>
  <c r="G421" i="9"/>
  <c r="I166" i="13"/>
  <c r="L166" i="13" s="1"/>
  <c r="Z166" i="13"/>
  <c r="AC166" i="13" s="1"/>
  <c r="B422" i="14"/>
  <c r="F421" i="14"/>
  <c r="C170" i="14" l="1"/>
  <c r="F422" i="8"/>
  <c r="B423" i="8"/>
  <c r="B423" i="14"/>
  <c r="F422" i="14"/>
  <c r="D268" i="9"/>
  <c r="F268" i="9" s="1"/>
  <c r="D263" i="8"/>
  <c r="G263" i="8" s="1"/>
  <c r="B423" i="9"/>
  <c r="G422" i="9"/>
  <c r="D170" i="14"/>
  <c r="G170" i="14" s="1"/>
  <c r="B424" i="8" l="1"/>
  <c r="F423" i="8"/>
  <c r="B424" i="9"/>
  <c r="G423" i="9"/>
  <c r="E268" i="9"/>
  <c r="H268" i="9" s="1"/>
  <c r="C269" i="9" s="1"/>
  <c r="I167" i="13"/>
  <c r="L167" i="13" s="1"/>
  <c r="Z167" i="13"/>
  <c r="AC167" i="13" s="1"/>
  <c r="E263" i="8"/>
  <c r="H263" i="8" s="1"/>
  <c r="C264" i="8" s="1"/>
  <c r="E170" i="14"/>
  <c r="H170" i="14" s="1"/>
  <c r="F423" i="14"/>
  <c r="B424" i="14"/>
  <c r="D269" i="9" l="1"/>
  <c r="F269" i="9" s="1"/>
  <c r="E269" i="9"/>
  <c r="H269" i="9" s="1"/>
  <c r="C270" i="9" s="1"/>
  <c r="B425" i="14"/>
  <c r="F424" i="14"/>
  <c r="G424" i="9"/>
  <c r="B425" i="9"/>
  <c r="J167" i="13"/>
  <c r="C171" i="14"/>
  <c r="AA167" i="13"/>
  <c r="D264" i="8"/>
  <c r="G264" i="8" s="1"/>
  <c r="B425" i="8"/>
  <c r="F424" i="8"/>
  <c r="B426" i="8" l="1"/>
  <c r="F425" i="8"/>
  <c r="F425" i="14"/>
  <c r="B426" i="14"/>
  <c r="E264" i="8"/>
  <c r="H264" i="8" s="1"/>
  <c r="C265" i="8" s="1"/>
  <c r="D270" i="9"/>
  <c r="F270" i="9" s="1"/>
  <c r="E270" i="9"/>
  <c r="H270" i="9" s="1"/>
  <c r="C271" i="9" s="1"/>
  <c r="D171" i="14"/>
  <c r="G171" i="14" s="1"/>
  <c r="G425" i="9"/>
  <c r="B426" i="9"/>
  <c r="I168" i="13" l="1"/>
  <c r="L168" i="13" s="1"/>
  <c r="Z168" i="13"/>
  <c r="AC168" i="13" s="1"/>
  <c r="D265" i="8"/>
  <c r="G265" i="8" s="1"/>
  <c r="F426" i="14"/>
  <c r="B427" i="14"/>
  <c r="B427" i="9"/>
  <c r="G426" i="9"/>
  <c r="B427" i="8"/>
  <c r="F426" i="8"/>
  <c r="E171" i="14"/>
  <c r="H171" i="14" s="1"/>
  <c r="D271" i="9"/>
  <c r="F271" i="9" s="1"/>
  <c r="B428" i="9" l="1"/>
  <c r="G427" i="9"/>
  <c r="B428" i="8"/>
  <c r="F427" i="8"/>
  <c r="E271" i="9"/>
  <c r="H271" i="9" s="1"/>
  <c r="C272" i="9" s="1"/>
  <c r="F427" i="14"/>
  <c r="B428" i="14"/>
  <c r="E265" i="8"/>
  <c r="H265" i="8" s="1"/>
  <c r="C266" i="8" s="1"/>
  <c r="J168" i="13"/>
  <c r="C172" i="14"/>
  <c r="AA168" i="13"/>
  <c r="D272" i="9" l="1"/>
  <c r="F272" i="9" s="1"/>
  <c r="B429" i="14"/>
  <c r="F428" i="14"/>
  <c r="F428" i="8"/>
  <c r="B429" i="8"/>
  <c r="D266" i="8"/>
  <c r="G266" i="8" s="1"/>
  <c r="E266" i="8"/>
  <c r="H266" i="8" s="1"/>
  <c r="C267" i="8" s="1"/>
  <c r="D172" i="14"/>
  <c r="G172" i="14" s="1"/>
  <c r="G428" i="9"/>
  <c r="B429" i="9"/>
  <c r="I169" i="13" l="1"/>
  <c r="L169" i="13" s="1"/>
  <c r="Z169" i="13"/>
  <c r="AC169" i="13" s="1"/>
  <c r="E172" i="14"/>
  <c r="H172" i="14" s="1"/>
  <c r="B430" i="9"/>
  <c r="G429" i="9"/>
  <c r="B430" i="14"/>
  <c r="F429" i="14"/>
  <c r="F429" i="8"/>
  <c r="B430" i="8"/>
  <c r="D267" i="8"/>
  <c r="G267" i="8" s="1"/>
  <c r="E272" i="9"/>
  <c r="H272" i="9" s="1"/>
  <c r="C273" i="9" s="1"/>
  <c r="G430" i="9" l="1"/>
  <c r="J169" i="13"/>
  <c r="C173" i="14"/>
  <c r="AA169" i="13"/>
  <c r="F430" i="8"/>
  <c r="F431" i="8" s="1"/>
  <c r="N7" i="8" s="1"/>
  <c r="D273" i="9"/>
  <c r="F273" i="9" s="1"/>
  <c r="F430" i="14"/>
  <c r="F431" i="14" s="1"/>
  <c r="N7" i="14" s="1"/>
  <c r="E267" i="8"/>
  <c r="H267" i="8" s="1"/>
  <c r="C268" i="8" s="1"/>
  <c r="E273" i="9" l="1"/>
  <c r="H273" i="9" s="1"/>
  <c r="C274" i="9" s="1"/>
  <c r="D268" i="8"/>
  <c r="G268" i="8" s="1"/>
  <c r="D173" i="14"/>
  <c r="G173" i="14" s="1"/>
  <c r="G431" i="9"/>
  <c r="N8" i="9" s="1"/>
  <c r="I170" i="13" l="1"/>
  <c r="L170" i="13" s="1"/>
  <c r="Z170" i="13"/>
  <c r="AC170" i="13" s="1"/>
  <c r="E268" i="8"/>
  <c r="H268" i="8" s="1"/>
  <c r="C269" i="8" s="1"/>
  <c r="E173" i="14"/>
  <c r="H173" i="14" s="1"/>
  <c r="D274" i="9"/>
  <c r="F274" i="9" s="1"/>
  <c r="E274" i="9"/>
  <c r="H274" i="9" s="1"/>
  <c r="C275" i="9" s="1"/>
  <c r="J170" i="13" l="1"/>
  <c r="AA170" i="13"/>
  <c r="C174" i="14"/>
  <c r="D269" i="8"/>
  <c r="G269" i="8" s="1"/>
  <c r="D275" i="9"/>
  <c r="F275" i="9" s="1"/>
  <c r="E269" i="8" l="1"/>
  <c r="H269" i="8" s="1"/>
  <c r="C270" i="8" s="1"/>
  <c r="E275" i="9"/>
  <c r="H275" i="9" s="1"/>
  <c r="C276" i="9" s="1"/>
  <c r="D174" i="14"/>
  <c r="G174" i="14" s="1"/>
  <c r="E174" i="14" l="1"/>
  <c r="H174" i="14" s="1"/>
  <c r="I171" i="13"/>
  <c r="L171" i="13" s="1"/>
  <c r="Z171" i="13"/>
  <c r="AC171" i="13" s="1"/>
  <c r="D276" i="9"/>
  <c r="F276" i="9" s="1"/>
  <c r="E276" i="9"/>
  <c r="H276" i="9" s="1"/>
  <c r="C277" i="9" s="1"/>
  <c r="D270" i="8"/>
  <c r="G270" i="8" s="1"/>
  <c r="E270" i="8" l="1"/>
  <c r="H270" i="8" s="1"/>
  <c r="C271" i="8" s="1"/>
  <c r="D277" i="9"/>
  <c r="F277" i="9" s="1"/>
  <c r="J171" i="13"/>
  <c r="C175" i="14"/>
  <c r="AA171" i="13"/>
  <c r="D175" i="14" l="1"/>
  <c r="G175" i="14" s="1"/>
  <c r="E277" i="9"/>
  <c r="H277" i="9" s="1"/>
  <c r="C278" i="9" s="1"/>
  <c r="E271" i="8"/>
  <c r="H271" i="8" s="1"/>
  <c r="C272" i="8" s="1"/>
  <c r="D271" i="8"/>
  <c r="G271" i="8" s="1"/>
  <c r="E175" i="14" l="1"/>
  <c r="H175" i="14" s="1"/>
  <c r="J172" i="13" s="1"/>
  <c r="D272" i="8"/>
  <c r="G272" i="8" s="1"/>
  <c r="E272" i="8"/>
  <c r="H272" i="8" s="1"/>
  <c r="C273" i="8" s="1"/>
  <c r="D278" i="9"/>
  <c r="F278" i="9" s="1"/>
  <c r="E278" i="9"/>
  <c r="H278" i="9" s="1"/>
  <c r="C279" i="9" s="1"/>
  <c r="AA172" i="13"/>
  <c r="I172" i="13"/>
  <c r="L172" i="13" s="1"/>
  <c r="Z172" i="13"/>
  <c r="AC172" i="13" s="1"/>
  <c r="C176" i="14" l="1"/>
  <c r="D176" i="14" s="1"/>
  <c r="G176" i="14" s="1"/>
  <c r="D279" i="9"/>
  <c r="F279" i="9" s="1"/>
  <c r="D273" i="8"/>
  <c r="G273" i="8" s="1"/>
  <c r="I173" i="13" l="1"/>
  <c r="L173" i="13" s="1"/>
  <c r="Z173" i="13"/>
  <c r="AC173" i="13" s="1"/>
  <c r="E273" i="8"/>
  <c r="H273" i="8" s="1"/>
  <c r="C274" i="8" s="1"/>
  <c r="E279" i="9"/>
  <c r="H279" i="9" s="1"/>
  <c r="C280" i="9" s="1"/>
  <c r="E176" i="14"/>
  <c r="H176" i="14" s="1"/>
  <c r="D280" i="9" l="1"/>
  <c r="F280" i="9" s="1"/>
  <c r="J173" i="13"/>
  <c r="AA173" i="13"/>
  <c r="C177" i="14"/>
  <c r="D274" i="8"/>
  <c r="G274" i="8" s="1"/>
  <c r="D177" i="14" l="1"/>
  <c r="G177" i="14" s="1"/>
  <c r="E274" i="8"/>
  <c r="H274" i="8" s="1"/>
  <c r="C275" i="8" s="1"/>
  <c r="E280" i="9"/>
  <c r="H280" i="9" s="1"/>
  <c r="C281" i="9" s="1"/>
  <c r="D275" i="8" l="1"/>
  <c r="G275" i="8" s="1"/>
  <c r="E275" i="8"/>
  <c r="H275" i="8" s="1"/>
  <c r="C276" i="8" s="1"/>
  <c r="D281" i="9"/>
  <c r="F281" i="9" s="1"/>
  <c r="I174" i="13"/>
  <c r="L174" i="13" s="1"/>
  <c r="Z174" i="13"/>
  <c r="AC174" i="13" s="1"/>
  <c r="E177" i="14"/>
  <c r="H177" i="14" s="1"/>
  <c r="J174" i="13" l="1"/>
  <c r="C178" i="14"/>
  <c r="AA174" i="13"/>
  <c r="D276" i="8"/>
  <c r="G276" i="8" s="1"/>
  <c r="E281" i="9"/>
  <c r="H281" i="9" s="1"/>
  <c r="C282" i="9" s="1"/>
  <c r="D282" i="9" l="1"/>
  <c r="F282" i="9" s="1"/>
  <c r="E282" i="9"/>
  <c r="H282" i="9" s="1"/>
  <c r="C283" i="9" s="1"/>
  <c r="E276" i="8"/>
  <c r="H276" i="8" s="1"/>
  <c r="C277" i="8" s="1"/>
  <c r="D178" i="14"/>
  <c r="G178" i="14" s="1"/>
  <c r="E178" i="14" l="1"/>
  <c r="H178" i="14" s="1"/>
  <c r="J175" i="13" s="1"/>
  <c r="I175" i="13"/>
  <c r="L175" i="13" s="1"/>
  <c r="P44" i="12" s="1"/>
  <c r="Z175" i="13"/>
  <c r="AC175" i="13" s="1"/>
  <c r="P62" i="12" s="1"/>
  <c r="D283" i="9"/>
  <c r="F283" i="9" s="1"/>
  <c r="C179" i="14"/>
  <c r="AA175" i="13"/>
  <c r="E277" i="8"/>
  <c r="H277" i="8" s="1"/>
  <c r="C278" i="8" s="1"/>
  <c r="D277" i="8"/>
  <c r="G277" i="8" s="1"/>
  <c r="D278" i="8" l="1"/>
  <c r="G278" i="8" s="1"/>
  <c r="D179" i="14"/>
  <c r="G179" i="14" s="1"/>
  <c r="E283" i="9"/>
  <c r="H283" i="9" s="1"/>
  <c r="C284" i="9" s="1"/>
  <c r="P64" i="12"/>
  <c r="P65" i="12"/>
  <c r="P46" i="12"/>
  <c r="P47" i="12"/>
  <c r="E179" i="14" l="1"/>
  <c r="H179" i="14" s="1"/>
  <c r="J176" i="13" s="1"/>
  <c r="D284" i="9"/>
  <c r="F284" i="9" s="1"/>
  <c r="I176" i="13"/>
  <c r="L176" i="13" s="1"/>
  <c r="Z176" i="13"/>
  <c r="AC176" i="13" s="1"/>
  <c r="AA176" i="13"/>
  <c r="E278" i="8"/>
  <c r="H278" i="8" s="1"/>
  <c r="C279" i="8" s="1"/>
  <c r="C180" i="14" l="1"/>
  <c r="D279" i="8"/>
  <c r="G279" i="8" s="1"/>
  <c r="D180" i="14"/>
  <c r="G180" i="14" s="1"/>
  <c r="E284" i="9"/>
  <c r="H284" i="9" s="1"/>
  <c r="C285" i="9" s="1"/>
  <c r="E180" i="14" l="1"/>
  <c r="H180" i="14" s="1"/>
  <c r="E279" i="8"/>
  <c r="H279" i="8" s="1"/>
  <c r="C280" i="8" s="1"/>
  <c r="D285" i="9"/>
  <c r="F285" i="9" s="1"/>
  <c r="I177" i="13"/>
  <c r="L177" i="13" s="1"/>
  <c r="Z177" i="13"/>
  <c r="AC177" i="13" s="1"/>
  <c r="E285" i="9" l="1"/>
  <c r="H285" i="9" s="1"/>
  <c r="C286" i="9" s="1"/>
  <c r="D280" i="8"/>
  <c r="G280" i="8" s="1"/>
  <c r="J177" i="13"/>
  <c r="C181" i="14"/>
  <c r="AA177" i="13"/>
  <c r="D181" i="14" l="1"/>
  <c r="G181" i="14" s="1"/>
  <c r="E280" i="8"/>
  <c r="H280" i="8" s="1"/>
  <c r="C281" i="8" s="1"/>
  <c r="E286" i="9"/>
  <c r="H286" i="9" s="1"/>
  <c r="C287" i="9" s="1"/>
  <c r="D286" i="9"/>
  <c r="F286" i="9" s="1"/>
  <c r="E287" i="9" l="1"/>
  <c r="H287" i="9" s="1"/>
  <c r="C288" i="9" s="1"/>
  <c r="D287" i="9"/>
  <c r="F287" i="9" s="1"/>
  <c r="I178" i="13"/>
  <c r="L178" i="13" s="1"/>
  <c r="Z178" i="13"/>
  <c r="AC178" i="13" s="1"/>
  <c r="D281" i="8"/>
  <c r="G281" i="8" s="1"/>
  <c r="E181" i="14"/>
  <c r="H181" i="14" s="1"/>
  <c r="J178" i="13" l="1"/>
  <c r="C182" i="14"/>
  <c r="AA178" i="13"/>
  <c r="E281" i="8"/>
  <c r="H281" i="8" s="1"/>
  <c r="C282" i="8" s="1"/>
  <c r="D288" i="9"/>
  <c r="F288" i="9" s="1"/>
  <c r="E288" i="9" l="1"/>
  <c r="H288" i="9" s="1"/>
  <c r="C289" i="9" s="1"/>
  <c r="D282" i="8"/>
  <c r="G282" i="8" s="1"/>
  <c r="D182" i="14"/>
  <c r="G182" i="14" s="1"/>
  <c r="E182" i="14" l="1"/>
  <c r="H182" i="14" s="1"/>
  <c r="J179" i="13" s="1"/>
  <c r="E282" i="8"/>
  <c r="H282" i="8" s="1"/>
  <c r="C283" i="8" s="1"/>
  <c r="I179" i="13"/>
  <c r="L179" i="13" s="1"/>
  <c r="Z179" i="13"/>
  <c r="AC179" i="13" s="1"/>
  <c r="D289" i="9"/>
  <c r="F289" i="9" s="1"/>
  <c r="E289" i="9"/>
  <c r="H289" i="9" s="1"/>
  <c r="C290" i="9" s="1"/>
  <c r="AA179" i="13" l="1"/>
  <c r="C183" i="14"/>
  <c r="D183" i="14" s="1"/>
  <c r="G183" i="14" s="1"/>
  <c r="D290" i="9"/>
  <c r="F290" i="9" s="1"/>
  <c r="D283" i="8"/>
  <c r="G283" i="8" s="1"/>
  <c r="E283" i="8"/>
  <c r="H283" i="8" s="1"/>
  <c r="C284" i="8" s="1"/>
  <c r="E183" i="14" l="1"/>
  <c r="H183" i="14" s="1"/>
  <c r="J180" i="13" s="1"/>
  <c r="AA180" i="13"/>
  <c r="D284" i="8"/>
  <c r="G284" i="8" s="1"/>
  <c r="I180" i="13"/>
  <c r="L180" i="13" s="1"/>
  <c r="Z180" i="13"/>
  <c r="AC180" i="13" s="1"/>
  <c r="E290" i="9"/>
  <c r="H290" i="9" s="1"/>
  <c r="C291" i="9" s="1"/>
  <c r="C184" i="14" l="1"/>
  <c r="D184" i="14" s="1"/>
  <c r="G184" i="14" s="1"/>
  <c r="D291" i="9"/>
  <c r="F291" i="9" s="1"/>
  <c r="E284" i="8"/>
  <c r="H284" i="8" s="1"/>
  <c r="C285" i="8" s="1"/>
  <c r="D285" i="8" l="1"/>
  <c r="G285" i="8" s="1"/>
  <c r="I181" i="13"/>
  <c r="L181" i="13" s="1"/>
  <c r="Z181" i="13"/>
  <c r="AC181" i="13" s="1"/>
  <c r="E184" i="14"/>
  <c r="H184" i="14" s="1"/>
  <c r="E291" i="9"/>
  <c r="H291" i="9" s="1"/>
  <c r="C292" i="9" s="1"/>
  <c r="J181" i="13" l="1"/>
  <c r="C185" i="14"/>
  <c r="AA181" i="13"/>
  <c r="D292" i="9"/>
  <c r="F292" i="9" s="1"/>
  <c r="E285" i="8"/>
  <c r="H285" i="8" s="1"/>
  <c r="C286" i="8" s="1"/>
  <c r="D286" i="8" l="1"/>
  <c r="G286" i="8" s="1"/>
  <c r="E286" i="8"/>
  <c r="H286" i="8" s="1"/>
  <c r="C287" i="8" s="1"/>
  <c r="E292" i="9"/>
  <c r="H292" i="9" s="1"/>
  <c r="C293" i="9" s="1"/>
  <c r="D185" i="14"/>
  <c r="G185" i="14" s="1"/>
  <c r="D293" i="9" l="1"/>
  <c r="F293" i="9" s="1"/>
  <c r="E293" i="9"/>
  <c r="H293" i="9" s="1"/>
  <c r="C294" i="9" s="1"/>
  <c r="I182" i="13"/>
  <c r="L182" i="13" s="1"/>
  <c r="Z182" i="13"/>
  <c r="AC182" i="13" s="1"/>
  <c r="E185" i="14"/>
  <c r="H185" i="14" s="1"/>
  <c r="D287" i="8"/>
  <c r="G287" i="8" s="1"/>
  <c r="E287" i="8" l="1"/>
  <c r="H287" i="8" s="1"/>
  <c r="C288" i="8" s="1"/>
  <c r="J182" i="13"/>
  <c r="C186" i="14"/>
  <c r="AA182" i="13"/>
  <c r="D294" i="9"/>
  <c r="F294" i="9" s="1"/>
  <c r="E294" i="9" l="1"/>
  <c r="H294" i="9" s="1"/>
  <c r="C295" i="9" s="1"/>
  <c r="D186" i="14"/>
  <c r="G186" i="14" s="1"/>
  <c r="D288" i="8"/>
  <c r="G288" i="8" s="1"/>
  <c r="E288" i="8" l="1"/>
  <c r="H288" i="8" s="1"/>
  <c r="C289" i="8" s="1"/>
  <c r="I183" i="13"/>
  <c r="L183" i="13" s="1"/>
  <c r="Z183" i="13"/>
  <c r="AC183" i="13" s="1"/>
  <c r="E186" i="14"/>
  <c r="H186" i="14" s="1"/>
  <c r="D295" i="9"/>
  <c r="F295" i="9" s="1"/>
  <c r="E295" i="9"/>
  <c r="H295" i="9" s="1"/>
  <c r="C296" i="9" s="1"/>
  <c r="D296" i="9" l="1"/>
  <c r="F296" i="9" s="1"/>
  <c r="E296" i="9"/>
  <c r="H296" i="9" s="1"/>
  <c r="C297" i="9" s="1"/>
  <c r="J183" i="13"/>
  <c r="AA183" i="13"/>
  <c r="C187" i="14"/>
  <c r="D289" i="8"/>
  <c r="G289" i="8" s="1"/>
  <c r="E289" i="8" l="1"/>
  <c r="H289" i="8" s="1"/>
  <c r="C290" i="8" s="1"/>
  <c r="D187" i="14"/>
  <c r="G187" i="14" s="1"/>
  <c r="D297" i="9"/>
  <c r="F297" i="9" s="1"/>
  <c r="E297" i="9"/>
  <c r="H297" i="9" s="1"/>
  <c r="C298" i="9" s="1"/>
  <c r="E187" i="14" l="1"/>
  <c r="H187" i="14" s="1"/>
  <c r="J184" i="13"/>
  <c r="C188" i="14"/>
  <c r="AA184" i="13"/>
  <c r="D298" i="9"/>
  <c r="F298" i="9" s="1"/>
  <c r="I184" i="13"/>
  <c r="L184" i="13" s="1"/>
  <c r="Z184" i="13"/>
  <c r="AC184" i="13" s="1"/>
  <c r="D290" i="8"/>
  <c r="G290" i="8" s="1"/>
  <c r="D188" i="14" l="1"/>
  <c r="G188" i="14" s="1"/>
  <c r="E298" i="9"/>
  <c r="H298" i="9" s="1"/>
  <c r="C299" i="9" s="1"/>
  <c r="E290" i="8"/>
  <c r="H290" i="8" s="1"/>
  <c r="C291" i="8" s="1"/>
  <c r="D291" i="8" l="1"/>
  <c r="G291" i="8" s="1"/>
  <c r="E188" i="14"/>
  <c r="H188" i="14" s="1"/>
  <c r="E299" i="9"/>
  <c r="H299" i="9" s="1"/>
  <c r="C300" i="9" s="1"/>
  <c r="D299" i="9"/>
  <c r="F299" i="9" s="1"/>
  <c r="I185" i="13"/>
  <c r="L185" i="13" s="1"/>
  <c r="Z185" i="13"/>
  <c r="AC185" i="13" s="1"/>
  <c r="D300" i="9" l="1"/>
  <c r="F300" i="9" s="1"/>
  <c r="E300" i="9"/>
  <c r="H300" i="9" s="1"/>
  <c r="C301" i="9" s="1"/>
  <c r="J185" i="13"/>
  <c r="C189" i="14"/>
  <c r="AA185" i="13"/>
  <c r="E291" i="8"/>
  <c r="H291" i="8" s="1"/>
  <c r="C292" i="8" s="1"/>
  <c r="D292" i="8" l="1"/>
  <c r="G292" i="8" s="1"/>
  <c r="D189" i="14"/>
  <c r="G189" i="14" s="1"/>
  <c r="D301" i="9"/>
  <c r="F301" i="9" s="1"/>
  <c r="E301" i="9"/>
  <c r="H301" i="9" s="1"/>
  <c r="C302" i="9" s="1"/>
  <c r="D302" i="9" l="1"/>
  <c r="F302" i="9" s="1"/>
  <c r="E302" i="9"/>
  <c r="H302" i="9" s="1"/>
  <c r="C303" i="9" s="1"/>
  <c r="E189" i="14"/>
  <c r="H189" i="14" s="1"/>
  <c r="I186" i="13"/>
  <c r="L186" i="13" s="1"/>
  <c r="Z186" i="13"/>
  <c r="AC186" i="13" s="1"/>
  <c r="E292" i="8"/>
  <c r="H292" i="8" s="1"/>
  <c r="C293" i="8" s="1"/>
  <c r="D293" i="8" l="1"/>
  <c r="G293" i="8" s="1"/>
  <c r="J186" i="13"/>
  <c r="C190" i="14"/>
  <c r="AA186" i="13"/>
  <c r="D303" i="9"/>
  <c r="F303" i="9" s="1"/>
  <c r="E303" i="9"/>
  <c r="H303" i="9" s="1"/>
  <c r="C304" i="9" s="1"/>
  <c r="D304" i="9" l="1"/>
  <c r="F304" i="9" s="1"/>
  <c r="E304" i="9"/>
  <c r="H304" i="9" s="1"/>
  <c r="C305" i="9" s="1"/>
  <c r="D190" i="14"/>
  <c r="G190" i="14" s="1"/>
  <c r="E293" i="8"/>
  <c r="H293" i="8" s="1"/>
  <c r="C294" i="8" s="1"/>
  <c r="D294" i="8" l="1"/>
  <c r="G294" i="8" s="1"/>
  <c r="I187" i="13"/>
  <c r="L187" i="13" s="1"/>
  <c r="Q44" i="12" s="1"/>
  <c r="Z187" i="13"/>
  <c r="AC187" i="13" s="1"/>
  <c r="Q62" i="12" s="1"/>
  <c r="E190" i="14"/>
  <c r="H190" i="14" s="1"/>
  <c r="E305" i="9"/>
  <c r="H305" i="9" s="1"/>
  <c r="C306" i="9" s="1"/>
  <c r="D305" i="9"/>
  <c r="F305" i="9" s="1"/>
  <c r="D306" i="9" l="1"/>
  <c r="F306" i="9" s="1"/>
  <c r="E306" i="9"/>
  <c r="H306" i="9" s="1"/>
  <c r="C307" i="9" s="1"/>
  <c r="J187" i="13"/>
  <c r="AA187" i="13"/>
  <c r="C191" i="14"/>
  <c r="Q65" i="12"/>
  <c r="Q47" i="12"/>
  <c r="E294" i="8"/>
  <c r="H294" i="8" s="1"/>
  <c r="C295" i="8" s="1"/>
  <c r="Q63" i="12" l="1"/>
  <c r="Q64" i="12" s="1"/>
  <c r="Q45" i="12"/>
  <c r="Q46" i="12" s="1"/>
  <c r="D307" i="9"/>
  <c r="F307" i="9" s="1"/>
  <c r="D191" i="14"/>
  <c r="G191" i="14" s="1"/>
  <c r="D295" i="8"/>
  <c r="G295" i="8" s="1"/>
  <c r="E295" i="8"/>
  <c r="H295" i="8" s="1"/>
  <c r="C296" i="8" s="1"/>
  <c r="D296" i="8" l="1"/>
  <c r="G296" i="8" s="1"/>
  <c r="E191" i="14"/>
  <c r="H191" i="14" s="1"/>
  <c r="C192" i="14" s="1"/>
  <c r="E307" i="9"/>
  <c r="H307" i="9" s="1"/>
  <c r="C308" i="9" s="1"/>
  <c r="T43" i="12"/>
  <c r="T44" i="12"/>
  <c r="T45" i="12"/>
  <c r="T46" i="12" a="1"/>
  <c r="T46" i="12" s="1"/>
  <c r="T47" i="12" s="1"/>
  <c r="T61" i="12"/>
  <c r="T64" i="12" a="1"/>
  <c r="T64" i="12" s="1"/>
  <c r="T65" i="12" s="1"/>
  <c r="T63" i="12"/>
  <c r="T62" i="12"/>
  <c r="D308" i="9" l="1"/>
  <c r="F308" i="9" s="1"/>
  <c r="D192" i="14"/>
  <c r="G192" i="14" s="1"/>
  <c r="E296" i="8"/>
  <c r="H296" i="8" s="1"/>
  <c r="C297" i="8" s="1"/>
  <c r="E192" i="14" l="1"/>
  <c r="H192" i="14" s="1"/>
  <c r="C193" i="14" s="1"/>
  <c r="D297" i="8"/>
  <c r="G297" i="8" s="1"/>
  <c r="E308" i="9"/>
  <c r="H308" i="9" s="1"/>
  <c r="C309" i="9" s="1"/>
  <c r="D309" i="9" l="1"/>
  <c r="F309" i="9" s="1"/>
  <c r="E297" i="8"/>
  <c r="H297" i="8" s="1"/>
  <c r="C298" i="8" s="1"/>
  <c r="D193" i="14"/>
  <c r="G193" i="14" s="1"/>
  <c r="E193" i="14" l="1"/>
  <c r="H193" i="14" s="1"/>
  <c r="C194" i="14" s="1"/>
  <c r="D298" i="8"/>
  <c r="G298" i="8" s="1"/>
  <c r="E309" i="9"/>
  <c r="H309" i="9" s="1"/>
  <c r="C310" i="9" s="1"/>
  <c r="D310" i="9" l="1"/>
  <c r="F310" i="9" s="1"/>
  <c r="E298" i="8"/>
  <c r="H298" i="8" s="1"/>
  <c r="C299" i="8" s="1"/>
  <c r="D194" i="14"/>
  <c r="G194" i="14" s="1"/>
  <c r="E194" i="14" l="1"/>
  <c r="H194" i="14" s="1"/>
  <c r="C195" i="14" s="1"/>
  <c r="D299" i="8"/>
  <c r="G299" i="8" s="1"/>
  <c r="E299" i="8"/>
  <c r="H299" i="8" s="1"/>
  <c r="C300" i="8" s="1"/>
  <c r="E310" i="9"/>
  <c r="H310" i="9" s="1"/>
  <c r="C311" i="9" s="1"/>
  <c r="D311" i="9" l="1"/>
  <c r="F311" i="9" s="1"/>
  <c r="D300" i="8"/>
  <c r="G300" i="8" s="1"/>
  <c r="E300" i="8"/>
  <c r="H300" i="8" s="1"/>
  <c r="C301" i="8" s="1"/>
  <c r="D195" i="14"/>
  <c r="G195" i="14" s="1"/>
  <c r="E195" i="14" l="1"/>
  <c r="H195" i="14" s="1"/>
  <c r="C196" i="14" s="1"/>
  <c r="D196" i="14" s="1"/>
  <c r="G196" i="14" s="1"/>
  <c r="D301" i="8"/>
  <c r="G301" i="8" s="1"/>
  <c r="E301" i="8"/>
  <c r="H301" i="8" s="1"/>
  <c r="C302" i="8" s="1"/>
  <c r="E311" i="9"/>
  <c r="H311" i="9" s="1"/>
  <c r="C312" i="9" s="1"/>
  <c r="E196" i="14" l="1"/>
  <c r="H196" i="14" s="1"/>
  <c r="C197" i="14" s="1"/>
  <c r="D197" i="14" s="1"/>
  <c r="G197" i="14" s="1"/>
  <c r="D312" i="9"/>
  <c r="F312" i="9" s="1"/>
  <c r="E302" i="8"/>
  <c r="H302" i="8" s="1"/>
  <c r="C303" i="8" s="1"/>
  <c r="D302" i="8"/>
  <c r="G302" i="8" s="1"/>
  <c r="D303" i="8" l="1"/>
  <c r="G303" i="8" s="1"/>
  <c r="E197" i="14"/>
  <c r="H197" i="14" s="1"/>
  <c r="C198" i="14" s="1"/>
  <c r="E312" i="9"/>
  <c r="H312" i="9" s="1"/>
  <c r="C313" i="9" s="1"/>
  <c r="D313" i="9" l="1"/>
  <c r="F313" i="9" s="1"/>
  <c r="D198" i="14"/>
  <c r="G198" i="14" s="1"/>
  <c r="E303" i="8"/>
  <c r="H303" i="8" s="1"/>
  <c r="C304" i="8" s="1"/>
  <c r="E198" i="14" l="1"/>
  <c r="H198" i="14" s="1"/>
  <c r="C199" i="14" s="1"/>
  <c r="D199" i="14" s="1"/>
  <c r="G199" i="14" s="1"/>
  <c r="D304" i="8"/>
  <c r="G304" i="8" s="1"/>
  <c r="E313" i="9"/>
  <c r="H313" i="9" s="1"/>
  <c r="C314" i="9" s="1"/>
  <c r="E199" i="14" l="1"/>
  <c r="H199" i="14" s="1"/>
  <c r="C200" i="14" s="1"/>
  <c r="D200" i="14" s="1"/>
  <c r="G200" i="14" s="1"/>
  <c r="D314" i="9"/>
  <c r="F314" i="9" s="1"/>
  <c r="E304" i="8"/>
  <c r="H304" i="8" s="1"/>
  <c r="C305" i="8" s="1"/>
  <c r="E200" i="14" l="1"/>
  <c r="H200" i="14" s="1"/>
  <c r="C201" i="14" s="1"/>
  <c r="D201" i="14" s="1"/>
  <c r="G201" i="14" s="1"/>
  <c r="D305" i="8"/>
  <c r="G305" i="8" s="1"/>
  <c r="E305" i="8"/>
  <c r="H305" i="8" s="1"/>
  <c r="C306" i="8" s="1"/>
  <c r="E314" i="9"/>
  <c r="H314" i="9" s="1"/>
  <c r="C315" i="9" s="1"/>
  <c r="E201" i="14" l="1"/>
  <c r="H201" i="14" s="1"/>
  <c r="C202" i="14" s="1"/>
  <c r="D202" i="14" s="1"/>
  <c r="G202" i="14" s="1"/>
  <c r="D315" i="9"/>
  <c r="F315" i="9" s="1"/>
  <c r="D306" i="8"/>
  <c r="G306" i="8" s="1"/>
  <c r="E306" i="8"/>
  <c r="H306" i="8" s="1"/>
  <c r="C307" i="8" s="1"/>
  <c r="E202" i="14" l="1"/>
  <c r="H202" i="14" s="1"/>
  <c r="C203" i="14" s="1"/>
  <c r="D203" i="14" s="1"/>
  <c r="G203" i="14" s="1"/>
  <c r="E307" i="8"/>
  <c r="H307" i="8" s="1"/>
  <c r="C308" i="8" s="1"/>
  <c r="D307" i="8"/>
  <c r="G307" i="8" s="1"/>
  <c r="E315" i="9"/>
  <c r="H315" i="9" s="1"/>
  <c r="C316" i="9" s="1"/>
  <c r="D316" i="9" l="1"/>
  <c r="F316" i="9" s="1"/>
  <c r="D308" i="8"/>
  <c r="G308" i="8" s="1"/>
  <c r="E203" i="14"/>
  <c r="H203" i="14" s="1"/>
  <c r="C204" i="14" s="1"/>
  <c r="D204" i="14" l="1"/>
  <c r="G204" i="14" s="1"/>
  <c r="E308" i="8"/>
  <c r="H308" i="8" s="1"/>
  <c r="C309" i="8" s="1"/>
  <c r="E316" i="9"/>
  <c r="H316" i="9" s="1"/>
  <c r="C317" i="9" s="1"/>
  <c r="D309" i="8" l="1"/>
  <c r="G309" i="8" s="1"/>
  <c r="E309" i="8"/>
  <c r="H309" i="8" s="1"/>
  <c r="C310" i="8" s="1"/>
  <c r="D317" i="9"/>
  <c r="F317" i="9" s="1"/>
  <c r="E204" i="14"/>
  <c r="H204" i="14" s="1"/>
  <c r="C205" i="14" s="1"/>
  <c r="D205" i="14" l="1"/>
  <c r="G205" i="14" s="1"/>
  <c r="D310" i="8"/>
  <c r="G310" i="8" s="1"/>
  <c r="E310" i="8"/>
  <c r="H310" i="8" s="1"/>
  <c r="C311" i="8" s="1"/>
  <c r="E317" i="9"/>
  <c r="H317" i="9" s="1"/>
  <c r="C318" i="9" s="1"/>
  <c r="D311" i="8" l="1"/>
  <c r="G311" i="8" s="1"/>
  <c r="D318" i="9"/>
  <c r="F318" i="9" s="1"/>
  <c r="E205" i="14"/>
  <c r="H205" i="14" s="1"/>
  <c r="C206" i="14" s="1"/>
  <c r="D206" i="14" l="1"/>
  <c r="G206" i="14" s="1"/>
  <c r="E318" i="9"/>
  <c r="H318" i="9" s="1"/>
  <c r="C319" i="9" s="1"/>
  <c r="E311" i="8"/>
  <c r="H311" i="8" s="1"/>
  <c r="C312" i="8" s="1"/>
  <c r="D312" i="8" l="1"/>
  <c r="G312" i="8" s="1"/>
  <c r="D319" i="9"/>
  <c r="F319" i="9" s="1"/>
  <c r="E319" i="9"/>
  <c r="H319" i="9" s="1"/>
  <c r="C320" i="9" s="1"/>
  <c r="E206" i="14"/>
  <c r="H206" i="14" s="1"/>
  <c r="C207" i="14" s="1"/>
  <c r="D207" i="14" l="1"/>
  <c r="G207" i="14" s="1"/>
  <c r="D320" i="9"/>
  <c r="F320" i="9" s="1"/>
  <c r="E312" i="8"/>
  <c r="H312" i="8" s="1"/>
  <c r="C313" i="8" s="1"/>
  <c r="D313" i="8" l="1"/>
  <c r="G313" i="8" s="1"/>
  <c r="E313" i="8"/>
  <c r="H313" i="8" s="1"/>
  <c r="C314" i="8" s="1"/>
  <c r="E320" i="9"/>
  <c r="H320" i="9" s="1"/>
  <c r="C321" i="9" s="1"/>
  <c r="E207" i="14"/>
  <c r="H207" i="14" s="1"/>
  <c r="C208" i="14" s="1"/>
  <c r="D208" i="14" l="1"/>
  <c r="G208" i="14" s="1"/>
  <c r="E321" i="9"/>
  <c r="H321" i="9" s="1"/>
  <c r="C322" i="9" s="1"/>
  <c r="D321" i="9"/>
  <c r="F321" i="9" s="1"/>
  <c r="D314" i="8"/>
  <c r="G314" i="8" s="1"/>
  <c r="E208" i="14" l="1"/>
  <c r="H208" i="14" s="1"/>
  <c r="C209" i="14" s="1"/>
  <c r="D209" i="14" s="1"/>
  <c r="G209" i="14" s="1"/>
  <c r="E314" i="8"/>
  <c r="H314" i="8" s="1"/>
  <c r="C315" i="8" s="1"/>
  <c r="D322" i="9"/>
  <c r="F322" i="9" s="1"/>
  <c r="E322" i="9"/>
  <c r="H322" i="9" s="1"/>
  <c r="C323" i="9" s="1"/>
  <c r="D323" i="9" l="1"/>
  <c r="F323" i="9" s="1"/>
  <c r="E209" i="14"/>
  <c r="H209" i="14" s="1"/>
  <c r="C210" i="14" s="1"/>
  <c r="D315" i="8"/>
  <c r="G315" i="8" s="1"/>
  <c r="E315" i="8" l="1"/>
  <c r="H315" i="8" s="1"/>
  <c r="C316" i="8" s="1"/>
  <c r="D210" i="14"/>
  <c r="G210" i="14" s="1"/>
  <c r="E323" i="9"/>
  <c r="H323" i="9" s="1"/>
  <c r="C324" i="9" s="1"/>
  <c r="D324" i="9" l="1"/>
  <c r="F324" i="9" s="1"/>
  <c r="E210" i="14"/>
  <c r="H210" i="14" s="1"/>
  <c r="C211" i="14" s="1"/>
  <c r="D316" i="8"/>
  <c r="G316" i="8" s="1"/>
  <c r="E316" i="8"/>
  <c r="H316" i="8" s="1"/>
  <c r="C317" i="8" s="1"/>
  <c r="D317" i="8" l="1"/>
  <c r="G317" i="8" s="1"/>
  <c r="E317" i="8"/>
  <c r="H317" i="8" s="1"/>
  <c r="C318" i="8" s="1"/>
  <c r="D211" i="14"/>
  <c r="G211" i="14" s="1"/>
  <c r="E324" i="9"/>
  <c r="H324" i="9" s="1"/>
  <c r="C325" i="9" s="1"/>
  <c r="D325" i="9" l="1"/>
  <c r="F325" i="9" s="1"/>
  <c r="E211" i="14"/>
  <c r="H211" i="14" s="1"/>
  <c r="C212" i="14" s="1"/>
  <c r="D318" i="8"/>
  <c r="G318" i="8" s="1"/>
  <c r="D212" i="14" l="1"/>
  <c r="G212" i="14" s="1"/>
  <c r="E318" i="8"/>
  <c r="H318" i="8" s="1"/>
  <c r="C319" i="8" s="1"/>
  <c r="E325" i="9"/>
  <c r="H325" i="9" s="1"/>
  <c r="C326" i="9" s="1"/>
  <c r="D326" i="9" l="1"/>
  <c r="F326" i="9" s="1"/>
  <c r="D319" i="8"/>
  <c r="G319" i="8" s="1"/>
  <c r="E212" i="14"/>
  <c r="H212" i="14" s="1"/>
  <c r="C213" i="14" s="1"/>
  <c r="D213" i="14" l="1"/>
  <c r="G213" i="14" s="1"/>
  <c r="E319" i="8"/>
  <c r="H319" i="8" s="1"/>
  <c r="C320" i="8" s="1"/>
  <c r="E326" i="9"/>
  <c r="H326" i="9" s="1"/>
  <c r="C327" i="9" s="1"/>
  <c r="E213" i="14" l="1"/>
  <c r="H213" i="14" s="1"/>
  <c r="C214" i="14" s="1"/>
  <c r="D214" i="14" s="1"/>
  <c r="G214" i="14" s="1"/>
  <c r="D320" i="8"/>
  <c r="G320" i="8" s="1"/>
  <c r="D327" i="9"/>
  <c r="F327" i="9" s="1"/>
  <c r="E327" i="9"/>
  <c r="H327" i="9" s="1"/>
  <c r="C328" i="9" s="1"/>
  <c r="D328" i="9" l="1"/>
  <c r="F328" i="9" s="1"/>
  <c r="E328" i="9"/>
  <c r="H328" i="9" s="1"/>
  <c r="C329" i="9" s="1"/>
  <c r="E214" i="14"/>
  <c r="H214" i="14" s="1"/>
  <c r="C215" i="14" s="1"/>
  <c r="E320" i="8"/>
  <c r="H320" i="8" s="1"/>
  <c r="C321" i="8" s="1"/>
  <c r="D321" i="8" l="1"/>
  <c r="G321" i="8" s="1"/>
  <c r="D329" i="9"/>
  <c r="F329" i="9" s="1"/>
  <c r="D215" i="14"/>
  <c r="G215" i="14" s="1"/>
  <c r="E215" i="14" l="1"/>
  <c r="H215" i="14" s="1"/>
  <c r="C216" i="14" s="1"/>
  <c r="E329" i="9"/>
  <c r="H329" i="9" s="1"/>
  <c r="C330" i="9" s="1"/>
  <c r="E321" i="8"/>
  <c r="H321" i="8" s="1"/>
  <c r="C322" i="8" s="1"/>
  <c r="D330" i="9" l="1"/>
  <c r="F330" i="9" s="1"/>
  <c r="E330" i="9"/>
  <c r="H330" i="9" s="1"/>
  <c r="C331" i="9" s="1"/>
  <c r="D322" i="8"/>
  <c r="G322" i="8" s="1"/>
  <c r="D216" i="14"/>
  <c r="G216" i="14" s="1"/>
  <c r="E216" i="14" l="1"/>
  <c r="H216" i="14" s="1"/>
  <c r="C217" i="14" s="1"/>
  <c r="D331" i="9"/>
  <c r="F331" i="9" s="1"/>
  <c r="E322" i="8"/>
  <c r="H322" i="8" s="1"/>
  <c r="C323" i="8" s="1"/>
  <c r="D323" i="8" l="1"/>
  <c r="G323" i="8" s="1"/>
  <c r="E331" i="9"/>
  <c r="H331" i="9" s="1"/>
  <c r="C332" i="9" s="1"/>
  <c r="D217" i="14"/>
  <c r="G217" i="14" s="1"/>
  <c r="E217" i="14" l="1"/>
  <c r="H217" i="14" s="1"/>
  <c r="C218" i="14" s="1"/>
  <c r="D332" i="9"/>
  <c r="F332" i="9" s="1"/>
  <c r="E323" i="8"/>
  <c r="H323" i="8" s="1"/>
  <c r="C324" i="8" s="1"/>
  <c r="D324" i="8" l="1"/>
  <c r="G324" i="8" s="1"/>
  <c r="E332" i="9"/>
  <c r="H332" i="9" s="1"/>
  <c r="C333" i="9" s="1"/>
  <c r="D218" i="14"/>
  <c r="G218" i="14" s="1"/>
  <c r="D333" i="9" l="1"/>
  <c r="F333" i="9" s="1"/>
  <c r="E218" i="14"/>
  <c r="H218" i="14" s="1"/>
  <c r="C219" i="14" s="1"/>
  <c r="E324" i="8"/>
  <c r="H324" i="8" s="1"/>
  <c r="C325" i="8" s="1"/>
  <c r="D325" i="8" l="1"/>
  <c r="G325" i="8" s="1"/>
  <c r="D219" i="14"/>
  <c r="G219" i="14" s="1"/>
  <c r="E333" i="9"/>
  <c r="H333" i="9" s="1"/>
  <c r="C334" i="9" s="1"/>
  <c r="D334" i="9" l="1"/>
  <c r="F334" i="9" s="1"/>
  <c r="E334" i="9"/>
  <c r="H334" i="9" s="1"/>
  <c r="C335" i="9" s="1"/>
  <c r="E219" i="14"/>
  <c r="H219" i="14" s="1"/>
  <c r="C220" i="14" s="1"/>
  <c r="E325" i="8"/>
  <c r="H325" i="8" s="1"/>
  <c r="C326" i="8" s="1"/>
  <c r="D220" i="14" l="1"/>
  <c r="G220" i="14" s="1"/>
  <c r="D326" i="8"/>
  <c r="G326" i="8" s="1"/>
  <c r="D335" i="9"/>
  <c r="F335" i="9" s="1"/>
  <c r="E335" i="9" l="1"/>
  <c r="H335" i="9" s="1"/>
  <c r="C336" i="9" s="1"/>
  <c r="E326" i="8"/>
  <c r="H326" i="8" s="1"/>
  <c r="C327" i="8" s="1"/>
  <c r="E220" i="14"/>
  <c r="H220" i="14" s="1"/>
  <c r="C221" i="14" s="1"/>
  <c r="D327" i="8" l="1"/>
  <c r="G327" i="8" s="1"/>
  <c r="D221" i="14"/>
  <c r="G221" i="14" s="1"/>
  <c r="D336" i="9"/>
  <c r="F336" i="9" s="1"/>
  <c r="E336" i="9"/>
  <c r="H336" i="9" s="1"/>
  <c r="C337" i="9" s="1"/>
  <c r="E221" i="14" l="1"/>
  <c r="H221" i="14" s="1"/>
  <c r="C222" i="14" s="1"/>
  <c r="D222" i="14" s="1"/>
  <c r="G222" i="14" s="1"/>
  <c r="D337" i="9"/>
  <c r="F337" i="9" s="1"/>
  <c r="E327" i="8"/>
  <c r="H327" i="8" s="1"/>
  <c r="C328" i="8" s="1"/>
  <c r="E222" i="14" l="1"/>
  <c r="H222" i="14" s="1"/>
  <c r="C223" i="14" s="1"/>
  <c r="D223" i="14" s="1"/>
  <c r="G223" i="14" s="1"/>
  <c r="D328" i="8"/>
  <c r="G328" i="8" s="1"/>
  <c r="E337" i="9"/>
  <c r="H337" i="9" s="1"/>
  <c r="C338" i="9" s="1"/>
  <c r="E328" i="8" l="1"/>
  <c r="H328" i="8" s="1"/>
  <c r="C329" i="8" s="1"/>
  <c r="D338" i="9"/>
  <c r="F338" i="9" s="1"/>
  <c r="E223" i="14"/>
  <c r="H223" i="14" s="1"/>
  <c r="C224" i="14" s="1"/>
  <c r="D224" i="14" l="1"/>
  <c r="G224" i="14" s="1"/>
  <c r="E338" i="9"/>
  <c r="H338" i="9" s="1"/>
  <c r="C339" i="9" s="1"/>
  <c r="E329" i="8"/>
  <c r="H329" i="8" s="1"/>
  <c r="C330" i="8" s="1"/>
  <c r="D329" i="8"/>
  <c r="G329" i="8" s="1"/>
  <c r="D330" i="8" l="1"/>
  <c r="G330" i="8" s="1"/>
  <c r="D339" i="9"/>
  <c r="F339" i="9" s="1"/>
  <c r="E224" i="14"/>
  <c r="H224" i="14" s="1"/>
  <c r="C225" i="14" s="1"/>
  <c r="D225" i="14" l="1"/>
  <c r="G225" i="14" s="1"/>
  <c r="E339" i="9"/>
  <c r="H339" i="9" s="1"/>
  <c r="C340" i="9" s="1"/>
  <c r="E330" i="8"/>
  <c r="H330" i="8" s="1"/>
  <c r="C331" i="8" s="1"/>
  <c r="D331" i="8" l="1"/>
  <c r="G331" i="8" s="1"/>
  <c r="D340" i="9"/>
  <c r="F340" i="9" s="1"/>
  <c r="E225" i="14"/>
  <c r="H225" i="14" s="1"/>
  <c r="C226" i="14" s="1"/>
  <c r="D226" i="14" l="1"/>
  <c r="G226" i="14" s="1"/>
  <c r="E340" i="9"/>
  <c r="H340" i="9" s="1"/>
  <c r="C341" i="9" s="1"/>
  <c r="E331" i="8"/>
  <c r="H331" i="8" s="1"/>
  <c r="C332" i="8" s="1"/>
  <c r="D332" i="8" l="1"/>
  <c r="G332" i="8" s="1"/>
  <c r="D341" i="9"/>
  <c r="F341" i="9" s="1"/>
  <c r="E226" i="14"/>
  <c r="H226" i="14" s="1"/>
  <c r="C227" i="14" s="1"/>
  <c r="D227" i="14" l="1"/>
  <c r="G227" i="14" s="1"/>
  <c r="E341" i="9"/>
  <c r="H341" i="9" s="1"/>
  <c r="C342" i="9" s="1"/>
  <c r="E332" i="8"/>
  <c r="H332" i="8" s="1"/>
  <c r="C333" i="8" s="1"/>
  <c r="D342" i="9" l="1"/>
  <c r="F342" i="9" s="1"/>
  <c r="D333" i="8"/>
  <c r="G333" i="8" s="1"/>
  <c r="E227" i="14"/>
  <c r="H227" i="14" s="1"/>
  <c r="C228" i="14" s="1"/>
  <c r="D228" i="14" l="1"/>
  <c r="G228" i="14" s="1"/>
  <c r="E333" i="8"/>
  <c r="H333" i="8" s="1"/>
  <c r="C334" i="8" s="1"/>
  <c r="E342" i="9"/>
  <c r="H342" i="9" s="1"/>
  <c r="C343" i="9" s="1"/>
  <c r="E228" i="14" l="1"/>
  <c r="H228" i="14" s="1"/>
  <c r="C229" i="14" s="1"/>
  <c r="D229" i="14" s="1"/>
  <c r="G229" i="14" s="1"/>
  <c r="D334" i="8"/>
  <c r="G334" i="8" s="1"/>
  <c r="D343" i="9"/>
  <c r="F343" i="9" s="1"/>
  <c r="E229" i="14" l="1"/>
  <c r="H229" i="14" s="1"/>
  <c r="C230" i="14" s="1"/>
  <c r="E343" i="9"/>
  <c r="H343" i="9" s="1"/>
  <c r="C344" i="9" s="1"/>
  <c r="E334" i="8"/>
  <c r="H334" i="8" s="1"/>
  <c r="C335" i="8" s="1"/>
  <c r="D335" i="8" l="1"/>
  <c r="G335" i="8" s="1"/>
  <c r="D344" i="9"/>
  <c r="F344" i="9" s="1"/>
  <c r="E344" i="9"/>
  <c r="H344" i="9" s="1"/>
  <c r="C345" i="9" s="1"/>
  <c r="D230" i="14"/>
  <c r="G230" i="14" s="1"/>
  <c r="E230" i="14" l="1"/>
  <c r="H230" i="14" s="1"/>
  <c r="C231" i="14" s="1"/>
  <c r="D345" i="9"/>
  <c r="F345" i="9" s="1"/>
  <c r="E335" i="8"/>
  <c r="H335" i="8" s="1"/>
  <c r="C336" i="8" s="1"/>
  <c r="D336" i="8" l="1"/>
  <c r="G336" i="8" s="1"/>
  <c r="E345" i="9"/>
  <c r="H345" i="9" s="1"/>
  <c r="C346" i="9" s="1"/>
  <c r="D231" i="14"/>
  <c r="G231" i="14" s="1"/>
  <c r="D346" i="9" l="1"/>
  <c r="F346" i="9" s="1"/>
  <c r="E346" i="9"/>
  <c r="H346" i="9" s="1"/>
  <c r="C347" i="9" s="1"/>
  <c r="E231" i="14"/>
  <c r="H231" i="14" s="1"/>
  <c r="C232" i="14" s="1"/>
  <c r="E336" i="8"/>
  <c r="H336" i="8" s="1"/>
  <c r="C337" i="8" s="1"/>
  <c r="D347" i="9" l="1"/>
  <c r="F347" i="9" s="1"/>
  <c r="E347" i="9"/>
  <c r="H347" i="9" s="1"/>
  <c r="C348" i="9" s="1"/>
  <c r="D337" i="8"/>
  <c r="G337" i="8" s="1"/>
  <c r="D232" i="14"/>
  <c r="G232" i="14" s="1"/>
  <c r="E232" i="14" l="1"/>
  <c r="H232" i="14" s="1"/>
  <c r="C233" i="14" s="1"/>
  <c r="D233" i="14" s="1"/>
  <c r="G233" i="14" s="1"/>
  <c r="D348" i="9"/>
  <c r="F348" i="9" s="1"/>
  <c r="E337" i="8"/>
  <c r="H337" i="8" s="1"/>
  <c r="C338" i="8" s="1"/>
  <c r="D338" i="8" l="1"/>
  <c r="G338" i="8" s="1"/>
  <c r="E348" i="9"/>
  <c r="H348" i="9" s="1"/>
  <c r="C349" i="9" s="1"/>
  <c r="E233" i="14"/>
  <c r="H233" i="14" s="1"/>
  <c r="C234" i="14" s="1"/>
  <c r="D349" i="9" l="1"/>
  <c r="F349" i="9" s="1"/>
  <c r="D234" i="14"/>
  <c r="G234" i="14" s="1"/>
  <c r="E338" i="8"/>
  <c r="H338" i="8" s="1"/>
  <c r="C339" i="8" s="1"/>
  <c r="D339" i="8" l="1"/>
  <c r="G339" i="8" s="1"/>
  <c r="E234" i="14"/>
  <c r="H234" i="14" s="1"/>
  <c r="C235" i="14" s="1"/>
  <c r="E349" i="9"/>
  <c r="H349" i="9" s="1"/>
  <c r="C350" i="9" s="1"/>
  <c r="D350" i="9" l="1"/>
  <c r="F350" i="9" s="1"/>
  <c r="D235" i="14"/>
  <c r="G235" i="14" s="1"/>
  <c r="E339" i="8"/>
  <c r="H339" i="8" s="1"/>
  <c r="C340" i="8" s="1"/>
  <c r="D340" i="8" l="1"/>
  <c r="G340" i="8" s="1"/>
  <c r="E235" i="14"/>
  <c r="H235" i="14" s="1"/>
  <c r="C236" i="14" s="1"/>
  <c r="E350" i="9"/>
  <c r="H350" i="9" s="1"/>
  <c r="C351" i="9" s="1"/>
  <c r="D351" i="9" l="1"/>
  <c r="F351" i="9" s="1"/>
  <c r="D236" i="14"/>
  <c r="G236" i="14" s="1"/>
  <c r="E340" i="8"/>
  <c r="H340" i="8" s="1"/>
  <c r="C341" i="8" s="1"/>
  <c r="D341" i="8" l="1"/>
  <c r="G341" i="8" s="1"/>
  <c r="E236" i="14"/>
  <c r="H236" i="14" s="1"/>
  <c r="C237" i="14" s="1"/>
  <c r="E351" i="9"/>
  <c r="H351" i="9" s="1"/>
  <c r="C352" i="9" s="1"/>
  <c r="D352" i="9" l="1"/>
  <c r="F352" i="9" s="1"/>
  <c r="D237" i="14"/>
  <c r="G237" i="14" s="1"/>
  <c r="E341" i="8"/>
  <c r="H341" i="8" s="1"/>
  <c r="C342" i="8" s="1"/>
  <c r="E237" i="14" l="1"/>
  <c r="H237" i="14" s="1"/>
  <c r="C238" i="14" s="1"/>
  <c r="D238" i="14" s="1"/>
  <c r="G238" i="14" s="1"/>
  <c r="D342" i="8"/>
  <c r="G342" i="8" s="1"/>
  <c r="E342" i="8"/>
  <c r="H342" i="8" s="1"/>
  <c r="C343" i="8" s="1"/>
  <c r="E352" i="9"/>
  <c r="H352" i="9" s="1"/>
  <c r="C353" i="9" s="1"/>
  <c r="E238" i="14" l="1"/>
  <c r="H238" i="14" s="1"/>
  <c r="C239" i="14" s="1"/>
  <c r="D353" i="9"/>
  <c r="F353" i="9" s="1"/>
  <c r="D343" i="8"/>
  <c r="G343" i="8" s="1"/>
  <c r="E343" i="8"/>
  <c r="H343" i="8" s="1"/>
  <c r="C344" i="8" s="1"/>
  <c r="E353" i="9" l="1"/>
  <c r="H353" i="9" s="1"/>
  <c r="C354" i="9" s="1"/>
  <c r="D344" i="8"/>
  <c r="G344" i="8" s="1"/>
  <c r="D239" i="14"/>
  <c r="G239" i="14" s="1"/>
  <c r="E239" i="14" l="1"/>
  <c r="H239" i="14" s="1"/>
  <c r="C240" i="14" s="1"/>
  <c r="E344" i="8"/>
  <c r="H344" i="8" s="1"/>
  <c r="C345" i="8" s="1"/>
  <c r="D354" i="9"/>
  <c r="F354" i="9" s="1"/>
  <c r="E354" i="9"/>
  <c r="H354" i="9" s="1"/>
  <c r="C355" i="9" s="1"/>
  <c r="D355" i="9" l="1"/>
  <c r="F355" i="9" s="1"/>
  <c r="D345" i="8"/>
  <c r="G345" i="8" s="1"/>
  <c r="D240" i="14"/>
  <c r="G240" i="14" s="1"/>
  <c r="E240" i="14" l="1"/>
  <c r="H240" i="14" s="1"/>
  <c r="C241" i="14" s="1"/>
  <c r="E345" i="8"/>
  <c r="H345" i="8" s="1"/>
  <c r="C346" i="8" s="1"/>
  <c r="E355" i="9"/>
  <c r="H355" i="9" s="1"/>
  <c r="C356" i="9" s="1"/>
  <c r="D356" i="9" l="1"/>
  <c r="F356" i="9" s="1"/>
  <c r="D346" i="8"/>
  <c r="G346" i="8" s="1"/>
  <c r="D241" i="14"/>
  <c r="G241" i="14" s="1"/>
  <c r="E241" i="14" l="1"/>
  <c r="H241" i="14" s="1"/>
  <c r="C242" i="14" s="1"/>
  <c r="D242" i="14" s="1"/>
  <c r="G242" i="14" s="1"/>
  <c r="E346" i="8"/>
  <c r="H346" i="8" s="1"/>
  <c r="C347" i="8" s="1"/>
  <c r="E356" i="9"/>
  <c r="H356" i="9" s="1"/>
  <c r="C357" i="9" s="1"/>
  <c r="D347" i="8" l="1"/>
  <c r="G347" i="8" s="1"/>
  <c r="E347" i="8"/>
  <c r="H347" i="8" s="1"/>
  <c r="C348" i="8" s="1"/>
  <c r="D357" i="9"/>
  <c r="F357" i="9" s="1"/>
  <c r="E357" i="9"/>
  <c r="H357" i="9" s="1"/>
  <c r="C358" i="9" s="1"/>
  <c r="E242" i="14"/>
  <c r="H242" i="14" s="1"/>
  <c r="C243" i="14" s="1"/>
  <c r="D358" i="9" l="1"/>
  <c r="F358" i="9" s="1"/>
  <c r="D243" i="14"/>
  <c r="G243" i="14" s="1"/>
  <c r="D348" i="8"/>
  <c r="G348" i="8" s="1"/>
  <c r="E348" i="8" l="1"/>
  <c r="H348" i="8" s="1"/>
  <c r="C349" i="8" s="1"/>
  <c r="E243" i="14"/>
  <c r="H243" i="14" s="1"/>
  <c r="C244" i="14" s="1"/>
  <c r="E358" i="9"/>
  <c r="H358" i="9" s="1"/>
  <c r="C359" i="9" s="1"/>
  <c r="D359" i="9" l="1"/>
  <c r="F359" i="9" s="1"/>
  <c r="D244" i="14"/>
  <c r="G244" i="14" s="1"/>
  <c r="D349" i="8"/>
  <c r="G349" i="8" s="1"/>
  <c r="E349" i="8" l="1"/>
  <c r="H349" i="8" s="1"/>
  <c r="C350" i="8" s="1"/>
  <c r="E244" i="14"/>
  <c r="H244" i="14" s="1"/>
  <c r="C245" i="14" s="1"/>
  <c r="E359" i="9"/>
  <c r="H359" i="9" s="1"/>
  <c r="C360" i="9" s="1"/>
  <c r="D360" i="9" l="1"/>
  <c r="F360" i="9" s="1"/>
  <c r="E360" i="9"/>
  <c r="H360" i="9" s="1"/>
  <c r="C361" i="9" s="1"/>
  <c r="D245" i="14"/>
  <c r="G245" i="14" s="1"/>
  <c r="D350" i="8"/>
  <c r="G350" i="8" s="1"/>
  <c r="E350" i="8" l="1"/>
  <c r="H350" i="8" s="1"/>
  <c r="C351" i="8" s="1"/>
  <c r="E245" i="14"/>
  <c r="H245" i="14" s="1"/>
  <c r="C246" i="14" s="1"/>
  <c r="D361" i="9"/>
  <c r="F361" i="9" s="1"/>
  <c r="E361" i="9" l="1"/>
  <c r="H361" i="9" s="1"/>
  <c r="C362" i="9" s="1"/>
  <c r="D246" i="14"/>
  <c r="G246" i="14" s="1"/>
  <c r="D351" i="8"/>
  <c r="G351" i="8" s="1"/>
  <c r="E351" i="8"/>
  <c r="H351" i="8" s="1"/>
  <c r="C352" i="8" s="1"/>
  <c r="D352" i="8" l="1"/>
  <c r="G352" i="8" s="1"/>
  <c r="E246" i="14"/>
  <c r="H246" i="14" s="1"/>
  <c r="C247" i="14" s="1"/>
  <c r="D362" i="9"/>
  <c r="F362" i="9" s="1"/>
  <c r="E362" i="9"/>
  <c r="H362" i="9" s="1"/>
  <c r="C363" i="9" s="1"/>
  <c r="D363" i="9" l="1"/>
  <c r="F363" i="9" s="1"/>
  <c r="D247" i="14"/>
  <c r="G247" i="14" s="1"/>
  <c r="E352" i="8"/>
  <c r="H352" i="8" s="1"/>
  <c r="C353" i="8" s="1"/>
  <c r="D353" i="8" l="1"/>
  <c r="G353" i="8" s="1"/>
  <c r="E247" i="14"/>
  <c r="H247" i="14" s="1"/>
  <c r="C248" i="14" s="1"/>
  <c r="E363" i="9"/>
  <c r="H363" i="9" s="1"/>
  <c r="C364" i="9" s="1"/>
  <c r="D364" i="9" l="1"/>
  <c r="F364" i="9" s="1"/>
  <c r="D248" i="14"/>
  <c r="G248" i="14" s="1"/>
  <c r="E353" i="8"/>
  <c r="H353" i="8" s="1"/>
  <c r="C354" i="8" s="1"/>
  <c r="E248" i="14" l="1"/>
  <c r="H248" i="14" s="1"/>
  <c r="C249" i="14" s="1"/>
  <c r="D249" i="14" s="1"/>
  <c r="G249" i="14" s="1"/>
  <c r="D354" i="8"/>
  <c r="G354" i="8" s="1"/>
  <c r="E364" i="9"/>
  <c r="H364" i="9" s="1"/>
  <c r="C365" i="9" s="1"/>
  <c r="E249" i="14" l="1"/>
  <c r="H249" i="14" s="1"/>
  <c r="C250" i="14" s="1"/>
  <c r="D250" i="14" s="1"/>
  <c r="G250" i="14" s="1"/>
  <c r="D365" i="9"/>
  <c r="F365" i="9" s="1"/>
  <c r="E354" i="8"/>
  <c r="H354" i="8" s="1"/>
  <c r="C355" i="8" s="1"/>
  <c r="D355" i="8" l="1"/>
  <c r="G355" i="8" s="1"/>
  <c r="E355" i="8"/>
  <c r="H355" i="8" s="1"/>
  <c r="C356" i="8" s="1"/>
  <c r="E250" i="14"/>
  <c r="H250" i="14" s="1"/>
  <c r="C251" i="14" s="1"/>
  <c r="E365" i="9"/>
  <c r="H365" i="9" s="1"/>
  <c r="C366" i="9" s="1"/>
  <c r="D366" i="9" l="1"/>
  <c r="F366" i="9" s="1"/>
  <c r="D251" i="14"/>
  <c r="G251" i="14" s="1"/>
  <c r="D356" i="8"/>
  <c r="G356" i="8" s="1"/>
  <c r="E356" i="8" l="1"/>
  <c r="H356" i="8" s="1"/>
  <c r="C357" i="8" s="1"/>
  <c r="E251" i="14"/>
  <c r="H251" i="14" s="1"/>
  <c r="C252" i="14" s="1"/>
  <c r="E366" i="9"/>
  <c r="H366" i="9" s="1"/>
  <c r="C367" i="9" s="1"/>
  <c r="D367" i="9" l="1"/>
  <c r="F367" i="9" s="1"/>
  <c r="D252" i="14"/>
  <c r="G252" i="14" s="1"/>
  <c r="D357" i="8"/>
  <c r="G357" i="8" s="1"/>
  <c r="E357" i="8" l="1"/>
  <c r="H357" i="8" s="1"/>
  <c r="C358" i="8" s="1"/>
  <c r="E252" i="14"/>
  <c r="H252" i="14" s="1"/>
  <c r="C253" i="14" s="1"/>
  <c r="E367" i="9"/>
  <c r="H367" i="9" s="1"/>
  <c r="C368" i="9" s="1"/>
  <c r="D368" i="9" l="1"/>
  <c r="F368" i="9" s="1"/>
  <c r="E368" i="9"/>
  <c r="H368" i="9" s="1"/>
  <c r="C369" i="9" s="1"/>
  <c r="D253" i="14"/>
  <c r="G253" i="14" s="1"/>
  <c r="D358" i="8"/>
  <c r="G358" i="8" s="1"/>
  <c r="E253" i="14" l="1"/>
  <c r="H253" i="14" s="1"/>
  <c r="C254" i="14" s="1"/>
  <c r="D254" i="14" s="1"/>
  <c r="G254" i="14" s="1"/>
  <c r="E358" i="8"/>
  <c r="H358" i="8" s="1"/>
  <c r="C359" i="8" s="1"/>
  <c r="D369" i="9"/>
  <c r="F369" i="9" s="1"/>
  <c r="E254" i="14" l="1"/>
  <c r="H254" i="14" s="1"/>
  <c r="C255" i="14" s="1"/>
  <c r="D255" i="14" s="1"/>
  <c r="G255" i="14" s="1"/>
  <c r="E369" i="9"/>
  <c r="H369" i="9" s="1"/>
  <c r="C370" i="9" s="1"/>
  <c r="D359" i="8"/>
  <c r="G359" i="8" s="1"/>
  <c r="E255" i="14" l="1"/>
  <c r="H255" i="14" s="1"/>
  <c r="C256" i="14" s="1"/>
  <c r="D370" i="9"/>
  <c r="F370" i="9" s="1"/>
  <c r="E359" i="8"/>
  <c r="H359" i="8" s="1"/>
  <c r="C360" i="8" s="1"/>
  <c r="D256" i="14" l="1"/>
  <c r="G256" i="14" s="1"/>
  <c r="D360" i="8"/>
  <c r="G360" i="8" s="1"/>
  <c r="E360" i="8"/>
  <c r="H360" i="8" s="1"/>
  <c r="C361" i="8" s="1"/>
  <c r="E370" i="9"/>
  <c r="H370" i="9" s="1"/>
  <c r="C371" i="9" s="1"/>
  <c r="E256" i="14" l="1"/>
  <c r="H256" i="14" s="1"/>
  <c r="C257" i="14" s="1"/>
  <c r="D257" i="14" s="1"/>
  <c r="G257" i="14" s="1"/>
  <c r="D371" i="9"/>
  <c r="F371" i="9" s="1"/>
  <c r="D361" i="8"/>
  <c r="G361" i="8" s="1"/>
  <c r="E257" i="14" l="1"/>
  <c r="H257" i="14" s="1"/>
  <c r="C258" i="14" s="1"/>
  <c r="D258" i="14" s="1"/>
  <c r="G258" i="14" s="1"/>
  <c r="E361" i="8"/>
  <c r="H361" i="8" s="1"/>
  <c r="C362" i="8" s="1"/>
  <c r="E371" i="9"/>
  <c r="H371" i="9" s="1"/>
  <c r="C372" i="9" s="1"/>
  <c r="E258" i="14" l="1"/>
  <c r="H258" i="14" s="1"/>
  <c r="C259" i="14" s="1"/>
  <c r="D372" i="9"/>
  <c r="F372" i="9" s="1"/>
  <c r="D362" i="8"/>
  <c r="G362" i="8" s="1"/>
  <c r="E362" i="8" l="1"/>
  <c r="H362" i="8" s="1"/>
  <c r="C363" i="8" s="1"/>
  <c r="E372" i="9"/>
  <c r="H372" i="9" s="1"/>
  <c r="C373" i="9" s="1"/>
  <c r="D259" i="14"/>
  <c r="G259" i="14" s="1"/>
  <c r="E259" i="14" l="1"/>
  <c r="H259" i="14" s="1"/>
  <c r="C260" i="14" s="1"/>
  <c r="D373" i="9"/>
  <c r="F373" i="9" s="1"/>
  <c r="E373" i="9"/>
  <c r="H373" i="9" s="1"/>
  <c r="C374" i="9" s="1"/>
  <c r="D363" i="8"/>
  <c r="G363" i="8" s="1"/>
  <c r="E363" i="8"/>
  <c r="H363" i="8" s="1"/>
  <c r="C364" i="8" s="1"/>
  <c r="D374" i="9" l="1"/>
  <c r="F374" i="9" s="1"/>
  <c r="D364" i="8"/>
  <c r="G364" i="8" s="1"/>
  <c r="E364" i="8"/>
  <c r="H364" i="8" s="1"/>
  <c r="C365" i="8" s="1"/>
  <c r="D260" i="14"/>
  <c r="G260" i="14" s="1"/>
  <c r="E260" i="14" l="1"/>
  <c r="H260" i="14" s="1"/>
  <c r="C261" i="14" s="1"/>
  <c r="D261" i="14" s="1"/>
  <c r="G261" i="14" s="1"/>
  <c r="D365" i="8"/>
  <c r="G365" i="8" s="1"/>
  <c r="E365" i="8"/>
  <c r="H365" i="8" s="1"/>
  <c r="C366" i="8" s="1"/>
  <c r="E374" i="9"/>
  <c r="H374" i="9" s="1"/>
  <c r="C375" i="9" s="1"/>
  <c r="E261" i="14" l="1"/>
  <c r="H261" i="14" s="1"/>
  <c r="C262" i="14" s="1"/>
  <c r="D262" i="14" s="1"/>
  <c r="G262" i="14" s="1"/>
  <c r="D375" i="9"/>
  <c r="F375" i="9" s="1"/>
  <c r="E375" i="9"/>
  <c r="H375" i="9" s="1"/>
  <c r="C376" i="9" s="1"/>
  <c r="E366" i="8"/>
  <c r="H366" i="8" s="1"/>
  <c r="C367" i="8" s="1"/>
  <c r="D366" i="8"/>
  <c r="G366" i="8" s="1"/>
  <c r="D367" i="8" l="1"/>
  <c r="G367" i="8" s="1"/>
  <c r="E367" i="8"/>
  <c r="H367" i="8" s="1"/>
  <c r="C368" i="8" s="1"/>
  <c r="E262" i="14"/>
  <c r="H262" i="14" s="1"/>
  <c r="C263" i="14" s="1"/>
  <c r="D376" i="9"/>
  <c r="F376" i="9" s="1"/>
  <c r="E376" i="9"/>
  <c r="H376" i="9" s="1"/>
  <c r="C377" i="9" s="1"/>
  <c r="D263" i="14" l="1"/>
  <c r="G263" i="14" s="1"/>
  <c r="D377" i="9"/>
  <c r="F377" i="9" s="1"/>
  <c r="D368" i="8"/>
  <c r="G368" i="8" s="1"/>
  <c r="E368" i="8"/>
  <c r="H368" i="8" s="1"/>
  <c r="C369" i="8" s="1"/>
  <c r="D369" i="8" l="1"/>
  <c r="G369" i="8" s="1"/>
  <c r="E369" i="8"/>
  <c r="H369" i="8" s="1"/>
  <c r="C370" i="8" s="1"/>
  <c r="E377" i="9"/>
  <c r="H377" i="9" s="1"/>
  <c r="C378" i="9" s="1"/>
  <c r="E263" i="14"/>
  <c r="H263" i="14" s="1"/>
  <c r="C264" i="14" s="1"/>
  <c r="D264" i="14" l="1"/>
  <c r="G264" i="14" s="1"/>
  <c r="D378" i="9"/>
  <c r="F378" i="9" s="1"/>
  <c r="D370" i="8"/>
  <c r="G370" i="8" s="1"/>
  <c r="E370" i="8" l="1"/>
  <c r="H370" i="8" s="1"/>
  <c r="C371" i="8" s="1"/>
  <c r="E378" i="9"/>
  <c r="H378" i="9" s="1"/>
  <c r="C379" i="9" s="1"/>
  <c r="E264" i="14"/>
  <c r="H264" i="14" s="1"/>
  <c r="C265" i="14" s="1"/>
  <c r="D379" i="9" l="1"/>
  <c r="F379" i="9" s="1"/>
  <c r="D265" i="14"/>
  <c r="G265" i="14" s="1"/>
  <c r="D371" i="8"/>
  <c r="G371" i="8" s="1"/>
  <c r="E371" i="8"/>
  <c r="H371" i="8" s="1"/>
  <c r="C372" i="8" s="1"/>
  <c r="D372" i="8" l="1"/>
  <c r="G372" i="8" s="1"/>
  <c r="E265" i="14"/>
  <c r="H265" i="14" s="1"/>
  <c r="C266" i="14" s="1"/>
  <c r="E379" i="9"/>
  <c r="H379" i="9" s="1"/>
  <c r="C380" i="9" s="1"/>
  <c r="D380" i="9" l="1"/>
  <c r="F380" i="9" s="1"/>
  <c r="E380" i="9"/>
  <c r="H380" i="9" s="1"/>
  <c r="C381" i="9" s="1"/>
  <c r="D266" i="14"/>
  <c r="G266" i="14" s="1"/>
  <c r="E372" i="8"/>
  <c r="H372" i="8" s="1"/>
  <c r="C373" i="8" s="1"/>
  <c r="D373" i="8" l="1"/>
  <c r="G373" i="8" s="1"/>
  <c r="E266" i="14"/>
  <c r="H266" i="14" s="1"/>
  <c r="C267" i="14" s="1"/>
  <c r="D381" i="9"/>
  <c r="F381" i="9" s="1"/>
  <c r="E381" i="9" l="1"/>
  <c r="H381" i="9" s="1"/>
  <c r="C382" i="9" s="1"/>
  <c r="D267" i="14"/>
  <c r="G267" i="14" s="1"/>
  <c r="E373" i="8"/>
  <c r="H373" i="8" s="1"/>
  <c r="C374" i="8" s="1"/>
  <c r="E267" i="14" l="1"/>
  <c r="H267" i="14" s="1"/>
  <c r="C268" i="14" s="1"/>
  <c r="D268" i="14" s="1"/>
  <c r="G268" i="14" s="1"/>
  <c r="D374" i="8"/>
  <c r="G374" i="8" s="1"/>
  <c r="D382" i="9"/>
  <c r="F382" i="9" s="1"/>
  <c r="E382" i="9" l="1"/>
  <c r="H382" i="9" s="1"/>
  <c r="C383" i="9" s="1"/>
  <c r="E374" i="8"/>
  <c r="H374" i="8" s="1"/>
  <c r="C375" i="8" s="1"/>
  <c r="E268" i="14"/>
  <c r="H268" i="14" s="1"/>
  <c r="C269" i="14" s="1"/>
  <c r="D269" i="14" l="1"/>
  <c r="G269" i="14" s="1"/>
  <c r="D375" i="8"/>
  <c r="G375" i="8" s="1"/>
  <c r="D383" i="9"/>
  <c r="F383" i="9" s="1"/>
  <c r="E269" i="14" l="1"/>
  <c r="H269" i="14" s="1"/>
  <c r="C270" i="14" s="1"/>
  <c r="D270" i="14" s="1"/>
  <c r="G270" i="14" s="1"/>
  <c r="E383" i="9"/>
  <c r="H383" i="9" s="1"/>
  <c r="C384" i="9" s="1"/>
  <c r="E375" i="8"/>
  <c r="H375" i="8" s="1"/>
  <c r="C376" i="8" s="1"/>
  <c r="E270" i="14" l="1"/>
  <c r="H270" i="14" s="1"/>
  <c r="C271" i="14" s="1"/>
  <c r="E376" i="8"/>
  <c r="H376" i="8" s="1"/>
  <c r="C377" i="8" s="1"/>
  <c r="D376" i="8"/>
  <c r="G376" i="8" s="1"/>
  <c r="D384" i="9"/>
  <c r="F384" i="9" s="1"/>
  <c r="E384" i="9"/>
  <c r="H384" i="9" s="1"/>
  <c r="C385" i="9" s="1"/>
  <c r="D385" i="9" l="1"/>
  <c r="F385" i="9" s="1"/>
  <c r="D377" i="8"/>
  <c r="G377" i="8" s="1"/>
  <c r="E377" i="8"/>
  <c r="H377" i="8" s="1"/>
  <c r="C378" i="8" s="1"/>
  <c r="D271" i="14"/>
  <c r="G271" i="14" s="1"/>
  <c r="E271" i="14" l="1"/>
  <c r="H271" i="14" s="1"/>
  <c r="C272" i="14" s="1"/>
  <c r="D272" i="14" s="1"/>
  <c r="G272" i="14" s="1"/>
  <c r="D378" i="8"/>
  <c r="G378" i="8" s="1"/>
  <c r="E385" i="9"/>
  <c r="H385" i="9" s="1"/>
  <c r="C386" i="9" s="1"/>
  <c r="E272" i="14" l="1"/>
  <c r="H272" i="14" s="1"/>
  <c r="C273" i="14" s="1"/>
  <c r="D273" i="14" s="1"/>
  <c r="G273" i="14" s="1"/>
  <c r="D386" i="9"/>
  <c r="F386" i="9" s="1"/>
  <c r="E378" i="8"/>
  <c r="H378" i="8" s="1"/>
  <c r="C379" i="8" s="1"/>
  <c r="E273" i="14" l="1"/>
  <c r="H273" i="14" s="1"/>
  <c r="C274" i="14" s="1"/>
  <c r="D379" i="8"/>
  <c r="G379" i="8" s="1"/>
  <c r="E386" i="9"/>
  <c r="H386" i="9" s="1"/>
  <c r="C387" i="9" s="1"/>
  <c r="E379" i="8" l="1"/>
  <c r="H379" i="8" s="1"/>
  <c r="C380" i="8" s="1"/>
  <c r="D387" i="9"/>
  <c r="F387" i="9" s="1"/>
  <c r="D274" i="14"/>
  <c r="G274" i="14" s="1"/>
  <c r="E387" i="9" l="1"/>
  <c r="H387" i="9" s="1"/>
  <c r="C388" i="9" s="1"/>
  <c r="E274" i="14"/>
  <c r="H274" i="14" s="1"/>
  <c r="C275" i="14" s="1"/>
  <c r="D380" i="8"/>
  <c r="G380" i="8" s="1"/>
  <c r="E380" i="8" l="1"/>
  <c r="H380" i="8" s="1"/>
  <c r="C381" i="8" s="1"/>
  <c r="D275" i="14"/>
  <c r="G275" i="14" s="1"/>
  <c r="D388" i="9"/>
  <c r="F388" i="9" s="1"/>
  <c r="E388" i="9"/>
  <c r="H388" i="9" s="1"/>
  <c r="C389" i="9" s="1"/>
  <c r="D389" i="9" l="1"/>
  <c r="F389" i="9" s="1"/>
  <c r="E389" i="9"/>
  <c r="H389" i="9" s="1"/>
  <c r="C390" i="9" s="1"/>
  <c r="E275" i="14"/>
  <c r="H275" i="14" s="1"/>
  <c r="C276" i="14" s="1"/>
  <c r="D381" i="8"/>
  <c r="G381" i="8" s="1"/>
  <c r="E381" i="8" l="1"/>
  <c r="H381" i="8" s="1"/>
  <c r="C382" i="8" s="1"/>
  <c r="D276" i="14"/>
  <c r="G276" i="14" s="1"/>
  <c r="E276" i="14"/>
  <c r="H276" i="14" s="1"/>
  <c r="C277" i="14" s="1"/>
  <c r="D390" i="9"/>
  <c r="F390" i="9" s="1"/>
  <c r="E390" i="9" l="1"/>
  <c r="H390" i="9" s="1"/>
  <c r="C391" i="9" s="1"/>
  <c r="D277" i="14"/>
  <c r="G277" i="14" s="1"/>
  <c r="E382" i="8"/>
  <c r="H382" i="8" s="1"/>
  <c r="C383" i="8" s="1"/>
  <c r="D382" i="8"/>
  <c r="G382" i="8" s="1"/>
  <c r="E277" i="14" l="1"/>
  <c r="H277" i="14" s="1"/>
  <c r="C278" i="14" s="1"/>
  <c r="D278" i="14" s="1"/>
  <c r="G278" i="14" s="1"/>
  <c r="D383" i="8"/>
  <c r="G383" i="8" s="1"/>
  <c r="D391" i="9"/>
  <c r="F391" i="9" s="1"/>
  <c r="E391" i="9"/>
  <c r="H391" i="9" s="1"/>
  <c r="C392" i="9" s="1"/>
  <c r="D392" i="9" l="1"/>
  <c r="F392" i="9" s="1"/>
  <c r="E392" i="9"/>
  <c r="H392" i="9" s="1"/>
  <c r="C393" i="9" s="1"/>
  <c r="E278" i="14"/>
  <c r="H278" i="14" s="1"/>
  <c r="C279" i="14" s="1"/>
  <c r="E383" i="8"/>
  <c r="H383" i="8" s="1"/>
  <c r="C384" i="8" s="1"/>
  <c r="D384" i="8" l="1"/>
  <c r="G384" i="8" s="1"/>
  <c r="D279" i="14"/>
  <c r="G279" i="14" s="1"/>
  <c r="D393" i="9"/>
  <c r="F393" i="9" s="1"/>
  <c r="E393" i="9"/>
  <c r="H393" i="9" s="1"/>
  <c r="C394" i="9" s="1"/>
  <c r="D394" i="9" l="1"/>
  <c r="F394" i="9" s="1"/>
  <c r="E394" i="9"/>
  <c r="H394" i="9" s="1"/>
  <c r="C395" i="9" s="1"/>
  <c r="E279" i="14"/>
  <c r="H279" i="14" s="1"/>
  <c r="C280" i="14" s="1"/>
  <c r="E384" i="8"/>
  <c r="H384" i="8" s="1"/>
  <c r="C385" i="8" s="1"/>
  <c r="D385" i="8" l="1"/>
  <c r="G385" i="8" s="1"/>
  <c r="D280" i="14"/>
  <c r="G280" i="14" s="1"/>
  <c r="D395" i="9"/>
  <c r="F395" i="9" s="1"/>
  <c r="E395" i="9" l="1"/>
  <c r="H395" i="9" s="1"/>
  <c r="C396" i="9" s="1"/>
  <c r="E280" i="14"/>
  <c r="H280" i="14" s="1"/>
  <c r="C281" i="14" s="1"/>
  <c r="E385" i="8"/>
  <c r="H385" i="8" s="1"/>
  <c r="C386" i="8" s="1"/>
  <c r="D386" i="8" l="1"/>
  <c r="G386" i="8" s="1"/>
  <c r="D281" i="14"/>
  <c r="G281" i="14" s="1"/>
  <c r="E396" i="9"/>
  <c r="H396" i="9" s="1"/>
  <c r="C397" i="9" s="1"/>
  <c r="D396" i="9"/>
  <c r="F396" i="9" s="1"/>
  <c r="E281" i="14" l="1"/>
  <c r="H281" i="14" s="1"/>
  <c r="C282" i="14" s="1"/>
  <c r="D282" i="14" s="1"/>
  <c r="G282" i="14" s="1"/>
  <c r="D397" i="9"/>
  <c r="F397" i="9" s="1"/>
  <c r="E397" i="9"/>
  <c r="H397" i="9" s="1"/>
  <c r="C398" i="9" s="1"/>
  <c r="E386" i="8"/>
  <c r="H386" i="8" s="1"/>
  <c r="C387" i="8" s="1"/>
  <c r="E282" i="14" l="1"/>
  <c r="H282" i="14" s="1"/>
  <c r="C283" i="14" s="1"/>
  <c r="D283" i="14" s="1"/>
  <c r="G283" i="14" s="1"/>
  <c r="D387" i="8"/>
  <c r="G387" i="8" s="1"/>
  <c r="D398" i="9"/>
  <c r="F398" i="9" s="1"/>
  <c r="E398" i="9" l="1"/>
  <c r="H398" i="9" s="1"/>
  <c r="C399" i="9" s="1"/>
  <c r="E283" i="14"/>
  <c r="H283" i="14" s="1"/>
  <c r="C284" i="14" s="1"/>
  <c r="E387" i="8"/>
  <c r="H387" i="8" s="1"/>
  <c r="C388" i="8" s="1"/>
  <c r="D388" i="8" l="1"/>
  <c r="G388" i="8" s="1"/>
  <c r="D284" i="14"/>
  <c r="G284" i="14" s="1"/>
  <c r="D399" i="9"/>
  <c r="F399" i="9" s="1"/>
  <c r="E399" i="9" l="1"/>
  <c r="H399" i="9" s="1"/>
  <c r="C400" i="9" s="1"/>
  <c r="E284" i="14"/>
  <c r="H284" i="14" s="1"/>
  <c r="C285" i="14" s="1"/>
  <c r="E388" i="8"/>
  <c r="H388" i="8" s="1"/>
  <c r="C389" i="8" s="1"/>
  <c r="D389" i="8" l="1"/>
  <c r="G389" i="8" s="1"/>
  <c r="D285" i="14"/>
  <c r="G285" i="14" s="1"/>
  <c r="D400" i="9"/>
  <c r="F400" i="9" s="1"/>
  <c r="E400" i="9" l="1"/>
  <c r="H400" i="9" s="1"/>
  <c r="C401" i="9" s="1"/>
  <c r="E285" i="14"/>
  <c r="H285" i="14" s="1"/>
  <c r="C286" i="14" s="1"/>
  <c r="E389" i="8"/>
  <c r="H389" i="8" s="1"/>
  <c r="C390" i="8" s="1"/>
  <c r="D390" i="8" l="1"/>
  <c r="G390" i="8" s="1"/>
  <c r="E390" i="8"/>
  <c r="H390" i="8" s="1"/>
  <c r="C391" i="8" s="1"/>
  <c r="D286" i="14"/>
  <c r="G286" i="14" s="1"/>
  <c r="D401" i="9"/>
  <c r="F401" i="9" s="1"/>
  <c r="E401" i="9" l="1"/>
  <c r="H401" i="9" s="1"/>
  <c r="C402" i="9" s="1"/>
  <c r="E286" i="14"/>
  <c r="H286" i="14" s="1"/>
  <c r="C287" i="14" s="1"/>
  <c r="D391" i="8"/>
  <c r="G391" i="8" s="1"/>
  <c r="E391" i="8" l="1"/>
  <c r="H391" i="8" s="1"/>
  <c r="C392" i="8" s="1"/>
  <c r="D287" i="14"/>
  <c r="G287" i="14" s="1"/>
  <c r="E402" i="9"/>
  <c r="H402" i="9" s="1"/>
  <c r="C403" i="9" s="1"/>
  <c r="D402" i="9"/>
  <c r="F402" i="9" s="1"/>
  <c r="E287" i="14" l="1"/>
  <c r="H287" i="14" s="1"/>
  <c r="C288" i="14" s="1"/>
  <c r="D288" i="14" s="1"/>
  <c r="G288" i="14" s="1"/>
  <c r="D403" i="9"/>
  <c r="F403" i="9" s="1"/>
  <c r="D392" i="8"/>
  <c r="G392" i="8" s="1"/>
  <c r="E392" i="8" l="1"/>
  <c r="H392" i="8" s="1"/>
  <c r="C393" i="8" s="1"/>
  <c r="E288" i="14"/>
  <c r="H288" i="14" s="1"/>
  <c r="C289" i="14" s="1"/>
  <c r="E403" i="9"/>
  <c r="H403" i="9" s="1"/>
  <c r="C404" i="9" s="1"/>
  <c r="D289" i="14" l="1"/>
  <c r="G289" i="14" s="1"/>
  <c r="D404" i="9"/>
  <c r="F404" i="9" s="1"/>
  <c r="D393" i="8"/>
  <c r="G393" i="8" s="1"/>
  <c r="E289" i="14" l="1"/>
  <c r="H289" i="14" s="1"/>
  <c r="C290" i="14" s="1"/>
  <c r="D290" i="14" s="1"/>
  <c r="G290" i="14" s="1"/>
  <c r="E393" i="8"/>
  <c r="H393" i="8" s="1"/>
  <c r="C394" i="8" s="1"/>
  <c r="E404" i="9"/>
  <c r="H404" i="9" s="1"/>
  <c r="C405" i="9" s="1"/>
  <c r="E290" i="14" l="1"/>
  <c r="H290" i="14" s="1"/>
  <c r="C291" i="14" s="1"/>
  <c r="D291" i="14" s="1"/>
  <c r="G291" i="14" s="1"/>
  <c r="E405" i="9"/>
  <c r="H405" i="9" s="1"/>
  <c r="C406" i="9" s="1"/>
  <c r="D405" i="9"/>
  <c r="F405" i="9" s="1"/>
  <c r="D394" i="8"/>
  <c r="G394" i="8" s="1"/>
  <c r="D406" i="9" l="1"/>
  <c r="F406" i="9" s="1"/>
  <c r="E394" i="8"/>
  <c r="H394" i="8" s="1"/>
  <c r="C395" i="8" s="1"/>
  <c r="E291" i="14"/>
  <c r="H291" i="14" s="1"/>
  <c r="C292" i="14" s="1"/>
  <c r="D292" i="14" l="1"/>
  <c r="G292" i="14" s="1"/>
  <c r="D395" i="8"/>
  <c r="G395" i="8" s="1"/>
  <c r="E406" i="9"/>
  <c r="H406" i="9" s="1"/>
  <c r="C407" i="9" s="1"/>
  <c r="E292" i="14" l="1"/>
  <c r="H292" i="14" s="1"/>
  <c r="C293" i="14" s="1"/>
  <c r="D293" i="14" s="1"/>
  <c r="G293" i="14" s="1"/>
  <c r="D407" i="9"/>
  <c r="F407" i="9" s="1"/>
  <c r="E407" i="9"/>
  <c r="H407" i="9" s="1"/>
  <c r="C408" i="9" s="1"/>
  <c r="E395" i="8"/>
  <c r="H395" i="8" s="1"/>
  <c r="C396" i="8" s="1"/>
  <c r="D396" i="8" l="1"/>
  <c r="G396" i="8" s="1"/>
  <c r="E293" i="14"/>
  <c r="H293" i="14" s="1"/>
  <c r="C294" i="14" s="1"/>
  <c r="E408" i="9"/>
  <c r="H408" i="9" s="1"/>
  <c r="C409" i="9" s="1"/>
  <c r="D408" i="9"/>
  <c r="F408" i="9" s="1"/>
  <c r="D409" i="9" l="1"/>
  <c r="F409" i="9" s="1"/>
  <c r="E409" i="9"/>
  <c r="H409" i="9" s="1"/>
  <c r="C410" i="9" s="1"/>
  <c r="D294" i="14"/>
  <c r="G294" i="14" s="1"/>
  <c r="E396" i="8"/>
  <c r="H396" i="8" s="1"/>
  <c r="C397" i="8" s="1"/>
  <c r="D397" i="8" l="1"/>
  <c r="G397" i="8" s="1"/>
  <c r="E294" i="14"/>
  <c r="H294" i="14" s="1"/>
  <c r="C295" i="14" s="1"/>
  <c r="D410" i="9"/>
  <c r="F410" i="9" s="1"/>
  <c r="E410" i="9" l="1"/>
  <c r="H410" i="9" s="1"/>
  <c r="C411" i="9" s="1"/>
  <c r="D295" i="14"/>
  <c r="G295" i="14" s="1"/>
  <c r="E397" i="8"/>
  <c r="H397" i="8" s="1"/>
  <c r="C398" i="8" s="1"/>
  <c r="D398" i="8" l="1"/>
  <c r="G398" i="8" s="1"/>
  <c r="E295" i="14"/>
  <c r="H295" i="14" s="1"/>
  <c r="C296" i="14" s="1"/>
  <c r="D411" i="9"/>
  <c r="F411" i="9" s="1"/>
  <c r="E411" i="9"/>
  <c r="H411" i="9" s="1"/>
  <c r="C412" i="9" s="1"/>
  <c r="D412" i="9" l="1"/>
  <c r="F412" i="9" s="1"/>
  <c r="D296" i="14"/>
  <c r="G296" i="14" s="1"/>
  <c r="E398" i="8"/>
  <c r="H398" i="8" s="1"/>
  <c r="C399" i="8" s="1"/>
  <c r="D399" i="8" l="1"/>
  <c r="G399" i="8" s="1"/>
  <c r="E399" i="8"/>
  <c r="H399" i="8" s="1"/>
  <c r="C400" i="8" s="1"/>
  <c r="E296" i="14"/>
  <c r="H296" i="14" s="1"/>
  <c r="C297" i="14" s="1"/>
  <c r="E412" i="9"/>
  <c r="H412" i="9" s="1"/>
  <c r="C413" i="9" s="1"/>
  <c r="D413" i="9" l="1"/>
  <c r="F413" i="9" s="1"/>
  <c r="E413" i="9"/>
  <c r="H413" i="9" s="1"/>
  <c r="C414" i="9" s="1"/>
  <c r="D297" i="14"/>
  <c r="G297" i="14" s="1"/>
  <c r="E400" i="8"/>
  <c r="H400" i="8" s="1"/>
  <c r="C401" i="8" s="1"/>
  <c r="D400" i="8"/>
  <c r="G400" i="8" s="1"/>
  <c r="E297" i="14" l="1"/>
  <c r="H297" i="14" s="1"/>
  <c r="C298" i="14" s="1"/>
  <c r="D298" i="14" s="1"/>
  <c r="G298" i="14" s="1"/>
  <c r="D401" i="8"/>
  <c r="G401" i="8" s="1"/>
  <c r="D414" i="9"/>
  <c r="F414" i="9" s="1"/>
  <c r="E414" i="9" l="1"/>
  <c r="H414" i="9" s="1"/>
  <c r="C415" i="9" s="1"/>
  <c r="E298" i="14"/>
  <c r="H298" i="14" s="1"/>
  <c r="C299" i="14" s="1"/>
  <c r="E401" i="8"/>
  <c r="H401" i="8" s="1"/>
  <c r="C402" i="8" s="1"/>
  <c r="D402" i="8" l="1"/>
  <c r="G402" i="8" s="1"/>
  <c r="D299" i="14"/>
  <c r="G299" i="14" s="1"/>
  <c r="D415" i="9"/>
  <c r="F415" i="9" s="1"/>
  <c r="E415" i="9"/>
  <c r="H415" i="9" s="1"/>
  <c r="C416" i="9" s="1"/>
  <c r="D416" i="9" l="1"/>
  <c r="F416" i="9" s="1"/>
  <c r="E416" i="9"/>
  <c r="H416" i="9" s="1"/>
  <c r="C417" i="9" s="1"/>
  <c r="E299" i="14"/>
  <c r="H299" i="14" s="1"/>
  <c r="C300" i="14" s="1"/>
  <c r="E402" i="8"/>
  <c r="H402" i="8" s="1"/>
  <c r="C403" i="8" s="1"/>
  <c r="D403" i="8" l="1"/>
  <c r="G403" i="8" s="1"/>
  <c r="D417" i="9"/>
  <c r="F417" i="9" s="1"/>
  <c r="D300" i="14"/>
  <c r="G300" i="14" s="1"/>
  <c r="E300" i="14" l="1"/>
  <c r="H300" i="14" s="1"/>
  <c r="C301" i="14" s="1"/>
  <c r="D301" i="14" s="1"/>
  <c r="G301" i="14" s="1"/>
  <c r="E417" i="9"/>
  <c r="H417" i="9" s="1"/>
  <c r="C418" i="9" s="1"/>
  <c r="E403" i="8"/>
  <c r="H403" i="8" s="1"/>
  <c r="C404" i="8" s="1"/>
  <c r="D404" i="8" l="1"/>
  <c r="G404" i="8" s="1"/>
  <c r="D418" i="9"/>
  <c r="F418" i="9" s="1"/>
  <c r="E301" i="14"/>
  <c r="H301" i="14" s="1"/>
  <c r="C302" i="14" s="1"/>
  <c r="D302" i="14" l="1"/>
  <c r="G302" i="14" s="1"/>
  <c r="E418" i="9"/>
  <c r="H418" i="9" s="1"/>
  <c r="C419" i="9" s="1"/>
  <c r="E404" i="8"/>
  <c r="H404" i="8" s="1"/>
  <c r="C405" i="8" s="1"/>
  <c r="D405" i="8" l="1"/>
  <c r="G405" i="8" s="1"/>
  <c r="E405" i="8"/>
  <c r="H405" i="8" s="1"/>
  <c r="C406" i="8" s="1"/>
  <c r="D419" i="9"/>
  <c r="F419" i="9" s="1"/>
  <c r="E302" i="14"/>
  <c r="H302" i="14" s="1"/>
  <c r="C303" i="14" s="1"/>
  <c r="E419" i="9" l="1"/>
  <c r="H419" i="9" s="1"/>
  <c r="C420" i="9" s="1"/>
  <c r="D303" i="14"/>
  <c r="G303" i="14" s="1"/>
  <c r="E406" i="8"/>
  <c r="H406" i="8" s="1"/>
  <c r="C407" i="8" s="1"/>
  <c r="D406" i="8"/>
  <c r="G406" i="8" s="1"/>
  <c r="D407" i="8" l="1"/>
  <c r="G407" i="8" s="1"/>
  <c r="E303" i="14"/>
  <c r="H303" i="14" s="1"/>
  <c r="C304" i="14" s="1"/>
  <c r="D420" i="9"/>
  <c r="F420" i="9" s="1"/>
  <c r="E420" i="9"/>
  <c r="H420" i="9" s="1"/>
  <c r="C421" i="9" s="1"/>
  <c r="D421" i="9" l="1"/>
  <c r="F421" i="9" s="1"/>
  <c r="D304" i="14"/>
  <c r="G304" i="14" s="1"/>
  <c r="E304" i="14"/>
  <c r="H304" i="14" s="1"/>
  <c r="C305" i="14" s="1"/>
  <c r="E407" i="8"/>
  <c r="H407" i="8" s="1"/>
  <c r="C408" i="8" s="1"/>
  <c r="D408" i="8" l="1"/>
  <c r="G408" i="8" s="1"/>
  <c r="E408" i="8"/>
  <c r="H408" i="8" s="1"/>
  <c r="C409" i="8" s="1"/>
  <c r="D305" i="14"/>
  <c r="G305" i="14" s="1"/>
  <c r="E421" i="9"/>
  <c r="H421" i="9" s="1"/>
  <c r="C422" i="9" s="1"/>
  <c r="E305" i="14" l="1"/>
  <c r="H305" i="14" s="1"/>
  <c r="C306" i="14" s="1"/>
  <c r="D306" i="14" s="1"/>
  <c r="G306" i="14" s="1"/>
  <c r="D422" i="9"/>
  <c r="F422" i="9" s="1"/>
  <c r="D409" i="8"/>
  <c r="G409" i="8" s="1"/>
  <c r="E409" i="8" l="1"/>
  <c r="H409" i="8" s="1"/>
  <c r="C410" i="8" s="1"/>
  <c r="E306" i="14"/>
  <c r="H306" i="14" s="1"/>
  <c r="C307" i="14" s="1"/>
  <c r="E422" i="9"/>
  <c r="H422" i="9" s="1"/>
  <c r="C423" i="9" s="1"/>
  <c r="D423" i="9" l="1"/>
  <c r="F423" i="9" s="1"/>
  <c r="D307" i="14"/>
  <c r="G307" i="14" s="1"/>
  <c r="D410" i="8"/>
  <c r="G410" i="8" s="1"/>
  <c r="E410" i="8"/>
  <c r="H410" i="8" s="1"/>
  <c r="C411" i="8" s="1"/>
  <c r="E423" i="9" l="1"/>
  <c r="H423" i="9" s="1"/>
  <c r="C424" i="9" s="1"/>
  <c r="D411" i="8"/>
  <c r="G411" i="8" s="1"/>
  <c r="E307" i="14"/>
  <c r="H307" i="14" s="1"/>
  <c r="C308" i="14" s="1"/>
  <c r="E411" i="8" l="1"/>
  <c r="H411" i="8" s="1"/>
  <c r="C412" i="8" s="1"/>
  <c r="D308" i="14"/>
  <c r="G308" i="14" s="1"/>
  <c r="D424" i="9"/>
  <c r="F424" i="9" s="1"/>
  <c r="E424" i="9" l="1"/>
  <c r="H424" i="9" s="1"/>
  <c r="C425" i="9" s="1"/>
  <c r="E308" i="14"/>
  <c r="H308" i="14" s="1"/>
  <c r="C309" i="14" s="1"/>
  <c r="D412" i="8"/>
  <c r="G412" i="8" s="1"/>
  <c r="E412" i="8" l="1"/>
  <c r="H412" i="8" s="1"/>
  <c r="C413" i="8" s="1"/>
  <c r="D309" i="14"/>
  <c r="G309" i="14" s="1"/>
  <c r="D425" i="9"/>
  <c r="F425" i="9" s="1"/>
  <c r="E425" i="9" l="1"/>
  <c r="H425" i="9" s="1"/>
  <c r="C426" i="9" s="1"/>
  <c r="E309" i="14"/>
  <c r="H309" i="14" s="1"/>
  <c r="C310" i="14" s="1"/>
  <c r="D413" i="8"/>
  <c r="G413" i="8" s="1"/>
  <c r="D310" i="14" l="1"/>
  <c r="G310" i="14" s="1"/>
  <c r="E413" i="8"/>
  <c r="H413" i="8" s="1"/>
  <c r="C414" i="8" s="1"/>
  <c r="D426" i="9"/>
  <c r="F426" i="9" s="1"/>
  <c r="E310" i="14" l="1"/>
  <c r="H310" i="14" s="1"/>
  <c r="C311" i="14" s="1"/>
  <c r="D311" i="14" s="1"/>
  <c r="G311" i="14" s="1"/>
  <c r="E426" i="9"/>
  <c r="H426" i="9" s="1"/>
  <c r="C427" i="9" s="1"/>
  <c r="D414" i="8"/>
  <c r="G414" i="8" s="1"/>
  <c r="E311" i="14" l="1"/>
  <c r="H311" i="14" s="1"/>
  <c r="C312" i="14" s="1"/>
  <c r="E414" i="8"/>
  <c r="H414" i="8" s="1"/>
  <c r="C415" i="8" s="1"/>
  <c r="D427" i="9"/>
  <c r="F427" i="9" s="1"/>
  <c r="D415" i="8" l="1"/>
  <c r="G415" i="8" s="1"/>
  <c r="E427" i="9"/>
  <c r="H427" i="9" s="1"/>
  <c r="C428" i="9" s="1"/>
  <c r="D312" i="14"/>
  <c r="G312" i="14" s="1"/>
  <c r="E312" i="14" l="1"/>
  <c r="H312" i="14" s="1"/>
  <c r="C313" i="14" s="1"/>
  <c r="D428" i="9"/>
  <c r="F428" i="9" s="1"/>
  <c r="E415" i="8"/>
  <c r="H415" i="8" s="1"/>
  <c r="C416" i="8" s="1"/>
  <c r="E428" i="9" l="1"/>
  <c r="H428" i="9" s="1"/>
  <c r="C429" i="9" s="1"/>
  <c r="D416" i="8"/>
  <c r="G416" i="8" s="1"/>
  <c r="E416" i="8"/>
  <c r="H416" i="8" s="1"/>
  <c r="C417" i="8" s="1"/>
  <c r="D313" i="14"/>
  <c r="G313" i="14" s="1"/>
  <c r="E313" i="14" l="1"/>
  <c r="H313" i="14" s="1"/>
  <c r="C314" i="14" s="1"/>
  <c r="D314" i="14" s="1"/>
  <c r="G314" i="14" s="1"/>
  <c r="D417" i="8"/>
  <c r="G417" i="8" s="1"/>
  <c r="D429" i="9"/>
  <c r="F429" i="9" s="1"/>
  <c r="E314" i="14" l="1"/>
  <c r="H314" i="14" s="1"/>
  <c r="C315" i="14" s="1"/>
  <c r="D315" i="14" s="1"/>
  <c r="G315" i="14" s="1"/>
  <c r="E429" i="9"/>
  <c r="H429" i="9" s="1"/>
  <c r="C430" i="9" s="1"/>
  <c r="E417" i="8"/>
  <c r="H417" i="8" s="1"/>
  <c r="C418" i="8" s="1"/>
  <c r="D418" i="8" l="1"/>
  <c r="G418" i="8" s="1"/>
  <c r="E315" i="14"/>
  <c r="H315" i="14" s="1"/>
  <c r="C316" i="14" s="1"/>
  <c r="D430" i="9"/>
  <c r="E430" i="9" s="1"/>
  <c r="H430" i="9" s="1"/>
  <c r="D431" i="9" l="1"/>
  <c r="N6" i="9" s="1"/>
  <c r="F430" i="9"/>
  <c r="F431" i="9" s="1"/>
  <c r="N7" i="9" s="1"/>
  <c r="D316" i="14"/>
  <c r="G316" i="14" s="1"/>
  <c r="E418" i="8"/>
  <c r="H418" i="8" s="1"/>
  <c r="C419" i="8" s="1"/>
  <c r="D419" i="8" l="1"/>
  <c r="G419" i="8" s="1"/>
  <c r="E316" i="14"/>
  <c r="H316" i="14" s="1"/>
  <c r="C317" i="14" s="1"/>
  <c r="D317" i="14" l="1"/>
  <c r="G317" i="14" s="1"/>
  <c r="E419" i="8"/>
  <c r="H419" i="8" s="1"/>
  <c r="C420" i="8" s="1"/>
  <c r="D420" i="8" l="1"/>
  <c r="G420" i="8" s="1"/>
  <c r="E317" i="14"/>
  <c r="H317" i="14" s="1"/>
  <c r="C318" i="14" s="1"/>
  <c r="D318" i="14" l="1"/>
  <c r="G318" i="14" s="1"/>
  <c r="E420" i="8"/>
  <c r="H420" i="8" s="1"/>
  <c r="C421" i="8" s="1"/>
  <c r="D421" i="8" l="1"/>
  <c r="G421" i="8" s="1"/>
  <c r="E318" i="14"/>
  <c r="H318" i="14" s="1"/>
  <c r="C319" i="14" s="1"/>
  <c r="D319" i="14" l="1"/>
  <c r="G319" i="14" s="1"/>
  <c r="E421" i="8"/>
  <c r="H421" i="8" s="1"/>
  <c r="C422" i="8" s="1"/>
  <c r="D422" i="8" l="1"/>
  <c r="G422" i="8" s="1"/>
  <c r="E319" i="14"/>
  <c r="H319" i="14" s="1"/>
  <c r="C320" i="14" s="1"/>
  <c r="D320" i="14" l="1"/>
  <c r="G320" i="14" s="1"/>
  <c r="E422" i="8"/>
  <c r="H422" i="8" s="1"/>
  <c r="C423" i="8" s="1"/>
  <c r="E320" i="14" l="1"/>
  <c r="H320" i="14" s="1"/>
  <c r="C321" i="14" s="1"/>
  <c r="D321" i="14" s="1"/>
  <c r="G321" i="14" s="1"/>
  <c r="D423" i="8"/>
  <c r="G423" i="8" s="1"/>
  <c r="E321" i="14" l="1"/>
  <c r="H321" i="14" s="1"/>
  <c r="C322" i="14" s="1"/>
  <c r="E423" i="8"/>
  <c r="H423" i="8" s="1"/>
  <c r="C424" i="8" s="1"/>
  <c r="D424" i="8" l="1"/>
  <c r="G424" i="8" s="1"/>
  <c r="D322" i="14"/>
  <c r="G322" i="14" s="1"/>
  <c r="E322" i="14" l="1"/>
  <c r="H322" i="14" s="1"/>
  <c r="C323" i="14" s="1"/>
  <c r="D323" i="14" s="1"/>
  <c r="G323" i="14" s="1"/>
  <c r="E424" i="8"/>
  <c r="H424" i="8" s="1"/>
  <c r="C425" i="8" s="1"/>
  <c r="E323" i="14" l="1"/>
  <c r="H323" i="14" s="1"/>
  <c r="C324" i="14" s="1"/>
  <c r="D324" i="14" s="1"/>
  <c r="G324" i="14" s="1"/>
  <c r="D425" i="8"/>
  <c r="G425" i="8" s="1"/>
  <c r="E324" i="14" l="1"/>
  <c r="H324" i="14" s="1"/>
  <c r="C325" i="14" s="1"/>
  <c r="E425" i="8"/>
  <c r="H425" i="8" s="1"/>
  <c r="C426" i="8" s="1"/>
  <c r="D426" i="8" l="1"/>
  <c r="G426" i="8" s="1"/>
  <c r="E426" i="8"/>
  <c r="H426" i="8" s="1"/>
  <c r="C427" i="8" s="1"/>
  <c r="D325" i="14"/>
  <c r="G325" i="14" s="1"/>
  <c r="E325" i="14" l="1"/>
  <c r="H325" i="14" s="1"/>
  <c r="C326" i="14" s="1"/>
  <c r="D427" i="8"/>
  <c r="G427" i="8" s="1"/>
  <c r="E427" i="8"/>
  <c r="H427" i="8" s="1"/>
  <c r="C428" i="8" s="1"/>
  <c r="D428" i="8" l="1"/>
  <c r="G428" i="8" s="1"/>
  <c r="D326" i="14"/>
  <c r="G326" i="14" s="1"/>
  <c r="E326" i="14" l="1"/>
  <c r="H326" i="14" s="1"/>
  <c r="C327" i="14" s="1"/>
  <c r="E428" i="8"/>
  <c r="H428" i="8" s="1"/>
  <c r="C429" i="8" s="1"/>
  <c r="D429" i="8" l="1"/>
  <c r="G429" i="8" s="1"/>
  <c r="D327" i="14"/>
  <c r="G327" i="14" s="1"/>
  <c r="E327" i="14" l="1"/>
  <c r="H327" i="14" s="1"/>
  <c r="C328" i="14" s="1"/>
  <c r="D328" i="14" s="1"/>
  <c r="G328" i="14" s="1"/>
  <c r="E429" i="8"/>
  <c r="H429" i="8" s="1"/>
  <c r="C430" i="8" s="1"/>
  <c r="D430" i="8" l="1"/>
  <c r="E328" i="14"/>
  <c r="H328" i="14" s="1"/>
  <c r="C329" i="14" s="1"/>
  <c r="D329" i="14" l="1"/>
  <c r="G329" i="14" s="1"/>
  <c r="D431" i="8"/>
  <c r="N6" i="8" s="1"/>
  <c r="G430" i="8"/>
  <c r="G431" i="8" s="1"/>
  <c r="N8" i="8" s="1"/>
  <c r="E430" i="8"/>
  <c r="H430" i="8" s="1"/>
  <c r="E329" i="14" l="1"/>
  <c r="H329" i="14" s="1"/>
  <c r="C330" i="14" s="1"/>
  <c r="D330" i="14" l="1"/>
  <c r="G330" i="14" s="1"/>
  <c r="E330" i="14" l="1"/>
  <c r="H330" i="14" s="1"/>
  <c r="C331" i="14" s="1"/>
  <c r="D331" i="14" s="1"/>
  <c r="G331" i="14" s="1"/>
  <c r="E331" i="14" l="1"/>
  <c r="H331" i="14" s="1"/>
  <c r="C332" i="14" s="1"/>
  <c r="D332" i="14" s="1"/>
  <c r="G332" i="14" s="1"/>
  <c r="E332" i="14" l="1"/>
  <c r="H332" i="14" s="1"/>
  <c r="C333" i="14" s="1"/>
  <c r="D333" i="14" s="1"/>
  <c r="G333" i="14" s="1"/>
  <c r="E333" i="14" l="1"/>
  <c r="H333" i="14" s="1"/>
  <c r="C334" i="14" s="1"/>
  <c r="D334" i="14" l="1"/>
  <c r="G334" i="14" s="1"/>
  <c r="E334" i="14" l="1"/>
  <c r="H334" i="14" s="1"/>
  <c r="C335" i="14" s="1"/>
  <c r="D335" i="14" l="1"/>
  <c r="G335" i="14" s="1"/>
  <c r="E335" i="14" l="1"/>
  <c r="H335" i="14" s="1"/>
  <c r="C336" i="14" s="1"/>
  <c r="D336" i="14" l="1"/>
  <c r="G336" i="14" s="1"/>
  <c r="E336" i="14" l="1"/>
  <c r="H336" i="14" s="1"/>
  <c r="C337" i="14" s="1"/>
  <c r="D337" i="14" l="1"/>
  <c r="G337" i="14" s="1"/>
  <c r="E337" i="14" l="1"/>
  <c r="H337" i="14" s="1"/>
  <c r="C338" i="14" s="1"/>
  <c r="D338" i="14" l="1"/>
  <c r="G338" i="14" s="1"/>
  <c r="E338" i="14" l="1"/>
  <c r="H338" i="14" s="1"/>
  <c r="C339" i="14" s="1"/>
  <c r="D339" i="14" s="1"/>
  <c r="G339" i="14" s="1"/>
  <c r="E339" i="14" l="1"/>
  <c r="H339" i="14" s="1"/>
  <c r="C340" i="14" s="1"/>
  <c r="D340" i="14" s="1"/>
  <c r="G340" i="14" s="1"/>
  <c r="E340" i="14" l="1"/>
  <c r="H340" i="14" s="1"/>
  <c r="C341" i="14" s="1"/>
  <c r="D341" i="14" s="1"/>
  <c r="G341" i="14" s="1"/>
  <c r="E341" i="14" l="1"/>
  <c r="H341" i="14" s="1"/>
  <c r="C342" i="14" s="1"/>
  <c r="D342" i="14" s="1"/>
  <c r="G342" i="14" s="1"/>
  <c r="E342" i="14" l="1"/>
  <c r="H342" i="14" s="1"/>
  <c r="C343" i="14" s="1"/>
  <c r="D343" i="14" l="1"/>
  <c r="G343" i="14" s="1"/>
  <c r="E343" i="14" l="1"/>
  <c r="H343" i="14" s="1"/>
  <c r="C344" i="14" s="1"/>
  <c r="D344" i="14" l="1"/>
  <c r="G344" i="14" s="1"/>
  <c r="E344" i="14" l="1"/>
  <c r="H344" i="14" s="1"/>
  <c r="C345" i="14" s="1"/>
  <c r="D345" i="14" l="1"/>
  <c r="G345" i="14" s="1"/>
  <c r="E345" i="14" l="1"/>
  <c r="H345" i="14" s="1"/>
  <c r="C346" i="14" s="1"/>
  <c r="D346" i="14" l="1"/>
  <c r="G346" i="14" s="1"/>
  <c r="E346" i="14" l="1"/>
  <c r="H346" i="14" s="1"/>
  <c r="C347" i="14" s="1"/>
  <c r="D347" i="14" l="1"/>
  <c r="G347" i="14" s="1"/>
  <c r="E347" i="14" l="1"/>
  <c r="H347" i="14" s="1"/>
  <c r="C348" i="14" s="1"/>
  <c r="D348" i="14" s="1"/>
  <c r="G348" i="14" s="1"/>
  <c r="E348" i="14" l="1"/>
  <c r="H348" i="14" s="1"/>
  <c r="C349" i="14" s="1"/>
  <c r="D349" i="14" s="1"/>
  <c r="G349" i="14" s="1"/>
  <c r="E349" i="14" l="1"/>
  <c r="H349" i="14" s="1"/>
  <c r="C350" i="14" s="1"/>
  <c r="D350" i="14" l="1"/>
  <c r="G350" i="14" s="1"/>
  <c r="E350" i="14" l="1"/>
  <c r="H350" i="14" s="1"/>
  <c r="C351" i="14" s="1"/>
  <c r="D351" i="14" l="1"/>
  <c r="G351" i="14" s="1"/>
  <c r="E351" i="14" l="1"/>
  <c r="H351" i="14" s="1"/>
  <c r="C352" i="14" s="1"/>
  <c r="D352" i="14" s="1"/>
  <c r="G352" i="14" s="1"/>
  <c r="E352" i="14" l="1"/>
  <c r="H352" i="14" s="1"/>
  <c r="C353" i="14" s="1"/>
  <c r="D353" i="14" l="1"/>
  <c r="G353" i="14" s="1"/>
  <c r="E353" i="14" l="1"/>
  <c r="H353" i="14" s="1"/>
  <c r="C354" i="14" s="1"/>
  <c r="D354" i="14" s="1"/>
  <c r="G354" i="14" s="1"/>
  <c r="E354" i="14" l="1"/>
  <c r="H354" i="14" s="1"/>
  <c r="C355" i="14" s="1"/>
  <c r="D355" i="14" l="1"/>
  <c r="G355" i="14" s="1"/>
  <c r="E355" i="14" l="1"/>
  <c r="H355" i="14" s="1"/>
  <c r="C356" i="14" s="1"/>
  <c r="D356" i="14" s="1"/>
  <c r="G356" i="14" s="1"/>
  <c r="E356" i="14" l="1"/>
  <c r="H356" i="14" s="1"/>
  <c r="C357" i="14" s="1"/>
  <c r="D357" i="14" l="1"/>
  <c r="G357" i="14" s="1"/>
  <c r="E357" i="14" l="1"/>
  <c r="H357" i="14" s="1"/>
  <c r="C358" i="14" s="1"/>
  <c r="D358" i="14" l="1"/>
  <c r="G358" i="14" s="1"/>
  <c r="E358" i="14" l="1"/>
  <c r="H358" i="14" s="1"/>
  <c r="C359" i="14" s="1"/>
  <c r="D359" i="14" l="1"/>
  <c r="G359" i="14" s="1"/>
  <c r="E359" i="14" l="1"/>
  <c r="H359" i="14" s="1"/>
  <c r="C360" i="14" s="1"/>
  <c r="D360" i="14" l="1"/>
  <c r="G360" i="14" s="1"/>
  <c r="E360" i="14" l="1"/>
  <c r="H360" i="14" s="1"/>
  <c r="C361" i="14" s="1"/>
  <c r="D361" i="14" s="1"/>
  <c r="G361" i="14" l="1"/>
  <c r="E361" i="14"/>
  <c r="H361" i="14" l="1"/>
  <c r="C362" i="14" s="1"/>
  <c r="D362" i="14" s="1"/>
  <c r="G362" i="14" s="1"/>
  <c r="E362" i="14" l="1"/>
  <c r="H362" i="14" s="1"/>
  <c r="C363" i="14" s="1"/>
  <c r="D363" i="14" s="1"/>
  <c r="G363" i="14" s="1"/>
  <c r="E363" i="14" l="1"/>
  <c r="H363" i="14" s="1"/>
  <c r="C364" i="14" s="1"/>
  <c r="D364" i="14" l="1"/>
  <c r="G364" i="14" s="1"/>
  <c r="E364" i="14" l="1"/>
  <c r="H364" i="14" s="1"/>
  <c r="C365" i="14" s="1"/>
  <c r="D365" i="14" l="1"/>
  <c r="G365" i="14" s="1"/>
  <c r="E365" i="14" l="1"/>
  <c r="H365" i="14" s="1"/>
  <c r="C366" i="14" s="1"/>
  <c r="D366" i="14" s="1"/>
  <c r="G366" i="14" s="1"/>
  <c r="E366" i="14" l="1"/>
  <c r="H366" i="14" s="1"/>
  <c r="C367" i="14" s="1"/>
  <c r="D367" i="14" s="1"/>
  <c r="G367" i="14" s="1"/>
  <c r="E367" i="14" l="1"/>
  <c r="H367" i="14" s="1"/>
  <c r="C368" i="14" s="1"/>
  <c r="D368" i="14" s="1"/>
  <c r="G368" i="14" s="1"/>
  <c r="E368" i="14" l="1"/>
  <c r="H368" i="14" s="1"/>
  <c r="C369" i="14" s="1"/>
  <c r="D369" i="14" s="1"/>
  <c r="G369" i="14" l="1"/>
  <c r="E369" i="14"/>
  <c r="H369" i="14" l="1"/>
  <c r="C370" i="14" s="1"/>
  <c r="D370" i="14" s="1"/>
  <c r="G370" i="14" s="1"/>
  <c r="E370" i="14" l="1"/>
  <c r="H370" i="14" s="1"/>
  <c r="C371" i="14" s="1"/>
  <c r="D371" i="14"/>
  <c r="G371" i="14" s="1"/>
  <c r="E371" i="14" l="1"/>
  <c r="H371" i="14" s="1"/>
  <c r="C372" i="14" s="1"/>
  <c r="D372" i="14" l="1"/>
  <c r="G372" i="14" s="1"/>
  <c r="E372" i="14" l="1"/>
  <c r="H372" i="14" s="1"/>
  <c r="C373" i="14" s="1"/>
  <c r="D373" i="14" s="1"/>
  <c r="G373" i="14" s="1"/>
  <c r="E373" i="14" l="1"/>
  <c r="H373" i="14" s="1"/>
  <c r="C374" i="14" s="1"/>
  <c r="D374" i="14" l="1"/>
  <c r="G374" i="14" s="1"/>
  <c r="E374" i="14" l="1"/>
  <c r="H374" i="14" s="1"/>
  <c r="C375" i="14" s="1"/>
  <c r="D375" i="14" l="1"/>
  <c r="G375" i="14" s="1"/>
  <c r="E375" i="14" l="1"/>
  <c r="H375" i="14" s="1"/>
  <c r="C376" i="14" s="1"/>
  <c r="D376" i="14" s="1"/>
  <c r="G376" i="14" s="1"/>
  <c r="E376" i="14" l="1"/>
  <c r="H376" i="14" s="1"/>
  <c r="C377" i="14" s="1"/>
  <c r="D377" i="14" l="1"/>
  <c r="G377" i="14" s="1"/>
  <c r="E377" i="14" l="1"/>
  <c r="H377" i="14" s="1"/>
  <c r="C378" i="14" s="1"/>
  <c r="D378" i="14" l="1"/>
  <c r="G378" i="14" s="1"/>
  <c r="E378" i="14" l="1"/>
  <c r="H378" i="14" s="1"/>
  <c r="C379" i="14" s="1"/>
  <c r="D379" i="14" s="1"/>
  <c r="G379" i="14" s="1"/>
  <c r="E379" i="14" l="1"/>
  <c r="H379" i="14" s="1"/>
  <c r="C380" i="14" s="1"/>
  <c r="D380" i="14" l="1"/>
  <c r="G380" i="14" s="1"/>
  <c r="E380" i="14" l="1"/>
  <c r="H380" i="14" s="1"/>
  <c r="C381" i="14" s="1"/>
  <c r="D381" i="14" s="1"/>
  <c r="G381" i="14" s="1"/>
  <c r="E381" i="14" l="1"/>
  <c r="H381" i="14" s="1"/>
  <c r="C382" i="14" s="1"/>
  <c r="D382" i="14" s="1"/>
  <c r="G382" i="14" s="1"/>
  <c r="E382" i="14" l="1"/>
  <c r="H382" i="14" s="1"/>
  <c r="C383" i="14" s="1"/>
  <c r="D383" i="14" l="1"/>
  <c r="G383" i="14" s="1"/>
  <c r="E383" i="14" l="1"/>
  <c r="H383" i="14" s="1"/>
  <c r="C384" i="14" s="1"/>
  <c r="D384" i="14" s="1"/>
  <c r="G384" i="14" s="1"/>
  <c r="E384" i="14" l="1"/>
  <c r="H384" i="14" s="1"/>
  <c r="C385" i="14" s="1"/>
  <c r="D385" i="14" s="1"/>
  <c r="G385" i="14" s="1"/>
  <c r="E385" i="14" l="1"/>
  <c r="H385" i="14" s="1"/>
  <c r="C386" i="14" s="1"/>
  <c r="D386" i="14" l="1"/>
  <c r="G386" i="14" s="1"/>
  <c r="E386" i="14" l="1"/>
  <c r="H386" i="14" s="1"/>
  <c r="C387" i="14" s="1"/>
  <c r="D387" i="14" l="1"/>
  <c r="G387" i="14" s="1"/>
  <c r="E387" i="14" l="1"/>
  <c r="H387" i="14" s="1"/>
  <c r="C388" i="14" s="1"/>
  <c r="D388" i="14" s="1"/>
  <c r="G388" i="14" s="1"/>
  <c r="E388" i="14" l="1"/>
  <c r="H388" i="14" s="1"/>
  <c r="C389" i="14" s="1"/>
  <c r="D389" i="14" l="1"/>
  <c r="G389" i="14" s="1"/>
  <c r="E389" i="14" l="1"/>
  <c r="H389" i="14" s="1"/>
  <c r="C390" i="14" s="1"/>
  <c r="D390" i="14" s="1"/>
  <c r="G390" i="14" s="1"/>
  <c r="E390" i="14" l="1"/>
  <c r="H390" i="14" s="1"/>
  <c r="C391" i="14" s="1"/>
  <c r="D391" i="14" s="1"/>
  <c r="G391" i="14" s="1"/>
  <c r="E391" i="14" l="1"/>
  <c r="H391" i="14" s="1"/>
  <c r="C392" i="14" s="1"/>
  <c r="D392" i="14" l="1"/>
  <c r="G392" i="14" s="1"/>
  <c r="E392" i="14" l="1"/>
  <c r="H392" i="14" s="1"/>
  <c r="C393" i="14" s="1"/>
  <c r="D393" i="14" s="1"/>
  <c r="G393" i="14" s="1"/>
  <c r="E393" i="14" l="1"/>
  <c r="H393" i="14" s="1"/>
  <c r="C394" i="14" s="1"/>
  <c r="D394" i="14" l="1"/>
  <c r="G394" i="14" s="1"/>
  <c r="E394" i="14" l="1"/>
  <c r="H394" i="14" s="1"/>
  <c r="C395" i="14" s="1"/>
  <c r="D395" i="14" l="1"/>
  <c r="G395" i="14" s="1"/>
  <c r="E395" i="14" l="1"/>
  <c r="H395" i="14" s="1"/>
  <c r="C396" i="14" s="1"/>
  <c r="D396" i="14" s="1"/>
  <c r="G396" i="14" s="1"/>
  <c r="E396" i="14" l="1"/>
  <c r="H396" i="14" s="1"/>
  <c r="C397" i="14" s="1"/>
  <c r="D397" i="14" l="1"/>
  <c r="G397" i="14" s="1"/>
  <c r="E397" i="14" l="1"/>
  <c r="H397" i="14" s="1"/>
  <c r="C398" i="14" s="1"/>
  <c r="D398" i="14" s="1"/>
  <c r="G398" i="14" s="1"/>
  <c r="E398" i="14" l="1"/>
  <c r="H398" i="14" s="1"/>
  <c r="C399" i="14" s="1"/>
  <c r="D399" i="14" s="1"/>
  <c r="G399" i="14" l="1"/>
  <c r="E399" i="14"/>
  <c r="H399" i="14" l="1"/>
  <c r="C400" i="14" s="1"/>
  <c r="D400" i="14" s="1"/>
  <c r="G400" i="14" s="1"/>
  <c r="E400" i="14" l="1"/>
  <c r="H400" i="14" s="1"/>
  <c r="C401" i="14" s="1"/>
  <c r="D401" i="14" s="1"/>
  <c r="G401" i="14" s="1"/>
  <c r="E401" i="14" l="1"/>
  <c r="H401" i="14" s="1"/>
  <c r="C402" i="14" s="1"/>
  <c r="D402" i="14" s="1"/>
  <c r="G402" i="14" s="1"/>
  <c r="E402" i="14" l="1"/>
  <c r="H402" i="14" s="1"/>
  <c r="C403" i="14" s="1"/>
  <c r="D403" i="14" l="1"/>
  <c r="G403" i="14" s="1"/>
  <c r="E403" i="14" l="1"/>
  <c r="H403" i="14" s="1"/>
  <c r="C404" i="14" s="1"/>
  <c r="D404" i="14" s="1"/>
  <c r="G404" i="14" s="1"/>
  <c r="E404" i="14" l="1"/>
  <c r="H404" i="14" s="1"/>
  <c r="C405" i="14" s="1"/>
  <c r="D405" i="14" l="1"/>
  <c r="G405" i="14" s="1"/>
  <c r="E405" i="14" l="1"/>
  <c r="H405" i="14" s="1"/>
  <c r="C406" i="14" s="1"/>
  <c r="D406" i="14" s="1"/>
  <c r="G406" i="14" l="1"/>
  <c r="E406" i="14"/>
  <c r="H406" i="14" l="1"/>
  <c r="C407" i="14" s="1"/>
  <c r="D407" i="14" s="1"/>
  <c r="G407" i="14" s="1"/>
  <c r="E407" i="14" l="1"/>
  <c r="H407" i="14" s="1"/>
  <c r="C408" i="14" s="1"/>
  <c r="D408" i="14" s="1"/>
  <c r="G408" i="14" s="1"/>
  <c r="E408" i="14" l="1"/>
  <c r="H408" i="14" s="1"/>
  <c r="C409" i="14" s="1"/>
  <c r="D409" i="14" l="1"/>
  <c r="G409" i="14" s="1"/>
  <c r="E409" i="14" l="1"/>
  <c r="H409" i="14" s="1"/>
  <c r="C410" i="14" s="1"/>
  <c r="D410" i="14" l="1"/>
  <c r="G410" i="14" s="1"/>
  <c r="E410" i="14" l="1"/>
  <c r="H410" i="14" s="1"/>
  <c r="C411" i="14" s="1"/>
  <c r="D411" i="14" l="1"/>
  <c r="G411" i="14" s="1"/>
  <c r="E411" i="14" l="1"/>
  <c r="H411" i="14" s="1"/>
  <c r="C412" i="14" s="1"/>
  <c r="D412" i="14" l="1"/>
  <c r="G412" i="14" s="1"/>
  <c r="E412" i="14" l="1"/>
  <c r="H412" i="14" s="1"/>
  <c r="C413" i="14" s="1"/>
  <c r="D413" i="14" l="1"/>
  <c r="G413" i="14" s="1"/>
  <c r="E413" i="14" l="1"/>
  <c r="H413" i="14" s="1"/>
  <c r="C414" i="14" s="1"/>
  <c r="D414" i="14" s="1"/>
  <c r="G414" i="14" s="1"/>
  <c r="E414" i="14" l="1"/>
  <c r="H414" i="14" s="1"/>
  <c r="C415" i="14" s="1"/>
  <c r="D415" i="14" l="1"/>
  <c r="G415" i="14" s="1"/>
  <c r="E415" i="14" l="1"/>
  <c r="H415" i="14" s="1"/>
  <c r="C416" i="14" s="1"/>
  <c r="D416" i="14" l="1"/>
  <c r="G416" i="14" s="1"/>
  <c r="E416" i="14" l="1"/>
  <c r="H416" i="14" s="1"/>
  <c r="C417" i="14" s="1"/>
  <c r="D417" i="14" s="1"/>
  <c r="G417" i="14" s="1"/>
  <c r="E417" i="14" l="1"/>
  <c r="H417" i="14" s="1"/>
  <c r="C418" i="14" s="1"/>
  <c r="D418" i="14" l="1"/>
  <c r="G418" i="14" s="1"/>
  <c r="E418" i="14" l="1"/>
  <c r="H418" i="14" s="1"/>
  <c r="C419" i="14" s="1"/>
  <c r="D419" i="14" l="1"/>
  <c r="G419" i="14" s="1"/>
  <c r="E419" i="14" l="1"/>
  <c r="H419" i="14" s="1"/>
  <c r="C420" i="14" s="1"/>
  <c r="D420" i="14" l="1"/>
  <c r="G420" i="14" s="1"/>
  <c r="E420" i="14" l="1"/>
  <c r="H420" i="14" s="1"/>
  <c r="C421" i="14" s="1"/>
  <c r="D421" i="14" l="1"/>
  <c r="G421" i="14" s="1"/>
  <c r="E421" i="14" l="1"/>
  <c r="H421" i="14" s="1"/>
  <c r="C422" i="14" s="1"/>
  <c r="D422" i="14" l="1"/>
  <c r="G422" i="14" s="1"/>
  <c r="E422" i="14" l="1"/>
  <c r="H422" i="14" s="1"/>
  <c r="C423" i="14" s="1"/>
  <c r="D423" i="14" s="1"/>
  <c r="G423" i="14" s="1"/>
  <c r="E423" i="14" l="1"/>
  <c r="H423" i="14" s="1"/>
  <c r="C424" i="14" s="1"/>
  <c r="D424" i="14" l="1"/>
  <c r="G424" i="14" s="1"/>
  <c r="E424" i="14" l="1"/>
  <c r="H424" i="14" s="1"/>
  <c r="C425" i="14" s="1"/>
  <c r="D425" i="14" s="1"/>
  <c r="G425" i="14" s="1"/>
  <c r="E425" i="14" l="1"/>
  <c r="H425" i="14" s="1"/>
  <c r="C426" i="14" s="1"/>
  <c r="D426" i="14" l="1"/>
  <c r="G426" i="14" s="1"/>
  <c r="E426" i="14" l="1"/>
  <c r="H426" i="14" s="1"/>
  <c r="C427" i="14" s="1"/>
  <c r="D427" i="14" s="1"/>
  <c r="G427" i="14" s="1"/>
  <c r="E427" i="14" l="1"/>
  <c r="H427" i="14" s="1"/>
  <c r="C428" i="14" s="1"/>
  <c r="D428" i="14" s="1"/>
  <c r="G428" i="14" s="1"/>
  <c r="E428" i="14" l="1"/>
  <c r="H428" i="14" s="1"/>
  <c r="C429" i="14" s="1"/>
  <c r="D429" i="14" l="1"/>
  <c r="G429" i="14" s="1"/>
  <c r="E429" i="14" l="1"/>
  <c r="H429" i="14" s="1"/>
  <c r="C430" i="14" s="1"/>
  <c r="D430" i="14" l="1"/>
  <c r="D431" i="14" l="1"/>
  <c r="N6" i="14" s="1"/>
  <c r="G430" i="14"/>
  <c r="G431" i="14" s="1"/>
  <c r="N8" i="14" s="1"/>
  <c r="E430" i="14"/>
  <c r="H430" i="14" l="1"/>
</calcChain>
</file>

<file path=xl/sharedStrings.xml><?xml version="1.0" encoding="utf-8"?>
<sst xmlns="http://schemas.openxmlformats.org/spreadsheetml/2006/main" count="1008" uniqueCount="410">
  <si>
    <t>© Escola de Imóveis - www.escoladeimoveis.com.br | Siga no instagram e tenha o melhor conteúdo: @escoladeimoveis</t>
  </si>
  <si>
    <t>É terminantemente proibida a utilização, acesso, cópia ou divulgação não autorizada das informações presentes nesta planilha.</t>
  </si>
  <si>
    <t>ATENÇÃO: SOMENTE ALTERAR AS CÉLULAS ROXAS COM A ESCRITA FAÇA VOCÊ</t>
  </si>
  <si>
    <t>Valor Presente (VP ou PV)</t>
  </si>
  <si>
    <t>Ex 1.0</t>
  </si>
  <si>
    <t>Faça Você</t>
  </si>
  <si>
    <t>Resposta</t>
  </si>
  <si>
    <t>Ex 1.1</t>
  </si>
  <si>
    <t>Valor Futuro</t>
  </si>
  <si>
    <t>Período</t>
  </si>
  <si>
    <t>Taxa</t>
  </si>
  <si>
    <t>Valor Presente</t>
  </si>
  <si>
    <t>Valor Futuro (VF ou FV)</t>
  </si>
  <si>
    <t>Ex 2.0</t>
  </si>
  <si>
    <t>Ex 2.1</t>
  </si>
  <si>
    <t>Valor Presente LÍquido (VPL ou NPV)</t>
  </si>
  <si>
    <t>Custo de Capital</t>
  </si>
  <si>
    <t>Investimento</t>
  </si>
  <si>
    <t>VPL</t>
  </si>
  <si>
    <t>Renda</t>
  </si>
  <si>
    <t>Venda</t>
  </si>
  <si>
    <t>Taxa Interna de Retorno (TIR ou IRR)</t>
  </si>
  <si>
    <t>TIR</t>
  </si>
  <si>
    <t>Diferença TIR e VPL</t>
  </si>
  <si>
    <t>Receita Total</t>
  </si>
  <si>
    <t>Ex 3.0</t>
  </si>
  <si>
    <t>Ex 4.0</t>
  </si>
  <si>
    <t>Retorno sobre o Investimento (ROI) e Múltiplo</t>
  </si>
  <si>
    <t>ROI</t>
  </si>
  <si>
    <t>Múltiplo</t>
  </si>
  <si>
    <t>Payback</t>
  </si>
  <si>
    <t>Payback 1</t>
  </si>
  <si>
    <t>Payback Saldo</t>
  </si>
  <si>
    <t>CAP &amp; Yield</t>
  </si>
  <si>
    <t>CAP 2021</t>
  </si>
  <si>
    <t>À Vista</t>
  </si>
  <si>
    <t>Yield 2021 Ala</t>
  </si>
  <si>
    <t>Alavancado</t>
  </si>
  <si>
    <t>Yield Médio Ala</t>
  </si>
  <si>
    <t>Financiamento</t>
  </si>
  <si>
    <t>Cap Rate</t>
  </si>
  <si>
    <t>Yield Ala</t>
  </si>
  <si>
    <t>SAC</t>
  </si>
  <si>
    <t>Valor Imóvel</t>
  </si>
  <si>
    <t>LTV</t>
  </si>
  <si>
    <t>Juros Devidos</t>
  </si>
  <si>
    <t>Principal Devido</t>
  </si>
  <si>
    <t>Empréstimo</t>
  </si>
  <si>
    <t>Nº Parcelas</t>
  </si>
  <si>
    <t>Taxa Anual</t>
  </si>
  <si>
    <t>Taxa Mensal</t>
  </si>
  <si>
    <t>Renda Min.</t>
  </si>
  <si>
    <t>Total Devido</t>
  </si>
  <si>
    <t>Parcela</t>
  </si>
  <si>
    <t>Saldo Inicial</t>
  </si>
  <si>
    <t>Juros</t>
  </si>
  <si>
    <t>Saldo Atualizado</t>
  </si>
  <si>
    <t>Amortização</t>
  </si>
  <si>
    <t>Prestação</t>
  </si>
  <si>
    <t>Saldo Devedor</t>
  </si>
  <si>
    <t>PRICE</t>
  </si>
  <si>
    <t>Pesquisa de Mercado Compra</t>
  </si>
  <si>
    <t>FI</t>
  </si>
  <si>
    <t>*Ajustar o custo do piso de acordo com o tamanho médio das comparações</t>
  </si>
  <si>
    <t>Custo Médio</t>
  </si>
  <si>
    <t>M² Médio</t>
  </si>
  <si>
    <t>FIPEZAP - São Paulo</t>
  </si>
  <si>
    <t>SECOVI - Novos República</t>
  </si>
  <si>
    <t>Estimativa Custo Adicional Studio</t>
  </si>
  <si>
    <t>Endereço</t>
  </si>
  <si>
    <t>Configuração do Apartamento</t>
  </si>
  <si>
    <t>Características do Apartamento</t>
  </si>
  <si>
    <t>Característicad do Condomínio</t>
  </si>
  <si>
    <t>Características Financeiras do Imóvel</t>
  </si>
  <si>
    <t>Av/Rua</t>
  </si>
  <si>
    <t>Número</t>
  </si>
  <si>
    <t>Bairro</t>
  </si>
  <si>
    <t>Metrô</t>
  </si>
  <si>
    <t>Condomínio</t>
  </si>
  <si>
    <t>Link</t>
  </si>
  <si>
    <t>Dormitórios</t>
  </si>
  <si>
    <t>Banheiros</t>
  </si>
  <si>
    <t>Suíte</t>
  </si>
  <si>
    <t>Vaga</t>
  </si>
  <si>
    <t>Andar</t>
  </si>
  <si>
    <t>Posição</t>
  </si>
  <si>
    <t>Vista</t>
  </si>
  <si>
    <t>Visual</t>
  </si>
  <si>
    <t>Aspecto</t>
  </si>
  <si>
    <t>Ano</t>
  </si>
  <si>
    <t>M² Privativo</t>
  </si>
  <si>
    <t>Parede</t>
  </si>
  <si>
    <t>Piso</t>
  </si>
  <si>
    <t>Sacada</t>
  </si>
  <si>
    <t>Box</t>
  </si>
  <si>
    <t>Chuveiro</t>
  </si>
  <si>
    <t>Persiana</t>
  </si>
  <si>
    <t>Ar Condicionado</t>
  </si>
  <si>
    <t>Mar. Cozinha</t>
  </si>
  <si>
    <t>Mar. Banheiro</t>
  </si>
  <si>
    <t>Mar. Quarto</t>
  </si>
  <si>
    <t>Cooktop</t>
  </si>
  <si>
    <t>Portaria</t>
  </si>
  <si>
    <t>Lavanderia</t>
  </si>
  <si>
    <t>Academia</t>
  </si>
  <si>
    <t>Salão de Festas</t>
  </si>
  <si>
    <t>Coworking</t>
  </si>
  <si>
    <t>Piscina</t>
  </si>
  <si>
    <t>Pet Place</t>
  </si>
  <si>
    <t>Bicicletário</t>
  </si>
  <si>
    <t>Rooftop</t>
  </si>
  <si>
    <t>Cond/M²</t>
  </si>
  <si>
    <t>IPTU Mês</t>
  </si>
  <si>
    <t>Compra</t>
  </si>
  <si>
    <t>Cartório</t>
  </si>
  <si>
    <t>M² Compra</t>
  </si>
  <si>
    <t>Adicional</t>
  </si>
  <si>
    <t>M² Total</t>
  </si>
  <si>
    <t>Var M² Total</t>
  </si>
  <si>
    <t>Custo Total</t>
  </si>
  <si>
    <t>Av Duque de Caxias</t>
  </si>
  <si>
    <t>Centro</t>
  </si>
  <si>
    <t>100m</t>
  </si>
  <si>
    <t>Smart Santa Cecília</t>
  </si>
  <si>
    <t>4</t>
  </si>
  <si>
    <t>Norte</t>
  </si>
  <si>
    <t>Lateral</t>
  </si>
  <si>
    <t>Livre</t>
  </si>
  <si>
    <t>Decorado</t>
  </si>
  <si>
    <t>Drywall</t>
  </si>
  <si>
    <t>Porcelanato</t>
  </si>
  <si>
    <t>Aberta</t>
  </si>
  <si>
    <t>Vidro</t>
  </si>
  <si>
    <t>Gás Individual</t>
  </si>
  <si>
    <t>Interna</t>
  </si>
  <si>
    <t>Quarto/Sala</t>
  </si>
  <si>
    <t>Sim</t>
  </si>
  <si>
    <t>Não tem</t>
  </si>
  <si>
    <t>24h</t>
  </si>
  <si>
    <t>Industrial</t>
  </si>
  <si>
    <t>Simples</t>
  </si>
  <si>
    <t>Gourmet</t>
  </si>
  <si>
    <t>Pequeno</t>
  </si>
  <si>
    <t>Externa</t>
  </si>
  <si>
    <t>Com bicicletas</t>
  </si>
  <si>
    <t>Rua dos Timbiras</t>
  </si>
  <si>
    <t>500m</t>
  </si>
  <si>
    <t>SP New Home</t>
  </si>
  <si>
    <t>https://www.quintoandar.com.br/imovel/893047060/comprar?search_rank=%7B%22sortMode%22%3A%22relevance%22%2C%22searchMode%22%3A%22list%22%2C%22resultsOrigin%22%3A%22search%22%2C%22rank%22%3A23%2C%22personalization%22%3Atrue%7D&amp;search_id=%22fa0112d01cae11ebaa36ea959c5fd97d%22&amp;from_route=%22search_results%22</t>
  </si>
  <si>
    <t>10</t>
  </si>
  <si>
    <t>Oeste</t>
  </si>
  <si>
    <t>Frente</t>
  </si>
  <si>
    <t>Novo</t>
  </si>
  <si>
    <t>Embutida Janela</t>
  </si>
  <si>
    <t>Completa</t>
  </si>
  <si>
    <t>Churrasqueira</t>
  </si>
  <si>
    <t>Pacote Médio</t>
  </si>
  <si>
    <t>M² Pacote</t>
  </si>
  <si>
    <t>Índice Comparativo</t>
  </si>
  <si>
    <t>Ano Construção</t>
  </si>
  <si>
    <t>Seguro</t>
  </si>
  <si>
    <t>Locação</t>
  </si>
  <si>
    <t>M² Locação</t>
  </si>
  <si>
    <t>Pacote</t>
  </si>
  <si>
    <t>Var Pacote</t>
  </si>
  <si>
    <t>Var M² Pacote</t>
  </si>
  <si>
    <t>11/12/2022 - V2-2.1 - Ajustado erro do ponto e virgula dos números de seleção.</t>
  </si>
  <si>
    <t>14/02/2024 - V2-2.2 - Adicionado campos para cáculo de aluguel de Airbnb</t>
  </si>
  <si>
    <t>15/02/2024 - V2-2.3 - Ajustado erro na fórmula de vacância.</t>
  </si>
  <si>
    <t>Viabilidade</t>
  </si>
  <si>
    <t>Premissas de Compra (Pronto)</t>
  </si>
  <si>
    <t>Premissas de Compra (Planta)</t>
  </si>
  <si>
    <t>Premissas de Locação e Operação</t>
  </si>
  <si>
    <t>Premissas de Venda e Mercado</t>
  </si>
  <si>
    <t>Compra planta?</t>
  </si>
  <si>
    <t>Não</t>
  </si>
  <si>
    <t>Aluguel</t>
  </si>
  <si>
    <t>Inflação Aluguel</t>
  </si>
  <si>
    <t>Prazo Obra</t>
  </si>
  <si>
    <t>Vacância Mês</t>
  </si>
  <si>
    <t>Valorização Imóvel</t>
  </si>
  <si>
    <t>INCC</t>
  </si>
  <si>
    <t>Corretagem</t>
  </si>
  <si>
    <t>Reforma 10º Ano</t>
  </si>
  <si>
    <t>Tamanho (m²)</t>
  </si>
  <si>
    <t>Pagamento Obra</t>
  </si>
  <si>
    <t>Tempo Contrato</t>
  </si>
  <si>
    <t>Comissão Venda</t>
  </si>
  <si>
    <t>Entrada</t>
  </si>
  <si>
    <t>Adm Mensal</t>
  </si>
  <si>
    <t>Saída (Ano)</t>
  </si>
  <si>
    <t>1ª Parcela Mensal</t>
  </si>
  <si>
    <t>Fundo Reparos</t>
  </si>
  <si>
    <t>Custo Capital</t>
  </si>
  <si>
    <t>Chaves</t>
  </si>
  <si>
    <t>IPTU</t>
  </si>
  <si>
    <t>IR Renda</t>
  </si>
  <si>
    <t>IR Venda</t>
  </si>
  <si>
    <t>ITBI</t>
  </si>
  <si>
    <t>Para Airbnb (Usar para calcular aluguel)</t>
  </si>
  <si>
    <t>Escritura</t>
  </si>
  <si>
    <t>Parcelas Obra</t>
  </si>
  <si>
    <t>Registro</t>
  </si>
  <si>
    <t>Avaliação</t>
  </si>
  <si>
    <t>Total (100%)</t>
  </si>
  <si>
    <t>Diária Média</t>
  </si>
  <si>
    <t>Comparador de Cenários (Teste as variações do modelo)</t>
  </si>
  <si>
    <t>Reforma Inicial</t>
  </si>
  <si>
    <t>*Para calcular certo a parcela de chaves não pode ser 0%</t>
  </si>
  <si>
    <t>Ocupação Média</t>
  </si>
  <si>
    <t>Mto. Pessimista</t>
  </si>
  <si>
    <t>Pessimista</t>
  </si>
  <si>
    <t>Normal</t>
  </si>
  <si>
    <t>Otimista</t>
  </si>
  <si>
    <t>Mto. otimista</t>
  </si>
  <si>
    <t>Prazo Reforma</t>
  </si>
  <si>
    <t>Administrador</t>
  </si>
  <si>
    <t>Cenário A</t>
  </si>
  <si>
    <t>Cenário B</t>
  </si>
  <si>
    <t>Cenário C</t>
  </si>
  <si>
    <t>Cenário D</t>
  </si>
  <si>
    <t>Cenário E</t>
  </si>
  <si>
    <t>Custo Alavancado</t>
  </si>
  <si>
    <t>Luz/Gás</t>
  </si>
  <si>
    <t>Internet</t>
  </si>
  <si>
    <t>Custo m² Compra</t>
  </si>
  <si>
    <t>Outros</t>
  </si>
  <si>
    <t>Custo m² Total</t>
  </si>
  <si>
    <t>Aluguel Airbnb</t>
  </si>
  <si>
    <t>Imóvel Pronto</t>
  </si>
  <si>
    <t>Limpeza foi considerada paga com a taxa de limpeza</t>
  </si>
  <si>
    <t>Valor de Mercado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</si>
  <si>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</si>
  <si>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</si>
  <si>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</si>
  <si>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</si>
  <si>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</si>
  <si>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</si>
  <si>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</si>
  <si>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</si>
  <si>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</si>
  <si>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10º Ano</t>
  </si>
  <si>
    <t>11º Ano</t>
  </si>
  <si>
    <t>12º Ano</t>
  </si>
  <si>
    <t>13º Ano</t>
  </si>
  <si>
    <t>14º Ano</t>
  </si>
  <si>
    <t>15º Ano</t>
  </si>
  <si>
    <t>Indicadores À Vista</t>
  </si>
  <si>
    <t>Multiplo</t>
  </si>
  <si>
    <t>Fluxo</t>
  </si>
  <si>
    <t>Yield</t>
  </si>
  <si>
    <t>Alavancagem</t>
  </si>
  <si>
    <t>Indicadores Alavancado</t>
  </si>
  <si>
    <t>TIR Ala.</t>
  </si>
  <si>
    <t>ROI Ala.</t>
  </si>
  <si>
    <t>Multiplo Ala.</t>
  </si>
  <si>
    <t>VPL Ala.</t>
  </si>
  <si>
    <t>VPL Comparado</t>
  </si>
  <si>
    <t>Imóvel na Planta</t>
  </si>
  <si>
    <t>Pagto/Renda</t>
  </si>
  <si>
    <t>Auxiliar Viabilidade Completa</t>
  </si>
  <si>
    <t>Mês</t>
  </si>
  <si>
    <t>Offset Mês</t>
  </si>
  <si>
    <t>Administração</t>
  </si>
  <si>
    <t>Vacância</t>
  </si>
  <si>
    <t>Imposto</t>
  </si>
  <si>
    <t>Líquido Alavan.</t>
  </si>
  <si>
    <t>Líquido À Vista</t>
  </si>
  <si>
    <t>Parcela Entrega</t>
  </si>
  <si>
    <t>Total Planta</t>
  </si>
  <si>
    <t>Mês Ajustado</t>
  </si>
  <si>
    <t>Offset Planta</t>
  </si>
  <si>
    <t>10 Ano</t>
  </si>
  <si>
    <t>11 Ano</t>
  </si>
  <si>
    <t>Smart Santa Cecília - 2019</t>
  </si>
  <si>
    <t>Preço</t>
  </si>
  <si>
    <t>Quantidade</t>
  </si>
  <si>
    <t>Valor Total</t>
  </si>
  <si>
    <t>Mobi One Frei - 2021</t>
  </si>
  <si>
    <t>1) Pisos e Revestimentos</t>
  </si>
  <si>
    <t>1.1) Porcelanato Piso</t>
  </si>
  <si>
    <t>Porcelanato 60x60</t>
  </si>
  <si>
    <t>Porcelanato Cimento</t>
  </si>
  <si>
    <t>Rodape</t>
  </si>
  <si>
    <t>Rodape Architech 5cm (18m)</t>
  </si>
  <si>
    <t>Rejunte</t>
  </si>
  <si>
    <t>Argamassa</t>
  </si>
  <si>
    <t>Massa Corrida</t>
  </si>
  <si>
    <t>Instalação Piso (m2)</t>
  </si>
  <si>
    <t>Instalação Rodape</t>
  </si>
  <si>
    <t>1.2) Cerâmica Parede</t>
  </si>
  <si>
    <t>Cerâmica Metro Black</t>
  </si>
  <si>
    <t>Cerâmica Metro White</t>
  </si>
  <si>
    <t>Cerâmica Metro Azul</t>
  </si>
  <si>
    <t>Diaria Servente</t>
  </si>
  <si>
    <t>1.3) Adesivo de Parede</t>
  </si>
  <si>
    <t>Wallpaper Eucolo Geométrico</t>
  </si>
  <si>
    <t>2) Pintura</t>
  </si>
  <si>
    <t>Instalação Papel de Parede</t>
  </si>
  <si>
    <t>2.1) Pintura Parede</t>
  </si>
  <si>
    <t>Tinta (Pago Nubank)</t>
  </si>
  <si>
    <t>Diaria Servente (47 m2 de parede)</t>
  </si>
  <si>
    <t>Tinta</t>
  </si>
  <si>
    <t>3) Pedras</t>
  </si>
  <si>
    <t>3.1) Granito Cozinha</t>
  </si>
  <si>
    <t>Corte Granito</t>
  </si>
  <si>
    <t>4) Elétrica &amp; Iluminação</t>
  </si>
  <si>
    <t>4.1) Luminárias</t>
  </si>
  <si>
    <t>Spot Sobrepor</t>
  </si>
  <si>
    <t>Ventilador Teto Preto</t>
  </si>
  <si>
    <t>Lampadas</t>
  </si>
  <si>
    <t>Trilho com Spot Preto</t>
  </si>
  <si>
    <t>Pendente Retro</t>
  </si>
  <si>
    <t>Lampada Pendente</t>
  </si>
  <si>
    <t>Spot</t>
  </si>
  <si>
    <t>Chuveiro Elétrico</t>
  </si>
  <si>
    <t>Diaria Eletrecista</t>
  </si>
  <si>
    <t>4.2) Tomadas</t>
  </si>
  <si>
    <t>Tomada Branca</t>
  </si>
  <si>
    <t>Mudança Ponto Tomada &amp; Interfone</t>
  </si>
  <si>
    <t>5) Vidros &amp; Espelhos</t>
  </si>
  <si>
    <t>5.1) Vidros</t>
  </si>
  <si>
    <t>Box Banheiro</t>
  </si>
  <si>
    <t>Box Banheiro (c/ instalação)</t>
  </si>
  <si>
    <t>5.2) Espelhos</t>
  </si>
  <si>
    <t>Espelho Banheiro Retro</t>
  </si>
  <si>
    <t>Espelho Banheiro</t>
  </si>
  <si>
    <t>6) Documentos</t>
  </si>
  <si>
    <t>6.1Documentos</t>
  </si>
  <si>
    <t>RRT &amp; Documentos</t>
  </si>
  <si>
    <t>7) Eletrodomésticos</t>
  </si>
  <si>
    <t>7.1) Eletrodomésticos</t>
  </si>
  <si>
    <t>Geladeira</t>
  </si>
  <si>
    <t>Microondas</t>
  </si>
  <si>
    <t>Cooktop Elétrico</t>
  </si>
  <si>
    <t>Cooktop Indução</t>
  </si>
  <si>
    <t>Aquecedor Gás</t>
  </si>
  <si>
    <t>TV</t>
  </si>
  <si>
    <t>Ar Condicionado (Usado)</t>
  </si>
  <si>
    <t>Climatizador</t>
  </si>
  <si>
    <t>Instalação Ar Condicionado</t>
  </si>
  <si>
    <t>Fechadura Digital</t>
  </si>
  <si>
    <t>Cafeteira</t>
  </si>
  <si>
    <t>8) Mobiliário &amp; Decoração</t>
  </si>
  <si>
    <t>8.1) Mobiliário</t>
  </si>
  <si>
    <t>Marcenaria Cozinha</t>
  </si>
  <si>
    <t>Mesa de Jantar</t>
  </si>
  <si>
    <t>Cadeiras</t>
  </si>
  <si>
    <t>Gabinete Cozinha</t>
  </si>
  <si>
    <t>Banco</t>
  </si>
  <si>
    <t>Prateleiras Cozinha &amp; Fechamento</t>
  </si>
  <si>
    <t>Sofa</t>
  </si>
  <si>
    <t>Mesa de Jantar Alta</t>
  </si>
  <si>
    <t>Rack TV</t>
  </si>
  <si>
    <t>Banqueta</t>
  </si>
  <si>
    <t>Cama Bau + Colchão</t>
  </si>
  <si>
    <t>Escrivaninha</t>
  </si>
  <si>
    <t>Arara Roupas</t>
  </si>
  <si>
    <t>Armario Banheiro</t>
  </si>
  <si>
    <t>Apoio Sofa</t>
  </si>
  <si>
    <t>Armario Guarda Roupas</t>
  </si>
  <si>
    <t>8.2) Decoração</t>
  </si>
  <si>
    <t>Cortina Blackout</t>
  </si>
  <si>
    <t>Prateleira</t>
  </si>
  <si>
    <t>Instalação Persiana</t>
  </si>
  <si>
    <t>Total da Obra em 2019</t>
  </si>
  <si>
    <t>Cortina Blackout e Trilo</t>
  </si>
  <si>
    <t>Quadros</t>
  </si>
  <si>
    <t>Em Junho de 2022 eu tirei esse studio do QuintoAndar e coloquei no Airbnb, por isso tive que complementar o enxoval com os itens abaixo para publicar no Airbnb</t>
  </si>
  <si>
    <t>Roupa de Cama</t>
  </si>
  <si>
    <t>Tapetes</t>
  </si>
  <si>
    <t>Lixeira</t>
  </si>
  <si>
    <t>Smart Santa Cecília - 2022</t>
  </si>
  <si>
    <t>Kit Pia</t>
  </si>
  <si>
    <t>Decorações</t>
  </si>
  <si>
    <t>8.2) Decoração Airbnb</t>
  </si>
  <si>
    <t>Kit 2 Travesseiros</t>
  </si>
  <si>
    <t>Total da Obra</t>
  </si>
  <si>
    <t>Cafeteira Mondial</t>
  </si>
  <si>
    <t>Livros</t>
  </si>
  <si>
    <t>Leroy Tintas</t>
  </si>
  <si>
    <t>Mesa Lateral</t>
  </si>
  <si>
    <t>Lençol e Toalhas</t>
  </si>
  <si>
    <t>Pintura/Instalação</t>
  </si>
  <si>
    <t>Panela</t>
  </si>
  <si>
    <t>Decorações e Louças</t>
  </si>
  <si>
    <t>Secador Cabelo</t>
  </si>
  <si>
    <t>Limpeza Ar Condicionado</t>
  </si>
  <si>
    <t>Filtro de Água e Lixeira</t>
  </si>
  <si>
    <t>Sabonetes de hotel</t>
  </si>
  <si>
    <t>Total da Obra com enxoval de 2022</t>
  </si>
  <si>
    <t>Studio Santa Cecília</t>
  </si>
  <si>
    <t>Receita Bruta</t>
  </si>
  <si>
    <t>Data Compra</t>
  </si>
  <si>
    <t>Data Entrega</t>
  </si>
  <si>
    <t>Luz</t>
  </si>
  <si>
    <t>Valor CCV</t>
  </si>
  <si>
    <t>Limpeza</t>
  </si>
  <si>
    <t>Entrada + Parcelas</t>
  </si>
  <si>
    <t>Custas</t>
  </si>
  <si>
    <t>Total Despesas</t>
  </si>
  <si>
    <t>Resultado Ope.</t>
  </si>
  <si>
    <t>Obra</t>
  </si>
  <si>
    <t>Cap Rate (Antes Imposto)</t>
  </si>
  <si>
    <t>Resultado</t>
  </si>
  <si>
    <t>Yeld (Antes Imposto)</t>
  </si>
  <si>
    <t>Dias Mês</t>
  </si>
  <si>
    <t>Alugados</t>
  </si>
  <si>
    <t>Ocupação</t>
  </si>
  <si>
    <t>Diária Média (c/ Limpeza)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</si>
</sst>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[$R$ -416]#,##0.00"/>
    <numFmt numFmtId="168" formatCode="[$R$ -416]#,##0"/>
    <numFmt numFmtId="169" formatCode="0.0%"/>
    <numFmt numFmtId="170" formatCode="0.000%"/>
    <numFmt numFmtId="171" formatCode="0\ "/>
    <numFmt numFmtId="172" formatCode="#,##0.0"/>
    <numFmt numFmtId="173" formatCode="[$R$ -416]#,##0.00000"/>
    <numFmt numFmtId="174" formatCode="&quot;R$&quot;\ #,##0.00"/>
  </numFmts>
  <fonts count="33">
    <font>
      <sz val="10"/>
      <color rgb="FF000000"/>
      <name val="Arial"/>
      <scheme val="minor"/>
    </font>
    <font>
      <sz val="10"/>
      <color theme="1"/>
      <name val="Arial"/>
    </font>
    <font>
      <b/>
      <u/>
      <sz val="9"/>
      <color rgb="FFFFFFFF"/>
      <name val="Arial"/>
    </font>
    <font>
      <b/>
      <sz val="9"/>
      <color rgb="FFFFFFFF"/>
      <name val="Arial"/>
    </font>
    <font>
      <sz val="9"/>
      <color theme="1"/>
      <name val="Arial"/>
    </font>
    <font>
      <i/>
      <sz val="9"/>
      <color rgb="FF000000"/>
      <name val="Arial"/>
    </font>
    <font>
      <i/>
      <sz val="9"/>
      <color theme="1"/>
      <name val="Arial"/>
    </font>
    <font>
      <b/>
      <i/>
      <sz val="9"/>
      <color rgb="FF000000"/>
      <name val="Arial"/>
    </font>
    <font>
      <sz val="1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FFFFFF"/>
      <name val="Arial"/>
    </font>
    <font>
      <sz val="9"/>
      <color rgb="FF666666"/>
      <name val="Arial"/>
    </font>
    <font>
      <b/>
      <sz val="9"/>
      <color theme="1"/>
      <name val="Arial"/>
    </font>
    <font>
      <sz val="10"/>
      <color rgb="FF000000"/>
      <name val="Arial"/>
    </font>
    <font>
      <b/>
      <sz val="9"/>
      <color rgb="FF666666"/>
      <name val="Arial"/>
    </font>
    <font>
      <i/>
      <sz val="9"/>
      <color rgb="FFB7B7B7"/>
      <name val="Arial"/>
    </font>
    <font>
      <sz val="9"/>
      <color rgb="FFB7B7B7"/>
      <name val="Arial"/>
    </font>
    <font>
      <i/>
      <sz val="9"/>
      <color rgb="FF3CAEA3"/>
      <name val="Arial"/>
    </font>
    <font>
      <u/>
      <sz val="9"/>
      <color rgb="FFFFFFFF"/>
      <name val="Arial"/>
    </font>
    <font>
      <i/>
      <sz val="8"/>
      <color theme="1"/>
      <name val="Arial"/>
    </font>
    <font>
      <i/>
      <sz val="9"/>
      <color rgb="FF666666"/>
      <name val="Arial"/>
    </font>
    <font>
      <b/>
      <sz val="10"/>
      <color rgb="FF000000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9"/>
      <color rgb="FF666666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0639B"/>
        <bgColor rgb="FF20639B"/>
      </patternFill>
    </fill>
    <fill>
      <patternFill patternType="solid">
        <fgColor rgb="FFFFFFFF"/>
        <bgColor rgb="FFFFFFFF"/>
      </patternFill>
    </fill>
    <fill>
      <patternFill patternType="solid">
        <fgColor rgb="FF9F84A7"/>
        <bgColor rgb="FF9F84A7"/>
      </patternFill>
    </fill>
    <fill>
      <patternFill patternType="solid">
        <fgColor rgb="FFD9D9D9"/>
        <bgColor rgb="FFD9D9D9"/>
      </patternFill>
    </fill>
    <fill>
      <patternFill patternType="solid">
        <fgColor rgb="FF3CAEA3"/>
        <bgColor rgb="FF3CAEA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indexed="64"/>
      </patternFill>
    </fill>
    <fill>
      <patternFill patternType="solid">
        <fgColor rgb="FF9F84A7"/>
        <bgColor indexed="64"/>
      </patternFill>
    </fill>
    <fill>
      <patternFill patternType="solid">
        <fgColor rgb="FF20639B"/>
        <bgColor indexed="64"/>
      </patternFill>
    </fill>
    <fill>
      <patternFill patternType="solid">
        <fgColor rgb="FF3CAEA3"/>
        <bgColor indexed="64"/>
      </patternFill>
    </fill>
    <fill>
      <patternFill patternType="solid">
        <fgColor theme="2"/>
        <bgColor rgb="FF20639B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FFFFFF"/>
      </bottom>
      <diagonal/>
    </border>
    <border>
      <left/>
      <right/>
      <top style="dotted">
        <color rgb="FFFFFFFF"/>
      </top>
      <bottom style="dotted">
        <color rgb="FFFFFFFF"/>
      </bottom>
      <diagonal/>
    </border>
    <border>
      <left/>
      <right/>
      <top style="dotted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66" fontId="23" fillId="0" borderId="0" applyFont="0" applyFill="0" applyBorder="0" applyAlignment="0" applyProtection="0"/>
  </cellStyleXfs>
  <cellXfs count="290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7" fontId="3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67" fontId="10" fillId="6" borderId="3" xfId="0" applyNumberFormat="1" applyFont="1" applyFill="1" applyBorder="1" applyAlignment="1">
      <alignment horizontal="left" vertical="center"/>
    </xf>
    <xf numFmtId="10" fontId="11" fillId="4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11" fillId="4" borderId="4" xfId="0" applyNumberFormat="1" applyFont="1" applyFill="1" applyBorder="1" applyAlignment="1">
      <alignment horizontal="left" vertical="center"/>
    </xf>
    <xf numFmtId="4" fontId="11" fillId="4" borderId="5" xfId="0" applyNumberFormat="1" applyFont="1" applyFill="1" applyBorder="1" applyAlignment="1">
      <alignment horizontal="left" vertical="center"/>
    </xf>
    <xf numFmtId="167" fontId="11" fillId="4" borderId="2" xfId="0" applyNumberFormat="1" applyFont="1" applyFill="1" applyBorder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11" fillId="4" borderId="4" xfId="0" applyNumberFormat="1" applyFont="1" applyFill="1" applyBorder="1" applyAlignment="1">
      <alignment horizontal="left" vertical="center"/>
    </xf>
    <xf numFmtId="167" fontId="11" fillId="4" borderId="6" xfId="0" applyNumberFormat="1" applyFont="1" applyFill="1" applyBorder="1" applyAlignment="1">
      <alignment horizontal="left" vertical="center"/>
    </xf>
    <xf numFmtId="167" fontId="11" fillId="4" borderId="5" xfId="0" applyNumberFormat="1" applyFont="1" applyFill="1" applyBorder="1" applyAlignment="1">
      <alignment horizontal="left" vertical="center"/>
    </xf>
    <xf numFmtId="167" fontId="10" fillId="3" borderId="3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169" fontId="11" fillId="4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171" fontId="10" fillId="0" borderId="0" xfId="0" applyNumberFormat="1" applyFont="1" applyAlignment="1">
      <alignment horizontal="left" vertical="center"/>
    </xf>
    <xf numFmtId="167" fontId="12" fillId="5" borderId="7" xfId="0" applyNumberFormat="1" applyFont="1" applyFill="1" applyBorder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1" fillId="0" borderId="0" xfId="0" applyNumberFormat="1" applyFont="1" applyAlignment="1">
      <alignment vertical="center"/>
    </xf>
    <xf numFmtId="168" fontId="11" fillId="4" borderId="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left" vertical="center"/>
    </xf>
    <xf numFmtId="167" fontId="11" fillId="4" borderId="8" xfId="0" applyNumberFormat="1" applyFont="1" applyFill="1" applyBorder="1" applyAlignment="1">
      <alignment horizontal="left" vertical="center"/>
    </xf>
    <xf numFmtId="168" fontId="11" fillId="4" borderId="9" xfId="0" applyNumberFormat="1" applyFont="1" applyFill="1" applyBorder="1" applyAlignment="1">
      <alignment horizontal="left" vertical="center"/>
    </xf>
    <xf numFmtId="168" fontId="11" fillId="4" borderId="10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171" fontId="11" fillId="4" borderId="11" xfId="0" applyNumberFormat="1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3" fontId="11" fillId="4" borderId="11" xfId="0" applyNumberFormat="1" applyFont="1" applyFill="1" applyBorder="1" applyAlignment="1">
      <alignment horizontal="left" vertical="center"/>
    </xf>
    <xf numFmtId="49" fontId="11" fillId="4" borderId="11" xfId="0" applyNumberFormat="1" applyFont="1" applyFill="1" applyBorder="1" applyAlignment="1">
      <alignment horizontal="left" vertical="center"/>
    </xf>
    <xf numFmtId="167" fontId="11" fillId="4" borderId="11" xfId="0" applyNumberFormat="1" applyFont="1" applyFill="1" applyBorder="1" applyAlignment="1">
      <alignment horizontal="left" vertical="center"/>
    </xf>
    <xf numFmtId="0" fontId="11" fillId="4" borderId="11" xfId="0" applyFont="1" applyFill="1" applyBorder="1" applyAlignment="1">
      <alignment vertical="center"/>
    </xf>
    <xf numFmtId="168" fontId="11" fillId="4" borderId="11" xfId="0" applyNumberFormat="1" applyFont="1" applyFill="1" applyBorder="1" applyAlignment="1">
      <alignment horizontal="left" vertical="center"/>
    </xf>
    <xf numFmtId="168" fontId="18" fillId="0" borderId="0" xfId="0" applyNumberFormat="1" applyFont="1" applyAlignment="1">
      <alignment horizontal="left" vertical="center"/>
    </xf>
    <xf numFmtId="10" fontId="18" fillId="0" borderId="0" xfId="0" applyNumberFormat="1" applyFont="1" applyAlignment="1">
      <alignment horizontal="left" vertical="center"/>
    </xf>
    <xf numFmtId="171" fontId="11" fillId="4" borderId="12" xfId="0" applyNumberFormat="1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3" fontId="11" fillId="4" borderId="12" xfId="0" applyNumberFormat="1" applyFont="1" applyFill="1" applyBorder="1" applyAlignment="1">
      <alignment horizontal="left" vertical="center"/>
    </xf>
    <xf numFmtId="49" fontId="11" fillId="4" borderId="12" xfId="0" applyNumberFormat="1" applyFont="1" applyFill="1" applyBorder="1" applyAlignment="1">
      <alignment horizontal="left" vertical="center"/>
    </xf>
    <xf numFmtId="167" fontId="11" fillId="4" borderId="12" xfId="0" applyNumberFormat="1" applyFont="1" applyFill="1" applyBorder="1" applyAlignment="1">
      <alignment horizontal="left" vertical="center"/>
    </xf>
    <xf numFmtId="0" fontId="11" fillId="4" borderId="12" xfId="0" applyFont="1" applyFill="1" applyBorder="1" applyAlignment="1">
      <alignment vertical="center"/>
    </xf>
    <xf numFmtId="168" fontId="11" fillId="4" borderId="12" xfId="0" applyNumberFormat="1" applyFont="1" applyFill="1" applyBorder="1" applyAlignment="1">
      <alignment horizontal="left" vertical="center"/>
    </xf>
    <xf numFmtId="171" fontId="11" fillId="4" borderId="13" xfId="0" applyNumberFormat="1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3" fontId="11" fillId="4" borderId="13" xfId="0" applyNumberFormat="1" applyFont="1" applyFill="1" applyBorder="1" applyAlignment="1">
      <alignment horizontal="left" vertical="center"/>
    </xf>
    <xf numFmtId="49" fontId="11" fillId="4" borderId="13" xfId="0" applyNumberFormat="1" applyFont="1" applyFill="1" applyBorder="1" applyAlignment="1">
      <alignment horizontal="left" vertical="center"/>
    </xf>
    <xf numFmtId="167" fontId="11" fillId="4" borderId="13" xfId="0" applyNumberFormat="1" applyFont="1" applyFill="1" applyBorder="1" applyAlignment="1">
      <alignment horizontal="left" vertical="center"/>
    </xf>
    <xf numFmtId="0" fontId="11" fillId="4" borderId="13" xfId="0" applyFont="1" applyFill="1" applyBorder="1" applyAlignment="1">
      <alignment vertical="center"/>
    </xf>
    <xf numFmtId="168" fontId="11" fillId="4" borderId="13" xfId="0" applyNumberFormat="1" applyFont="1" applyFill="1" applyBorder="1" applyAlignment="1">
      <alignment horizontal="left" vertical="center"/>
    </xf>
    <xf numFmtId="168" fontId="12" fillId="4" borderId="2" xfId="0" applyNumberFormat="1" applyFont="1" applyFill="1" applyBorder="1" applyAlignment="1">
      <alignment horizontal="left" vertical="center"/>
    </xf>
    <xf numFmtId="168" fontId="11" fillId="0" borderId="0" xfId="0" applyNumberFormat="1" applyFont="1" applyAlignment="1">
      <alignment horizontal="left" vertical="center"/>
    </xf>
    <xf numFmtId="171" fontId="11" fillId="4" borderId="12" xfId="0" applyNumberFormat="1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3" fontId="11" fillId="4" borderId="12" xfId="0" applyNumberFormat="1" applyFont="1" applyFill="1" applyBorder="1" applyAlignment="1">
      <alignment horizontal="left"/>
    </xf>
    <xf numFmtId="49" fontId="11" fillId="4" borderId="12" xfId="0" applyNumberFormat="1" applyFont="1" applyFill="1" applyBorder="1" applyAlignment="1">
      <alignment horizontal="left"/>
    </xf>
    <xf numFmtId="167" fontId="11" fillId="4" borderId="12" xfId="0" applyNumberFormat="1" applyFont="1" applyFill="1" applyBorder="1" applyAlignment="1">
      <alignment horizontal="left"/>
    </xf>
    <xf numFmtId="168" fontId="11" fillId="4" borderId="12" xfId="0" applyNumberFormat="1" applyFont="1" applyFill="1" applyBorder="1" applyAlignment="1">
      <alignment horizontal="left"/>
    </xf>
    <xf numFmtId="168" fontId="18" fillId="0" borderId="0" xfId="0" applyNumberFormat="1" applyFont="1" applyAlignment="1">
      <alignment horizontal="left"/>
    </xf>
    <xf numFmtId="10" fontId="18" fillId="0" borderId="0" xfId="0" applyNumberFormat="1" applyFont="1" applyAlignment="1">
      <alignment horizontal="left"/>
    </xf>
    <xf numFmtId="171" fontId="11" fillId="4" borderId="13" xfId="0" applyNumberFormat="1" applyFont="1" applyFill="1" applyBorder="1" applyAlignment="1">
      <alignment horizontal="left"/>
    </xf>
    <xf numFmtId="0" fontId="11" fillId="4" borderId="13" xfId="0" applyFont="1" applyFill="1" applyBorder="1" applyAlignment="1">
      <alignment horizontal="left"/>
    </xf>
    <xf numFmtId="3" fontId="11" fillId="4" borderId="13" xfId="0" applyNumberFormat="1" applyFont="1" applyFill="1" applyBorder="1" applyAlignment="1">
      <alignment horizontal="left"/>
    </xf>
    <xf numFmtId="49" fontId="11" fillId="4" borderId="13" xfId="0" applyNumberFormat="1" applyFont="1" applyFill="1" applyBorder="1" applyAlignment="1">
      <alignment horizontal="left"/>
    </xf>
    <xf numFmtId="167" fontId="11" fillId="4" borderId="13" xfId="0" applyNumberFormat="1" applyFont="1" applyFill="1" applyBorder="1" applyAlignment="1">
      <alignment horizontal="left"/>
    </xf>
    <xf numFmtId="168" fontId="11" fillId="4" borderId="13" xfId="0" applyNumberFormat="1" applyFont="1" applyFill="1" applyBorder="1" applyAlignment="1">
      <alignment horizontal="left"/>
    </xf>
    <xf numFmtId="0" fontId="11" fillId="4" borderId="4" xfId="0" applyFont="1" applyFill="1" applyBorder="1" applyAlignment="1">
      <alignment horizontal="left" vertical="center"/>
    </xf>
    <xf numFmtId="169" fontId="11" fillId="4" borderId="4" xfId="0" applyNumberFormat="1" applyFont="1" applyFill="1" applyBorder="1" applyAlignment="1">
      <alignment horizontal="left" vertical="center"/>
    </xf>
    <xf numFmtId="169" fontId="11" fillId="4" borderId="6" xfId="0" applyNumberFormat="1" applyFont="1" applyFill="1" applyBorder="1" applyAlignment="1">
      <alignment horizontal="left" vertical="center"/>
    </xf>
    <xf numFmtId="3" fontId="11" fillId="4" borderId="6" xfId="0" applyNumberFormat="1" applyFont="1" applyFill="1" applyBorder="1" applyAlignment="1">
      <alignment horizontal="left" vertical="center"/>
    </xf>
    <xf numFmtId="172" fontId="11" fillId="4" borderId="6" xfId="0" applyNumberFormat="1" applyFont="1" applyFill="1" applyBorder="1" applyAlignment="1">
      <alignment horizontal="left" vertical="center"/>
    </xf>
    <xf numFmtId="10" fontId="11" fillId="4" borderId="5" xfId="0" applyNumberFormat="1" applyFont="1" applyFill="1" applyBorder="1" applyAlignment="1">
      <alignment horizontal="left" vertical="center"/>
    </xf>
    <xf numFmtId="10" fontId="11" fillId="4" borderId="6" xfId="0" applyNumberFormat="1" applyFont="1" applyFill="1" applyBorder="1" applyAlignment="1">
      <alignment horizontal="left" vertical="center"/>
    </xf>
    <xf numFmtId="9" fontId="11" fillId="4" borderId="6" xfId="0" applyNumberFormat="1" applyFont="1" applyFill="1" applyBorder="1" applyAlignment="1">
      <alignment horizontal="left" vertical="center"/>
    </xf>
    <xf numFmtId="4" fontId="12" fillId="0" borderId="0" xfId="0" applyNumberFormat="1" applyFont="1" applyAlignment="1">
      <alignment horizontal="left" vertical="center"/>
    </xf>
    <xf numFmtId="10" fontId="10" fillId="0" borderId="0" xfId="0" applyNumberFormat="1" applyFont="1"/>
    <xf numFmtId="0" fontId="1" fillId="0" borderId="0" xfId="0" applyFont="1" applyAlignment="1">
      <alignment horizontal="center"/>
    </xf>
    <xf numFmtId="3" fontId="11" fillId="4" borderId="5" xfId="0" applyNumberFormat="1" applyFont="1" applyFill="1" applyBorder="1" applyAlignment="1">
      <alignment horizontal="left" vertical="center"/>
    </xf>
    <xf numFmtId="0" fontId="13" fillId="5" borderId="14" xfId="0" applyFont="1" applyFill="1" applyBorder="1" applyAlignment="1">
      <alignment horizontal="center" vertical="center"/>
    </xf>
    <xf numFmtId="10" fontId="10" fillId="0" borderId="0" xfId="0" applyNumberFormat="1" applyFont="1" applyAlignment="1">
      <alignment horizontal="right"/>
    </xf>
    <xf numFmtId="167" fontId="11" fillId="4" borderId="15" xfId="0" applyNumberFormat="1" applyFont="1" applyFill="1" applyBorder="1" applyAlignment="1">
      <alignment horizontal="left" vertical="center"/>
    </xf>
    <xf numFmtId="0" fontId="10" fillId="4" borderId="16" xfId="0" applyFont="1" applyFill="1" applyBorder="1"/>
    <xf numFmtId="0" fontId="10" fillId="4" borderId="17" xfId="0" applyFont="1" applyFill="1" applyBorder="1"/>
    <xf numFmtId="0" fontId="10" fillId="4" borderId="18" xfId="0" applyFont="1" applyFill="1" applyBorder="1"/>
    <xf numFmtId="10" fontId="10" fillId="0" borderId="0" xfId="0" applyNumberFormat="1" applyFont="1" applyAlignment="1">
      <alignment horizontal="left"/>
    </xf>
    <xf numFmtId="9" fontId="10" fillId="4" borderId="19" xfId="0" applyNumberFormat="1" applyFont="1" applyFill="1" applyBorder="1" applyAlignment="1">
      <alignment horizontal="left"/>
    </xf>
    <xf numFmtId="0" fontId="10" fillId="4" borderId="20" xfId="0" applyFont="1" applyFill="1" applyBorder="1"/>
    <xf numFmtId="0" fontId="1" fillId="4" borderId="19" xfId="0" applyFont="1" applyFill="1" applyBorder="1"/>
    <xf numFmtId="0" fontId="1" fillId="4" borderId="20" xfId="0" applyFont="1" applyFill="1" applyBorder="1"/>
    <xf numFmtId="0" fontId="10" fillId="4" borderId="19" xfId="0" applyFont="1" applyFill="1" applyBorder="1" applyAlignment="1">
      <alignment horizontal="left"/>
    </xf>
    <xf numFmtId="0" fontId="10" fillId="4" borderId="21" xfId="0" applyFont="1" applyFill="1" applyBorder="1" applyAlignment="1">
      <alignment horizontal="left"/>
    </xf>
    <xf numFmtId="0" fontId="10" fillId="4" borderId="22" xfId="0" applyFont="1" applyFill="1" applyBorder="1"/>
    <xf numFmtId="0" fontId="10" fillId="4" borderId="23" xfId="0" applyFont="1" applyFill="1" applyBorder="1"/>
    <xf numFmtId="0" fontId="10" fillId="4" borderId="24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167" fontId="11" fillId="4" borderId="9" xfId="0" applyNumberFormat="1" applyFont="1" applyFill="1" applyBorder="1" applyAlignment="1">
      <alignment horizontal="left" vertical="center"/>
    </xf>
    <xf numFmtId="167" fontId="11" fillId="4" borderId="10" xfId="0" applyNumberFormat="1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167" fontId="20" fillId="0" borderId="0" xfId="0" applyNumberFormat="1" applyFont="1" applyAlignment="1">
      <alignment horizontal="left" vertical="center"/>
    </xf>
    <xf numFmtId="0" fontId="13" fillId="5" borderId="14" xfId="0" applyFont="1" applyFill="1" applyBorder="1"/>
    <xf numFmtId="0" fontId="13" fillId="5" borderId="14" xfId="0" applyFont="1" applyFill="1" applyBorder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10" fillId="4" borderId="15" xfId="0" applyFont="1" applyFill="1" applyBorder="1" applyAlignment="1">
      <alignment horizontal="left"/>
    </xf>
    <xf numFmtId="9" fontId="10" fillId="4" borderId="23" xfId="0" applyNumberFormat="1" applyFont="1" applyFill="1" applyBorder="1"/>
    <xf numFmtId="9" fontId="10" fillId="4" borderId="24" xfId="0" applyNumberFormat="1" applyFont="1" applyFill="1" applyBorder="1"/>
    <xf numFmtId="9" fontId="10" fillId="0" borderId="0" xfId="0" applyNumberFormat="1" applyFont="1"/>
    <xf numFmtId="0" fontId="13" fillId="0" borderId="0" xfId="0" applyFont="1"/>
    <xf numFmtId="167" fontId="12" fillId="0" borderId="25" xfId="0" applyNumberFormat="1" applyFont="1" applyBorder="1" applyAlignment="1">
      <alignment horizontal="left" vertical="center"/>
    </xf>
    <xf numFmtId="9" fontId="10" fillId="0" borderId="26" xfId="0" applyNumberFormat="1" applyFont="1" applyBorder="1"/>
    <xf numFmtId="9" fontId="10" fillId="0" borderId="27" xfId="0" applyNumberFormat="1" applyFont="1" applyBorder="1"/>
    <xf numFmtId="0" fontId="10" fillId="0" borderId="25" xfId="0" applyFont="1" applyBorder="1" applyAlignment="1">
      <alignment horizontal="left"/>
    </xf>
    <xf numFmtId="0" fontId="10" fillId="0" borderId="26" xfId="0" applyFont="1" applyBorder="1"/>
    <xf numFmtId="0" fontId="10" fillId="0" borderId="27" xfId="0" applyFont="1" applyBorder="1"/>
    <xf numFmtId="10" fontId="21" fillId="0" borderId="0" xfId="0" applyNumberFormat="1" applyFont="1" applyAlignment="1">
      <alignment horizontal="left" vertical="center"/>
    </xf>
    <xf numFmtId="9" fontId="10" fillId="0" borderId="25" xfId="0" applyNumberFormat="1" applyFont="1" applyBorder="1" applyAlignment="1">
      <alignment horizontal="left"/>
    </xf>
    <xf numFmtId="0" fontId="10" fillId="0" borderId="25" xfId="0" applyFont="1" applyBorder="1" applyAlignment="1">
      <alignment horizontal="right"/>
    </xf>
    <xf numFmtId="0" fontId="10" fillId="0" borderId="25" xfId="0" applyFont="1" applyBorder="1"/>
    <xf numFmtId="0" fontId="10" fillId="4" borderId="15" xfId="0" applyFont="1" applyFill="1" applyBorder="1"/>
    <xf numFmtId="0" fontId="10" fillId="4" borderId="19" xfId="0" applyFont="1" applyFill="1" applyBorder="1"/>
    <xf numFmtId="0" fontId="10" fillId="4" borderId="21" xfId="0" applyFont="1" applyFill="1" applyBorder="1"/>
    <xf numFmtId="9" fontId="10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left"/>
    </xf>
    <xf numFmtId="167" fontId="10" fillId="0" borderId="0" xfId="0" applyNumberFormat="1" applyFont="1"/>
    <xf numFmtId="0" fontId="9" fillId="0" borderId="28" xfId="0" applyFont="1" applyBorder="1" applyAlignment="1">
      <alignment vertical="center"/>
    </xf>
    <xf numFmtId="171" fontId="9" fillId="0" borderId="28" xfId="0" applyNumberFormat="1" applyFont="1" applyBorder="1" applyAlignment="1">
      <alignment horizontal="left" vertical="center"/>
    </xf>
    <xf numFmtId="3" fontId="9" fillId="0" borderId="28" xfId="0" applyNumberFormat="1" applyFont="1" applyBorder="1" applyAlignment="1">
      <alignment horizontal="center" vertical="center"/>
    </xf>
    <xf numFmtId="167" fontId="9" fillId="0" borderId="28" xfId="0" applyNumberFormat="1" applyFont="1" applyBorder="1" applyAlignment="1">
      <alignment horizontal="left" vertical="center"/>
    </xf>
    <xf numFmtId="167" fontId="13" fillId="0" borderId="28" xfId="0" applyNumberFormat="1" applyFont="1" applyBorder="1" applyAlignment="1">
      <alignment horizontal="left" vertical="center"/>
    </xf>
    <xf numFmtId="167" fontId="13" fillId="0" borderId="28" xfId="0" applyNumberFormat="1" applyFont="1" applyBorder="1" applyAlignment="1">
      <alignment horizontal="left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/>
    </xf>
    <xf numFmtId="167" fontId="9" fillId="0" borderId="28" xfId="0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167" fontId="9" fillId="0" borderId="28" xfId="0" applyNumberFormat="1" applyFont="1" applyBorder="1"/>
    <xf numFmtId="0" fontId="9" fillId="0" borderId="28" xfId="0" applyFont="1" applyBorder="1"/>
    <xf numFmtId="167" fontId="14" fillId="0" borderId="0" xfId="0" applyNumberFormat="1" applyFont="1" applyAlignment="1">
      <alignment horizontal="left"/>
    </xf>
    <xf numFmtId="0" fontId="22" fillId="0" borderId="28" xfId="0" applyFont="1" applyBorder="1" applyAlignment="1">
      <alignment horizontal="left"/>
    </xf>
    <xf numFmtId="167" fontId="22" fillId="0" borderId="28" xfId="0" applyNumberFormat="1" applyFont="1" applyBorder="1" applyAlignment="1">
      <alignment horizontal="left"/>
    </xf>
    <xf numFmtId="0" fontId="22" fillId="0" borderId="28" xfId="0" applyFont="1" applyBorder="1"/>
    <xf numFmtId="173" fontId="1" fillId="0" borderId="0" xfId="0" applyNumberFormat="1" applyFont="1"/>
    <xf numFmtId="167" fontId="1" fillId="0" borderId="0" xfId="0" applyNumberFormat="1" applyFont="1" applyAlignment="1">
      <alignment horizontal="left"/>
    </xf>
    <xf numFmtId="0" fontId="24" fillId="8" borderId="0" xfId="0" applyFont="1" applyFill="1" applyAlignment="1">
      <alignment wrapText="1"/>
    </xf>
    <xf numFmtId="164" fontId="28" fillId="9" borderId="0" xfId="0" applyNumberFormat="1" applyFont="1" applyFill="1" applyAlignment="1">
      <alignment wrapText="1"/>
    </xf>
    <xf numFmtId="0" fontId="29" fillId="9" borderId="0" xfId="0" applyFont="1" applyFill="1" applyAlignment="1">
      <alignment wrapText="1"/>
    </xf>
    <xf numFmtId="164" fontId="26" fillId="0" borderId="0" xfId="0" applyNumberFormat="1" applyFont="1" applyAlignment="1">
      <alignment wrapText="1"/>
    </xf>
    <xf numFmtId="0" fontId="30" fillId="10" borderId="0" xfId="0" applyFont="1" applyFill="1" applyAlignment="1">
      <alignment vertical="center"/>
    </xf>
    <xf numFmtId="0" fontId="24" fillId="10" borderId="0" xfId="0" applyFont="1" applyFill="1" applyAlignment="1">
      <alignment wrapText="1"/>
    </xf>
    <xf numFmtId="164" fontId="30" fillId="10" borderId="0" xfId="0" applyNumberFormat="1" applyFont="1" applyFill="1" applyAlignment="1">
      <alignment wrapText="1"/>
    </xf>
    <xf numFmtId="0" fontId="27" fillId="0" borderId="29" xfId="0" applyFont="1" applyBorder="1" applyAlignment="1">
      <alignment wrapText="1"/>
    </xf>
    <xf numFmtId="0" fontId="24" fillId="0" borderId="30" xfId="0" applyFont="1" applyBorder="1" applyAlignment="1">
      <alignment wrapText="1"/>
    </xf>
    <xf numFmtId="0" fontId="24" fillId="0" borderId="0" xfId="0" applyFont="1" applyAlignment="1">
      <alignment vertical="center"/>
    </xf>
    <xf numFmtId="0" fontId="26" fillId="8" borderId="0" xfId="0" applyFont="1" applyFill="1" applyAlignment="1">
      <alignment wrapText="1"/>
    </xf>
    <xf numFmtId="0" fontId="28" fillId="11" borderId="0" xfId="0" applyFont="1" applyFill="1" applyAlignment="1">
      <alignment wrapText="1"/>
    </xf>
    <xf numFmtId="0" fontId="27" fillId="8" borderId="0" xfId="0" applyFont="1" applyFill="1" applyAlignment="1">
      <alignment wrapText="1"/>
    </xf>
    <xf numFmtId="0" fontId="26" fillId="11" borderId="0" xfId="0" applyFont="1" applyFill="1" applyAlignment="1">
      <alignment wrapText="1"/>
    </xf>
    <xf numFmtId="0" fontId="28" fillId="11" borderId="29" xfId="0" applyFont="1" applyFill="1" applyBorder="1" applyAlignment="1">
      <alignment wrapText="1"/>
    </xf>
    <xf numFmtId="0" fontId="0" fillId="0" borderId="0" xfId="0" applyAlignment="1">
      <alignment horizontal="left"/>
    </xf>
    <xf numFmtId="17" fontId="30" fillId="11" borderId="29" xfId="0" applyNumberFormat="1" applyFont="1" applyFill="1" applyBorder="1" applyAlignment="1">
      <alignment horizontal="left" wrapText="1"/>
    </xf>
    <xf numFmtId="164" fontId="31" fillId="0" borderId="29" xfId="0" applyNumberFormat="1" applyFont="1" applyBorder="1" applyAlignment="1">
      <alignment horizontal="left" wrapText="1"/>
    </xf>
    <xf numFmtId="164" fontId="24" fillId="0" borderId="0" xfId="0" applyNumberFormat="1" applyFont="1" applyAlignment="1">
      <alignment horizontal="left" wrapText="1"/>
    </xf>
    <xf numFmtId="164" fontId="24" fillId="0" borderId="29" xfId="0" applyNumberFormat="1" applyFont="1" applyBorder="1" applyAlignment="1">
      <alignment horizontal="left" wrapText="1"/>
    </xf>
    <xf numFmtId="0" fontId="24" fillId="0" borderId="29" xfId="0" applyFont="1" applyBorder="1" applyAlignment="1">
      <alignment horizontal="left" wrapText="1"/>
    </xf>
    <xf numFmtId="0" fontId="24" fillId="0" borderId="0" xfId="0" applyFont="1" applyAlignment="1">
      <alignment horizontal="left" wrapText="1"/>
    </xf>
    <xf numFmtId="10" fontId="24" fillId="0" borderId="0" xfId="0" applyNumberFormat="1" applyFont="1" applyAlignment="1">
      <alignment horizontal="left" wrapText="1"/>
    </xf>
    <xf numFmtId="165" fontId="24" fillId="0" borderId="29" xfId="1" applyFont="1" applyBorder="1" applyAlignment="1">
      <alignment horizontal="left" wrapText="1"/>
    </xf>
    <xf numFmtId="10" fontId="24" fillId="0" borderId="29" xfId="2" applyNumberFormat="1" applyFont="1" applyBorder="1" applyAlignment="1">
      <alignment horizontal="left" wrapText="1"/>
    </xf>
    <xf numFmtId="10" fontId="24" fillId="0" borderId="29" xfId="0" applyNumberFormat="1" applyFont="1" applyBorder="1" applyAlignment="1">
      <alignment horizontal="left" wrapText="1"/>
    </xf>
    <xf numFmtId="174" fontId="31" fillId="0" borderId="29" xfId="0" applyNumberFormat="1" applyFont="1" applyBorder="1" applyAlignment="1">
      <alignment horizontal="left" wrapText="1"/>
    </xf>
    <xf numFmtId="17" fontId="30" fillId="9" borderId="0" xfId="0" applyNumberFormat="1" applyFont="1" applyFill="1" applyAlignment="1">
      <alignment horizontal="left" wrapText="1"/>
    </xf>
    <xf numFmtId="164" fontId="30" fillId="9" borderId="0" xfId="0" applyNumberFormat="1" applyFont="1" applyFill="1" applyAlignment="1">
      <alignment horizontal="left" wrapText="1"/>
    </xf>
    <xf numFmtId="164" fontId="28" fillId="9" borderId="0" xfId="0" applyNumberFormat="1" applyFont="1" applyFill="1" applyAlignment="1">
      <alignment horizontal="left" wrapText="1"/>
    </xf>
    <xf numFmtId="164" fontId="28" fillId="9" borderId="29" xfId="0" applyNumberFormat="1" applyFont="1" applyFill="1" applyBorder="1" applyAlignment="1">
      <alignment horizontal="left" wrapText="1"/>
    </xf>
    <xf numFmtId="167" fontId="11" fillId="4" borderId="36" xfId="0" applyNumberFormat="1" applyFont="1" applyFill="1" applyBorder="1" applyAlignment="1">
      <alignment horizontal="left" vertical="center"/>
    </xf>
    <xf numFmtId="10" fontId="11" fillId="4" borderId="37" xfId="0" applyNumberFormat="1" applyFont="1" applyFill="1" applyBorder="1" applyAlignment="1">
      <alignment horizontal="left" vertical="center"/>
    </xf>
    <xf numFmtId="167" fontId="11" fillId="4" borderId="37" xfId="0" applyNumberFormat="1" applyFont="1" applyFill="1" applyBorder="1" applyAlignment="1">
      <alignment horizontal="left" vertical="center"/>
    </xf>
    <xf numFmtId="167" fontId="11" fillId="4" borderId="38" xfId="0" applyNumberFormat="1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11" fillId="0" borderId="0" xfId="0" applyFont="1" applyAlignment="1">
      <alignment horizontal="left" vertical="center"/>
    </xf>
    <xf numFmtId="0" fontId="26" fillId="0" borderId="29" xfId="0" applyFont="1" applyBorder="1" applyAlignment="1">
      <alignment wrapText="1"/>
    </xf>
    <xf numFmtId="0" fontId="27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4" fillId="0" borderId="29" xfId="0" applyFont="1" applyBorder="1" applyAlignment="1">
      <alignment wrapText="1"/>
    </xf>
    <xf numFmtId="0" fontId="11" fillId="0" borderId="0" xfId="0" applyFont="1" applyAlignment="1">
      <alignment horizontal="left" vertical="center"/>
    </xf>
    <xf numFmtId="0" fontId="26" fillId="0" borderId="29" xfId="0" applyFont="1" applyBorder="1" applyAlignment="1">
      <alignment wrapText="1"/>
    </xf>
    <xf numFmtId="0" fontId="24" fillId="0" borderId="29" xfId="0" applyFont="1" applyBorder="1" applyAlignment="1">
      <alignment wrapText="1"/>
    </xf>
    <xf numFmtId="0" fontId="30" fillId="10" borderId="0" xfId="0" applyFont="1" applyFill="1" applyAlignment="1">
      <alignment horizontal="left" vertical="center" wrapText="1"/>
    </xf>
    <xf numFmtId="0" fontId="27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31" fillId="0" borderId="33" xfId="0" applyFont="1" applyBorder="1" applyAlignment="1">
      <alignment vertical="center" wrapText="1"/>
    </xf>
    <xf numFmtId="0" fontId="31" fillId="0" borderId="32" xfId="0" applyFont="1" applyBorder="1" applyAlignment="1">
      <alignment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29" xfId="0" applyFont="1" applyBorder="1" applyAlignment="1">
      <alignment vertical="center" wrapText="1"/>
    </xf>
    <xf numFmtId="0" fontId="31" fillId="0" borderId="31" xfId="0" applyFont="1" applyBorder="1" applyAlignment="1">
      <alignment vertical="center" wrapText="1"/>
    </xf>
    <xf numFmtId="0" fontId="25" fillId="8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30" fillId="10" borderId="0" xfId="0" applyFont="1" applyFill="1" applyAlignment="1">
      <alignment wrapText="1"/>
    </xf>
    <xf numFmtId="0" fontId="1" fillId="0" borderId="0" xfId="0" applyFont="1" applyAlignme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vertical="center"/>
    </xf>
    <xf numFmtId="0" fontId="8" fillId="0" borderId="1" xfId="0" applyFont="1" applyBorder="1" applyAlignment="1"/>
    <xf numFmtId="0" fontId="9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167" fontId="11" fillId="4" borderId="1" xfId="0" applyNumberFormat="1" applyFont="1" applyFill="1" applyBorder="1" applyAlignment="1">
      <alignment horizontal="left" vertical="center"/>
    </xf>
    <xf numFmtId="167" fontId="10" fillId="5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10" fontId="11" fillId="4" borderId="1" xfId="0" applyNumberFormat="1" applyFont="1" applyFill="1" applyBorder="1" applyAlignment="1">
      <alignment horizontal="left" vertical="center"/>
    </xf>
    <xf numFmtId="10" fontId="10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68" fontId="10" fillId="5" borderId="1" xfId="0" applyNumberFormat="1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/>
    </xf>
    <xf numFmtId="167" fontId="12" fillId="5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70" fontId="12" fillId="5" borderId="1" xfId="0" applyNumberFormat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171" fontId="10" fillId="3" borderId="1" xfId="0" applyNumberFormat="1" applyFont="1" applyFill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8" fontId="12" fillId="5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170" fontId="15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70" fontId="15" fillId="5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0" fontId="12" fillId="5" borderId="1" xfId="0" applyNumberFormat="1" applyFont="1" applyFill="1" applyBorder="1" applyAlignment="1">
      <alignment horizontal="left" vertical="center"/>
    </xf>
    <xf numFmtId="3" fontId="12" fillId="5" borderId="1" xfId="0" applyNumberFormat="1" applyFont="1" applyFill="1" applyBorder="1" applyAlignment="1">
      <alignment horizontal="left" vertical="center"/>
    </xf>
    <xf numFmtId="1" fontId="12" fillId="5" borderId="1" xfId="3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0" fillId="4" borderId="25" xfId="0" applyFont="1" applyFill="1" applyBorder="1"/>
    <xf numFmtId="0" fontId="10" fillId="4" borderId="26" xfId="0" applyFont="1" applyFill="1" applyBorder="1"/>
    <xf numFmtId="0" fontId="1" fillId="4" borderId="25" xfId="0" applyFont="1" applyFill="1" applyBorder="1"/>
    <xf numFmtId="0" fontId="1" fillId="4" borderId="26" xfId="0" applyFont="1" applyFill="1" applyBorder="1"/>
    <xf numFmtId="0" fontId="13" fillId="6" borderId="1" xfId="0" applyFont="1" applyFill="1" applyBorder="1" applyAlignment="1">
      <alignment horizontal="right" vertical="center"/>
    </xf>
    <xf numFmtId="0" fontId="13" fillId="6" borderId="1" xfId="0" applyFont="1" applyFill="1" applyBorder="1"/>
    <xf numFmtId="9" fontId="12" fillId="5" borderId="1" xfId="0" applyNumberFormat="1" applyFont="1" applyFill="1" applyBorder="1" applyAlignment="1">
      <alignment horizontal="left" vertical="center"/>
    </xf>
    <xf numFmtId="4" fontId="12" fillId="5" borderId="1" xfId="0" applyNumberFormat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left" vertical="center"/>
    </xf>
    <xf numFmtId="10" fontId="4" fillId="7" borderId="1" xfId="0" applyNumberFormat="1" applyFont="1" applyFill="1" applyBorder="1" applyAlignment="1">
      <alignment horizontal="left" vertical="center"/>
    </xf>
    <xf numFmtId="167" fontId="11" fillId="2" borderId="1" xfId="0" applyNumberFormat="1" applyFont="1" applyFill="1" applyBorder="1" applyAlignment="1">
      <alignment horizontal="left" vertical="center"/>
    </xf>
    <xf numFmtId="169" fontId="12" fillId="5" borderId="1" xfId="0" applyNumberFormat="1" applyFont="1" applyFill="1" applyBorder="1" applyAlignment="1">
      <alignment horizontal="left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7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'11-Viabilidade'!$C$39:$Q$39</c:f>
              <c:numCache>
                <c:formatCode>[$R$ -416]#,##0.00</c:formatCode>
                <c:ptCount val="15"/>
                <c:pt idx="0">
                  <c:v>-357020.20655115019</c:v>
                </c:pt>
                <c:pt idx="1">
                  <c:v>23153.168524156597</c:v>
                </c:pt>
                <c:pt idx="2">
                  <c:v>24310.826950364433</c:v>
                </c:pt>
                <c:pt idx="3">
                  <c:v>25526.368297882651</c:v>
                </c:pt>
                <c:pt idx="4">
                  <c:v>26802.686712776784</c:v>
                </c:pt>
                <c:pt idx="5">
                  <c:v>28142.821048415622</c:v>
                </c:pt>
                <c:pt idx="6">
                  <c:v>29549.962100836412</c:v>
                </c:pt>
                <c:pt idx="7">
                  <c:v>31027.460205878233</c:v>
                </c:pt>
                <c:pt idx="8">
                  <c:v>32578.833216172141</c:v>
                </c:pt>
                <c:pt idx="9">
                  <c:v>34207.774876980759</c:v>
                </c:pt>
                <c:pt idx="10">
                  <c:v>35918.163620829786</c:v>
                </c:pt>
                <c:pt idx="11">
                  <c:v>37714.07180187128</c:v>
                </c:pt>
                <c:pt idx="12">
                  <c:v>39599.775391964846</c:v>
                </c:pt>
                <c:pt idx="13">
                  <c:v>41579.7641615631</c:v>
                </c:pt>
                <c:pt idx="14">
                  <c:v>736634.81217343034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7-4C93-84EC-0C98DDA5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485519"/>
        <c:axId val="1102596121"/>
      </c:barChart>
      <c:catAx>
        <c:axId val="1594485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02596121"/>
        <c:crosses val="autoZero"/>
        <c:auto val="1"/>
        <c:lblAlgn val="ctr"/>
        <c:lblOffset val="100"/>
        <c:noMultiLvlLbl val="1"/>
      </c:catAx>
      <c:valAx>
        <c:axId val="1102596121"/>
        <c:scaling>
          <c:orientation val="minMax"/>
        </c:scaling>
        <c:delete val="0"/>
        <c:axPos val="l"/>
        <c:numFmt formatCode="[$R$ -416]#,##0.00" sourceLinked="1"/>
        <c:majorTickMark val="cross"/>
        <c:minorTickMark val="cross"/>
        <c:tickLblPos val="nextTo"/>
        <c:spPr>
          <a:ln>
            <a:noFill/>
          </a:ln>
        </c:spPr>
        <c:crossAx val="15944855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'11-Viabilidade'!$C$46:$Q$46</c:f>
              <c:numCache>
                <c:formatCode>[$R$ -416]#,##0.00</c:formatCode>
                <c:ptCount val="15"/>
                <c:pt idx="0">
                  <c:v>-148042.13483307435</c:v>
                </c:pt>
                <c:pt idx="1">
                  <c:v>-5712.6019167606546</c:v>
                </c:pt>
                <c:pt idx="2">
                  <c:v>-3898.7856495458841</c:v>
                </c:pt>
                <c:pt idx="3">
                  <c:v>-2027.0864610207254</c:v>
                </c:pt>
                <c:pt idx="4">
                  <c:v>-94.610205119651255</c:v>
                </c:pt>
                <c:pt idx="5">
                  <c:v>1901.6819715261267</c:v>
                </c:pt>
                <c:pt idx="6">
                  <c:v>3964.9808649538468</c:v>
                </c:pt>
                <c:pt idx="7">
                  <c:v>6098.6368110026033</c:v>
                </c:pt>
                <c:pt idx="8">
                  <c:v>8306.1676623034527</c:v>
                </c:pt>
                <c:pt idx="9">
                  <c:v>10591.267164118999</c:v>
                </c:pt>
                <c:pt idx="10">
                  <c:v>12957.813748974972</c:v>
                </c:pt>
                <c:pt idx="11">
                  <c:v>15409.879771023403</c:v>
                </c:pt>
                <c:pt idx="12">
                  <c:v>17951.741202123903</c:v>
                </c:pt>
                <c:pt idx="13">
                  <c:v>20587.887812729088</c:v>
                </c:pt>
                <c:pt idx="14">
                  <c:v>579156.23652274592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336-9040-1D7957B6B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145450"/>
        <c:axId val="133957529"/>
      </c:barChart>
      <c:catAx>
        <c:axId val="982145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957529"/>
        <c:crosses val="autoZero"/>
        <c:auto val="1"/>
        <c:lblAlgn val="ctr"/>
        <c:lblOffset val="100"/>
        <c:noMultiLvlLbl val="1"/>
      </c:catAx>
      <c:valAx>
        <c:axId val="133957529"/>
        <c:scaling>
          <c:orientation val="minMax"/>
        </c:scaling>
        <c:delete val="0"/>
        <c:axPos val="l"/>
        <c:numFmt formatCode="[$R$ -416]#,##0.00" sourceLinked="1"/>
        <c:majorTickMark val="cross"/>
        <c:minorTickMark val="cross"/>
        <c:tickLblPos val="nextTo"/>
        <c:spPr>
          <a:ln>
            <a:noFill/>
          </a:ln>
        </c:spPr>
        <c:crossAx val="9821454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66</xdr:row>
      <xdr:rowOff>95250</xdr:rowOff>
    </xdr:from>
    <xdr:ext cx="8534400" cy="4476750"/>
    <xdr:graphicFrame macro="">
      <xdr:nvGraphicFramePr>
        <xdr:cNvPr id="2015074914" name="Chart 1" title="Gráfico">
          <a:extLst>
            <a:ext uri="{FF2B5EF4-FFF2-40B4-BE49-F238E27FC236}">
              <a16:creationId xmlns:a16="http://schemas.microsoft.com/office/drawing/2014/main" id="{00000000-0008-0000-0B00-0000629A1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952500</xdr:colOff>
      <xdr:row>66</xdr:row>
      <xdr:rowOff>95250</xdr:rowOff>
    </xdr:from>
    <xdr:ext cx="8534400" cy="4476750"/>
    <xdr:graphicFrame macro="">
      <xdr:nvGraphicFramePr>
        <xdr:cNvPr id="1530739047" name="Chart 2" title="Gráfico">
          <a:extLst>
            <a:ext uri="{FF2B5EF4-FFF2-40B4-BE49-F238E27FC236}">
              <a16:creationId xmlns:a16="http://schemas.microsoft.com/office/drawing/2014/main" id="{00000000-0008-0000-0B00-000067393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3" name="image1.png">
          <a:extLst>
            <a:ext uri="{FF2B5EF4-FFF2-40B4-BE49-F238E27FC236}">
              <a16:creationId xmlns:a16="http://schemas.microsoft.com/office/drawing/2014/main" id="{A97A5A65-12F3-44F6-B321-B257BED886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007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3" name="image1.png">
          <a:extLst>
            <a:ext uri="{FF2B5EF4-FFF2-40B4-BE49-F238E27FC236}">
              <a16:creationId xmlns:a16="http://schemas.microsoft.com/office/drawing/2014/main" id="{3C66976C-93F6-4EF7-9187-420E28B01B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007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584200" cy="590550"/>
    <xdr:pic>
      <xdr:nvPicPr>
        <xdr:cNvPr id="3" name="image1.png">
          <a:extLst>
            <a:ext uri="{FF2B5EF4-FFF2-40B4-BE49-F238E27FC236}">
              <a16:creationId xmlns:a16="http://schemas.microsoft.com/office/drawing/2014/main" id="{DFABF9CA-5D69-4A90-A7CC-42C7144D3B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584200" cy="590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stagram.com/escoladeimovei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stagram.com/escoladeimovei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stagram.com/escoladeimovei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instagram.com/escoladeimovei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instagram.com/escoladeimovei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instagram.com/escoladeimovei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instagram.com/escoladeimoveis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instagram.com/escoladeimoveis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instagram.com/escoladeimoveis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s://www.quintoandar.com.br/imovel/893047060/comprar?search_rank=%7B%22sortMode%22%3A%22relevance%22%2C%22searchMode%22%3A%22list%22%2C%22resultsOrigin%22%3A%22search%22%2C%22rank%22%3A23%2C%22personalization%22%3Atrue%7D&amp;search_id=%22fa0112d01cae11ebaa36ea959c5fd97d%22&amp;from_route=%22search_results%22" TargetMode="External"/><Relationship Id="rId1" Type="http://schemas.openxmlformats.org/officeDocument/2006/relationships/hyperlink" Target="https://www.instagram.com/escoladeimoveis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instagram.com/escoladeimovei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instagram.com/escoladeimoveis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instagram.com/escoladeimoveis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www.instagram.com/escoladeimoveis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escoladeimoveis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s://www.instagram.com/escoladeimove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F84A7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7109375" defaultRowHeight="15" customHeight="1"/>
  <sheetData>
    <row r="1" spans="1:13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</row>
    <row r="2" spans="1:13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</row>
    <row r="3" spans="1:13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</row>
    <row r="4" spans="1:13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>
      <c r="A5" s="212"/>
      <c r="B5" s="237" t="s">
        <v>3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</row>
    <row r="6" spans="1:13" ht="15.75" customHeight="1">
      <c r="A6" s="212"/>
      <c r="B6" s="1"/>
      <c r="C6" s="1"/>
      <c r="D6" s="1"/>
      <c r="E6" s="1"/>
      <c r="F6" s="1"/>
      <c r="G6" s="1"/>
      <c r="H6" s="212"/>
      <c r="I6" s="1"/>
      <c r="J6" s="212"/>
      <c r="K6" s="212"/>
      <c r="L6" s="212"/>
      <c r="M6" s="212"/>
    </row>
    <row r="7" spans="1:13" ht="15.75" customHeight="1">
      <c r="A7" s="212"/>
      <c r="B7" s="239" t="s">
        <v>4</v>
      </c>
      <c r="C7" s="240" t="s">
        <v>5</v>
      </c>
      <c r="D7" s="241" t="s">
        <v>6</v>
      </c>
      <c r="E7" s="1"/>
      <c r="F7" s="239" t="s">
        <v>7</v>
      </c>
      <c r="G7" s="240" t="s">
        <v>5</v>
      </c>
      <c r="H7" s="241" t="s">
        <v>6</v>
      </c>
      <c r="I7" s="1"/>
      <c r="J7" s="5"/>
      <c r="K7" s="6"/>
      <c r="L7" s="7"/>
      <c r="M7" s="8"/>
    </row>
    <row r="8" spans="1:13" ht="15.75" customHeight="1">
      <c r="A8" s="212"/>
      <c r="B8" s="242" t="s">
        <v>8</v>
      </c>
      <c r="C8" s="243"/>
      <c r="D8" s="244">
        <v>60000</v>
      </c>
      <c r="E8" s="1"/>
      <c r="F8" s="242" t="s">
        <v>8</v>
      </c>
      <c r="G8" s="243"/>
      <c r="H8" s="244">
        <v>19900</v>
      </c>
      <c r="I8" s="1"/>
      <c r="J8" s="9"/>
      <c r="K8" s="10"/>
      <c r="L8" s="11"/>
      <c r="M8" s="1"/>
    </row>
    <row r="9" spans="1:13" ht="15.75" customHeight="1">
      <c r="A9" s="212"/>
      <c r="B9" s="242" t="s">
        <v>9</v>
      </c>
      <c r="C9" s="245"/>
      <c r="D9" s="246">
        <v>10</v>
      </c>
      <c r="E9" s="1"/>
      <c r="F9" s="242" t="s">
        <v>9</v>
      </c>
      <c r="G9" s="245"/>
      <c r="H9" s="246">
        <v>18</v>
      </c>
      <c r="I9" s="1"/>
      <c r="J9" s="9"/>
      <c r="K9" s="12"/>
      <c r="L9" s="13"/>
      <c r="M9" s="1"/>
    </row>
    <row r="10" spans="1:13" ht="15.75" customHeight="1">
      <c r="A10" s="212"/>
      <c r="B10" s="242" t="s">
        <v>10</v>
      </c>
      <c r="C10" s="247"/>
      <c r="D10" s="248">
        <v>0.05</v>
      </c>
      <c r="E10" s="1"/>
      <c r="F10" s="242" t="s">
        <v>10</v>
      </c>
      <c r="G10" s="247"/>
      <c r="H10" s="248">
        <v>1.15E-2</v>
      </c>
      <c r="I10" s="1"/>
      <c r="J10" s="9"/>
      <c r="K10" s="12"/>
      <c r="L10" s="14"/>
      <c r="M10" s="1"/>
    </row>
    <row r="11" spans="1:13" ht="15.75" customHeight="1">
      <c r="A11" s="212"/>
      <c r="B11" s="242" t="s">
        <v>11</v>
      </c>
      <c r="C11" s="15"/>
      <c r="D11" s="244">
        <f>-(PV(D10,D9,,D8))</f>
        <v>36834.795212445562</v>
      </c>
      <c r="E11" s="1"/>
      <c r="F11" s="242" t="s">
        <v>11</v>
      </c>
      <c r="G11" s="15"/>
      <c r="H11" s="244">
        <f>-(PV(H10,H9,,H8))</f>
        <v>16198.213112684358</v>
      </c>
      <c r="I11" s="1"/>
      <c r="J11" s="9"/>
      <c r="K11" s="12"/>
      <c r="L11" s="13"/>
      <c r="M11" s="1"/>
    </row>
    <row r="12" spans="1:13" ht="15.75" customHeight="1">
      <c r="A12" s="2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customHeight="1">
      <c r="A13" s="212"/>
      <c r="B13" s="237" t="s">
        <v>12</v>
      </c>
      <c r="C13" s="238"/>
      <c r="D13" s="238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customHeight="1">
      <c r="A15" s="212"/>
      <c r="B15" s="239" t="s">
        <v>13</v>
      </c>
      <c r="C15" s="240" t="s">
        <v>5</v>
      </c>
      <c r="D15" s="241" t="s">
        <v>6</v>
      </c>
      <c r="E15" s="1"/>
      <c r="F15" s="239" t="s">
        <v>14</v>
      </c>
      <c r="G15" s="240" t="s">
        <v>5</v>
      </c>
      <c r="H15" s="241" t="s">
        <v>6</v>
      </c>
      <c r="I15" s="1"/>
      <c r="J15" s="5"/>
      <c r="K15" s="6"/>
      <c r="L15" s="7"/>
      <c r="M15" s="1"/>
    </row>
    <row r="16" spans="1:13" ht="15.75" customHeight="1">
      <c r="A16" s="212"/>
      <c r="B16" s="242" t="s">
        <v>11</v>
      </c>
      <c r="C16" s="243"/>
      <c r="D16" s="244">
        <v>36834.800000000003</v>
      </c>
      <c r="E16" s="1"/>
      <c r="F16" s="242" t="s">
        <v>11</v>
      </c>
      <c r="G16" s="243"/>
      <c r="H16" s="244">
        <v>16198.21</v>
      </c>
      <c r="I16" s="1"/>
      <c r="J16" s="9"/>
      <c r="K16" s="10"/>
      <c r="L16" s="11"/>
      <c r="M16" s="1"/>
    </row>
    <row r="17" spans="2:13" ht="15.75" customHeight="1">
      <c r="B17" s="242" t="s">
        <v>9</v>
      </c>
      <c r="C17" s="245"/>
      <c r="D17" s="246">
        <v>10</v>
      </c>
      <c r="E17" s="1"/>
      <c r="F17" s="242" t="s">
        <v>9</v>
      </c>
      <c r="G17" s="245"/>
      <c r="H17" s="246">
        <v>18</v>
      </c>
      <c r="I17" s="1"/>
      <c r="J17" s="9"/>
      <c r="K17" s="12"/>
      <c r="L17" s="13"/>
      <c r="M17" s="1"/>
    </row>
    <row r="18" spans="2:13" ht="15.75" customHeight="1">
      <c r="B18" s="242" t="s">
        <v>10</v>
      </c>
      <c r="C18" s="247"/>
      <c r="D18" s="248">
        <v>0.05</v>
      </c>
      <c r="E18" s="1"/>
      <c r="F18" s="242" t="s">
        <v>10</v>
      </c>
      <c r="G18" s="247"/>
      <c r="H18" s="248">
        <v>1.15E-2</v>
      </c>
      <c r="I18" s="1"/>
      <c r="J18" s="9"/>
      <c r="K18" s="12"/>
      <c r="L18" s="14"/>
      <c r="M18" s="1"/>
    </row>
    <row r="19" spans="2:13" ht="15.75" customHeight="1">
      <c r="B19" s="242" t="s">
        <v>8</v>
      </c>
      <c r="C19" s="15"/>
      <c r="D19" s="244">
        <f>-(FV(D18,D17,,D16))</f>
        <v>60000.007798421706</v>
      </c>
      <c r="E19" s="1"/>
      <c r="F19" s="242" t="s">
        <v>8</v>
      </c>
      <c r="G19" s="15"/>
      <c r="H19" s="244">
        <f>-(FV(H18,H17,,H16))</f>
        <v>19899.996175972108</v>
      </c>
      <c r="I19" s="1"/>
      <c r="J19" s="9"/>
      <c r="K19" s="12"/>
      <c r="L19" s="13"/>
      <c r="M19" s="1"/>
    </row>
    <row r="20" spans="2:13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ht="15.75" customHeight="1"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</row>
    <row r="222" spans="2:13" ht="15.75" customHeight="1"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</row>
    <row r="223" spans="2:13" ht="15.75" customHeight="1"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</row>
    <row r="224" spans="2:13" ht="15.75" customHeight="1"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3"/>
    <mergeCell ref="B5:D5"/>
    <mergeCell ref="B13:D13"/>
  </mergeCells>
  <conditionalFormatting sqref="B1:M1 C2:M3 B4:M1000">
    <cfRule type="cellIs" dxfId="26" priority="1" operator="lessThan">
      <formula>0</formula>
    </cfRule>
  </conditionalFormatting>
  <hyperlinks>
    <hyperlink ref="B1" r:id="rId1" xr:uid="{00000000-0004-0000-0000-000000000000}"/>
  </hyperlinks>
  <pageMargins left="0.511811024" right="0.511811024" top="0.78740157499999996" bottom="0.78740157499999996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15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0" t="s">
        <v>5</v>
      </c>
      <c r="D7" s="241" t="s">
        <v>6</v>
      </c>
      <c r="E7" s="1"/>
      <c r="F7" s="1"/>
      <c r="G7" s="249">
        <v>2020</v>
      </c>
      <c r="H7" s="249">
        <v>2021</v>
      </c>
      <c r="I7" s="249">
        <v>2022</v>
      </c>
      <c r="J7" s="249">
        <v>2023</v>
      </c>
      <c r="K7" s="249">
        <v>2025</v>
      </c>
      <c r="L7" s="249">
        <v>2026</v>
      </c>
      <c r="M7" s="249">
        <v>2034</v>
      </c>
      <c r="N7" s="16"/>
      <c r="O7" s="16"/>
    </row>
    <row r="8" spans="1:15" ht="15.75" customHeight="1">
      <c r="A8" s="212"/>
      <c r="B8" s="242" t="s">
        <v>16</v>
      </c>
      <c r="C8" s="247"/>
      <c r="D8" s="248">
        <v>0.06</v>
      </c>
      <c r="E8" s="1"/>
      <c r="F8" s="244" t="s">
        <v>17</v>
      </c>
      <c r="G8" s="11">
        <v>-100000</v>
      </c>
      <c r="H8" s="11"/>
      <c r="I8" s="11"/>
      <c r="J8" s="11"/>
      <c r="K8" s="11"/>
      <c r="L8" s="11"/>
      <c r="M8" s="11"/>
      <c r="N8" s="1"/>
      <c r="O8" s="1"/>
    </row>
    <row r="9" spans="1:15" ht="15.75" customHeight="1">
      <c r="A9" s="212"/>
      <c r="B9" s="242" t="s">
        <v>18</v>
      </c>
      <c r="C9" s="15"/>
      <c r="D9" s="244">
        <f t="array" ref="D9">NPV(D8,H11:M11)+G11</f>
        <v>90165.351347989141</v>
      </c>
      <c r="E9" s="1"/>
      <c r="F9" s="244" t="s">
        <v>19</v>
      </c>
      <c r="G9" s="11"/>
      <c r="H9" s="11">
        <v>10000</v>
      </c>
      <c r="I9" s="11">
        <v>10000</v>
      </c>
      <c r="J9" s="11">
        <v>10000</v>
      </c>
      <c r="K9" s="11">
        <v>10000</v>
      </c>
      <c r="L9" s="11">
        <v>10000</v>
      </c>
      <c r="M9" s="11">
        <v>10000</v>
      </c>
      <c r="N9" s="1"/>
      <c r="O9" s="1"/>
    </row>
    <row r="10" spans="1:15" ht="15.75" customHeight="1">
      <c r="A10" s="212"/>
      <c r="B10" s="9"/>
      <c r="C10" s="12"/>
      <c r="D10" s="14"/>
      <c r="E10" s="1"/>
      <c r="F10" s="244" t="s">
        <v>20</v>
      </c>
      <c r="G10" s="11"/>
      <c r="H10" s="11"/>
      <c r="I10" s="11"/>
      <c r="J10" s="11"/>
      <c r="K10" s="11"/>
      <c r="L10" s="11"/>
      <c r="M10" s="11">
        <v>200000</v>
      </c>
      <c r="N10" s="1"/>
      <c r="O10" s="1"/>
    </row>
    <row r="11" spans="1:15" ht="15.75" customHeight="1">
      <c r="A11" s="212"/>
      <c r="B11" s="212"/>
      <c r="C11" s="212"/>
      <c r="D11" s="212"/>
      <c r="E11" s="1"/>
      <c r="F11" s="1"/>
      <c r="G11" s="17">
        <f t="shared" ref="G11:M11" si="0">SUM(G8:G10)</f>
        <v>-100000</v>
      </c>
      <c r="H11" s="17">
        <f t="shared" si="0"/>
        <v>10000</v>
      </c>
      <c r="I11" s="17">
        <f t="shared" si="0"/>
        <v>10000</v>
      </c>
      <c r="J11" s="17">
        <f t="shared" si="0"/>
        <v>10000</v>
      </c>
      <c r="K11" s="17">
        <f t="shared" si="0"/>
        <v>10000</v>
      </c>
      <c r="L11" s="17">
        <f t="shared" si="0"/>
        <v>10000</v>
      </c>
      <c r="M11" s="17">
        <f t="shared" si="0"/>
        <v>210000</v>
      </c>
      <c r="N11" s="1"/>
      <c r="O11" s="1"/>
    </row>
    <row r="12" spans="1:15" ht="15.75" customHeight="1">
      <c r="A12" s="2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customHeight="1">
      <c r="A13" s="2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>
      <c r="A15" s="212"/>
      <c r="B15" s="239" t="s">
        <v>13</v>
      </c>
      <c r="C15" s="240" t="s">
        <v>5</v>
      </c>
      <c r="D15" s="241" t="s">
        <v>6</v>
      </c>
      <c r="E15" s="1"/>
      <c r="F15" s="1"/>
      <c r="G15" s="249">
        <v>2020</v>
      </c>
      <c r="H15" s="249">
        <v>2021</v>
      </c>
      <c r="I15" s="249">
        <v>2022</v>
      </c>
      <c r="J15" s="249">
        <v>2023</v>
      </c>
      <c r="K15" s="249">
        <v>2025</v>
      </c>
      <c r="L15" s="249">
        <v>2026</v>
      </c>
      <c r="M15" s="249">
        <v>2027</v>
      </c>
      <c r="N15" s="1"/>
      <c r="O15" s="1"/>
    </row>
    <row r="16" spans="1:15" ht="15.75" customHeight="1">
      <c r="A16" s="212"/>
      <c r="B16" s="242" t="s">
        <v>16</v>
      </c>
      <c r="C16" s="247"/>
      <c r="D16" s="248">
        <v>0.08</v>
      </c>
      <c r="E16" s="1"/>
      <c r="F16" s="244" t="s">
        <v>17</v>
      </c>
      <c r="G16" s="11">
        <v>-235000</v>
      </c>
      <c r="H16" s="11"/>
      <c r="I16" s="11"/>
      <c r="J16" s="11"/>
      <c r="K16" s="11"/>
      <c r="L16" s="11"/>
      <c r="M16" s="11"/>
      <c r="N16" s="1"/>
      <c r="O16" s="1"/>
    </row>
    <row r="17" spans="2:15" ht="15.75" customHeight="1">
      <c r="B17" s="242" t="s">
        <v>18</v>
      </c>
      <c r="C17" s="15"/>
      <c r="D17" s="244">
        <f t="array" ref="D17">NPV(D16,H19:M19)+G19</f>
        <v>-4744.4971089281316</v>
      </c>
      <c r="E17" s="1"/>
      <c r="F17" s="244" t="s">
        <v>19</v>
      </c>
      <c r="G17" s="11"/>
      <c r="H17" s="11">
        <v>8000</v>
      </c>
      <c r="I17" s="11">
        <v>9000</v>
      </c>
      <c r="J17" s="11">
        <v>10000</v>
      </c>
      <c r="K17" s="11">
        <v>11000</v>
      </c>
      <c r="L17" s="11">
        <v>12000</v>
      </c>
      <c r="M17" s="11">
        <v>13000</v>
      </c>
      <c r="N17" s="1"/>
      <c r="O17" s="1"/>
    </row>
    <row r="18" spans="2:15" ht="15.75" customHeight="1">
      <c r="B18" s="9"/>
      <c r="C18" s="12"/>
      <c r="D18" s="14"/>
      <c r="E18" s="1"/>
      <c r="F18" s="244" t="s">
        <v>20</v>
      </c>
      <c r="G18" s="11"/>
      <c r="H18" s="11"/>
      <c r="I18" s="11"/>
      <c r="J18" s="11"/>
      <c r="K18" s="11"/>
      <c r="L18" s="11"/>
      <c r="M18" s="11">
        <v>290000</v>
      </c>
      <c r="N18" s="1"/>
      <c r="O18" s="1"/>
    </row>
    <row r="19" spans="2:15" ht="15.75" customHeight="1">
      <c r="B19" s="212"/>
      <c r="C19" s="212"/>
      <c r="D19" s="212"/>
      <c r="E19" s="1"/>
      <c r="F19" s="1"/>
      <c r="G19" s="17">
        <f t="shared" ref="G19:M19" si="1">SUM(G16:G18)</f>
        <v>-235000</v>
      </c>
      <c r="H19" s="17">
        <f t="shared" si="1"/>
        <v>8000</v>
      </c>
      <c r="I19" s="17">
        <f t="shared" si="1"/>
        <v>9000</v>
      </c>
      <c r="J19" s="17">
        <f t="shared" si="1"/>
        <v>10000</v>
      </c>
      <c r="K19" s="17">
        <f t="shared" si="1"/>
        <v>11000</v>
      </c>
      <c r="L19" s="17">
        <f t="shared" si="1"/>
        <v>12000</v>
      </c>
      <c r="M19" s="17">
        <f t="shared" si="1"/>
        <v>303000</v>
      </c>
      <c r="N19" s="1"/>
      <c r="O19" s="1"/>
    </row>
    <row r="20" spans="2:15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>
      <c r="B23" s="239" t="s">
        <v>13</v>
      </c>
      <c r="C23" s="240" t="s">
        <v>5</v>
      </c>
      <c r="D23" s="241" t="s">
        <v>6</v>
      </c>
      <c r="E23" s="1"/>
      <c r="F23" s="1"/>
      <c r="G23" s="249">
        <v>2020</v>
      </c>
      <c r="H23" s="249">
        <v>2021</v>
      </c>
      <c r="I23" s="249">
        <v>2022</v>
      </c>
      <c r="J23" s="249">
        <v>2023</v>
      </c>
      <c r="K23" s="249">
        <v>2025</v>
      </c>
      <c r="L23" s="249">
        <v>2026</v>
      </c>
      <c r="M23" s="249">
        <v>2027</v>
      </c>
      <c r="N23" s="1"/>
      <c r="O23" s="1"/>
    </row>
    <row r="24" spans="2:15" ht="15.75" customHeight="1">
      <c r="B24" s="242" t="s">
        <v>16</v>
      </c>
      <c r="C24" s="247"/>
      <c r="D24" s="248">
        <v>9.5000000000000001E-2</v>
      </c>
      <c r="E24" s="1"/>
      <c r="F24" s="244" t="s">
        <v>17</v>
      </c>
      <c r="G24" s="11">
        <v>-90000</v>
      </c>
      <c r="H24" s="11"/>
      <c r="I24" s="11"/>
      <c r="J24" s="11"/>
      <c r="K24" s="11"/>
      <c r="L24" s="11"/>
      <c r="M24" s="11"/>
      <c r="N24" s="1"/>
      <c r="O24" s="1"/>
    </row>
    <row r="25" spans="2:15" ht="15.75" customHeight="1">
      <c r="B25" s="242" t="s">
        <v>18</v>
      </c>
      <c r="C25" s="15"/>
      <c r="D25" s="244">
        <f t="array" ref="D25">NPV(D24,H27:M27)+G27</f>
        <v>7519.4104714116111</v>
      </c>
      <c r="E25" s="1"/>
      <c r="F25" s="244" t="s">
        <v>19</v>
      </c>
      <c r="G25" s="11"/>
      <c r="H25" s="11">
        <v>5000</v>
      </c>
      <c r="I25" s="11">
        <v>5500</v>
      </c>
      <c r="J25" s="11">
        <v>6000</v>
      </c>
      <c r="K25" s="11">
        <v>8000</v>
      </c>
      <c r="L25" s="11">
        <v>9000</v>
      </c>
      <c r="M25" s="11">
        <v>10000</v>
      </c>
      <c r="N25" s="1"/>
      <c r="O25" s="1"/>
    </row>
    <row r="26" spans="2:15" ht="15.75" customHeight="1">
      <c r="B26" s="9"/>
      <c r="C26" s="12"/>
      <c r="D26" s="14"/>
      <c r="E26" s="1"/>
      <c r="F26" s="244" t="s">
        <v>20</v>
      </c>
      <c r="G26" s="11"/>
      <c r="H26" s="11"/>
      <c r="I26" s="11"/>
      <c r="J26" s="11"/>
      <c r="K26" s="11"/>
      <c r="L26" s="11"/>
      <c r="M26" s="11">
        <v>115000</v>
      </c>
      <c r="N26" s="1"/>
      <c r="O26" s="1"/>
    </row>
    <row r="27" spans="2:15" ht="15.75" customHeight="1">
      <c r="B27" s="212"/>
      <c r="C27" s="212"/>
      <c r="D27" s="212"/>
      <c r="E27" s="1"/>
      <c r="F27" s="1"/>
      <c r="G27" s="17">
        <f t="shared" ref="G27:M27" si="2">SUM(G24:G26)</f>
        <v>-90000</v>
      </c>
      <c r="H27" s="17">
        <f t="shared" si="2"/>
        <v>5000</v>
      </c>
      <c r="I27" s="17">
        <f t="shared" si="2"/>
        <v>5500</v>
      </c>
      <c r="J27" s="17">
        <f t="shared" si="2"/>
        <v>6000</v>
      </c>
      <c r="K27" s="17">
        <f t="shared" si="2"/>
        <v>8000</v>
      </c>
      <c r="L27" s="17">
        <f t="shared" si="2"/>
        <v>9000</v>
      </c>
      <c r="M27" s="17">
        <f t="shared" si="2"/>
        <v>125000</v>
      </c>
      <c r="N27" s="1"/>
      <c r="O27" s="1"/>
    </row>
    <row r="28" spans="2:15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</row>
    <row r="229" spans="2:15" ht="15.75" customHeight="1"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</row>
    <row r="230" spans="2:15" ht="15.75" customHeight="1"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</row>
    <row r="231" spans="2:15" ht="15.75" customHeight="1"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</row>
    <row r="232" spans="2:15" ht="15.75" customHeight="1"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</row>
    <row r="233" spans="2:15" ht="15.75" customHeight="1"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</row>
    <row r="234" spans="2:15" ht="15.75" customHeight="1"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</row>
    <row r="235" spans="2:15" ht="15.75" customHeight="1"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D5"/>
  </mergeCells>
  <conditionalFormatting sqref="B1:J1 C2:J3">
    <cfRule type="cellIs" dxfId="25" priority="2" operator="lessThan">
      <formula>0</formula>
    </cfRule>
  </conditionalFormatting>
  <conditionalFormatting sqref="K1:O3 B4:O1000">
    <cfRule type="cellIs" dxfId="24" priority="1" operator="lessThan">
      <formula>0</formula>
    </cfRule>
  </conditionalFormatting>
  <hyperlinks>
    <hyperlink ref="B1" r:id="rId1" xr:uid="{00000000-0004-0000-01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21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0" t="s">
        <v>5</v>
      </c>
      <c r="D7" s="241" t="s">
        <v>6</v>
      </c>
      <c r="E7" s="1"/>
      <c r="F7" s="1"/>
      <c r="G7" s="249">
        <v>2020</v>
      </c>
      <c r="H7" s="249">
        <v>2021</v>
      </c>
      <c r="I7" s="249">
        <v>2022</v>
      </c>
      <c r="J7" s="249">
        <v>2023</v>
      </c>
      <c r="K7" s="249">
        <v>2025</v>
      </c>
      <c r="L7" s="249">
        <v>2026</v>
      </c>
      <c r="M7" s="249">
        <v>2027</v>
      </c>
      <c r="N7" s="16"/>
      <c r="O7" s="16"/>
    </row>
    <row r="8" spans="1:15" ht="15.75" customHeight="1">
      <c r="A8" s="212"/>
      <c r="B8" s="242" t="s">
        <v>16</v>
      </c>
      <c r="C8" s="247"/>
      <c r="D8" s="248">
        <v>0.06</v>
      </c>
      <c r="E8" s="1"/>
      <c r="F8" s="244" t="s">
        <v>17</v>
      </c>
      <c r="G8" s="11">
        <v>-100000</v>
      </c>
      <c r="H8" s="11"/>
      <c r="I8" s="11"/>
      <c r="J8" s="11"/>
      <c r="K8" s="11"/>
      <c r="L8" s="11"/>
      <c r="M8" s="11"/>
      <c r="N8" s="1"/>
      <c r="O8" s="1"/>
    </row>
    <row r="9" spans="1:15" ht="15.75" customHeight="1">
      <c r="A9" s="212"/>
      <c r="B9" s="242" t="s">
        <v>18</v>
      </c>
      <c r="C9" s="245"/>
      <c r="D9" s="244">
        <f t="array" ref="D9">NPV(D8,H11:M11)+G11</f>
        <v>90165.351347989141</v>
      </c>
      <c r="E9" s="1"/>
      <c r="F9" s="244" t="s">
        <v>19</v>
      </c>
      <c r="G9" s="11"/>
      <c r="H9" s="11">
        <v>10000</v>
      </c>
      <c r="I9" s="11">
        <v>10000</v>
      </c>
      <c r="J9" s="11">
        <v>10000</v>
      </c>
      <c r="K9" s="11">
        <v>10000</v>
      </c>
      <c r="L9" s="11">
        <v>10000</v>
      </c>
      <c r="M9" s="11">
        <v>10000</v>
      </c>
      <c r="N9" s="1"/>
      <c r="O9" s="1"/>
    </row>
    <row r="10" spans="1:15" ht="15.75" customHeight="1">
      <c r="A10" s="212"/>
      <c r="B10" s="242" t="s">
        <v>22</v>
      </c>
      <c r="C10" s="18"/>
      <c r="D10" s="248">
        <f>IRR(G11:M11)</f>
        <v>0.20056308487046026</v>
      </c>
      <c r="E10" s="1"/>
      <c r="F10" s="244" t="s">
        <v>20</v>
      </c>
      <c r="G10" s="11"/>
      <c r="H10" s="11"/>
      <c r="I10" s="11"/>
      <c r="J10" s="11"/>
      <c r="K10" s="11"/>
      <c r="L10" s="11"/>
      <c r="M10" s="11">
        <v>200000</v>
      </c>
      <c r="N10" s="1"/>
      <c r="O10" s="1"/>
    </row>
    <row r="11" spans="1:15" ht="15.75" customHeight="1">
      <c r="A11" s="212"/>
      <c r="B11" s="212"/>
      <c r="C11" s="212"/>
      <c r="D11" s="212"/>
      <c r="E11" s="1"/>
      <c r="F11" s="1"/>
      <c r="G11" s="17">
        <f t="shared" ref="G11:M11" si="0">SUM(G8:G10)</f>
        <v>-100000</v>
      </c>
      <c r="H11" s="17">
        <f t="shared" si="0"/>
        <v>10000</v>
      </c>
      <c r="I11" s="17">
        <f t="shared" si="0"/>
        <v>10000</v>
      </c>
      <c r="J11" s="17">
        <f t="shared" si="0"/>
        <v>10000</v>
      </c>
      <c r="K11" s="17">
        <f t="shared" si="0"/>
        <v>10000</v>
      </c>
      <c r="L11" s="17">
        <f t="shared" si="0"/>
        <v>10000</v>
      </c>
      <c r="M11" s="17">
        <f t="shared" si="0"/>
        <v>210000</v>
      </c>
      <c r="N11" s="1"/>
      <c r="O11" s="1"/>
    </row>
    <row r="12" spans="1:15" ht="15.75" customHeight="1">
      <c r="A12" s="2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customHeight="1">
      <c r="A13" s="2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>
      <c r="A15" s="212"/>
      <c r="B15" s="239" t="s">
        <v>13</v>
      </c>
      <c r="C15" s="240" t="s">
        <v>5</v>
      </c>
      <c r="D15" s="241" t="s">
        <v>6</v>
      </c>
      <c r="E15" s="1"/>
      <c r="F15" s="1"/>
      <c r="G15" s="249">
        <v>2020</v>
      </c>
      <c r="H15" s="249">
        <v>2021</v>
      </c>
      <c r="I15" s="249">
        <v>2022</v>
      </c>
      <c r="J15" s="249">
        <v>2023</v>
      </c>
      <c r="K15" s="249">
        <v>2025</v>
      </c>
      <c r="L15" s="249">
        <v>2026</v>
      </c>
      <c r="M15" s="249">
        <v>2027</v>
      </c>
      <c r="N15" s="1"/>
      <c r="O15" s="1"/>
    </row>
    <row r="16" spans="1:15" ht="15.75" customHeight="1">
      <c r="A16" s="212"/>
      <c r="B16" s="242" t="s">
        <v>16</v>
      </c>
      <c r="C16" s="247"/>
      <c r="D16" s="248">
        <v>0.08</v>
      </c>
      <c r="E16" s="1"/>
      <c r="F16" s="244" t="s">
        <v>17</v>
      </c>
      <c r="G16" s="11">
        <v>-235000</v>
      </c>
      <c r="H16" s="11"/>
      <c r="I16" s="11"/>
      <c r="J16" s="11"/>
      <c r="K16" s="11"/>
      <c r="L16" s="11"/>
      <c r="M16" s="11"/>
      <c r="N16" s="1"/>
      <c r="O16" s="1"/>
    </row>
    <row r="17" spans="2:15" ht="15.75" customHeight="1">
      <c r="B17" s="242" t="s">
        <v>18</v>
      </c>
      <c r="C17" s="245"/>
      <c r="D17" s="244">
        <f t="array" ref="D17">NPV(D16,H19:M19)+G19</f>
        <v>-4744.4971089281316</v>
      </c>
      <c r="E17" s="1"/>
      <c r="F17" s="244" t="s">
        <v>19</v>
      </c>
      <c r="G17" s="11"/>
      <c r="H17" s="11">
        <v>8000</v>
      </c>
      <c r="I17" s="11">
        <v>9000</v>
      </c>
      <c r="J17" s="11">
        <v>10000</v>
      </c>
      <c r="K17" s="11">
        <v>11000</v>
      </c>
      <c r="L17" s="11">
        <v>12000</v>
      </c>
      <c r="M17" s="11">
        <v>13000</v>
      </c>
      <c r="N17" s="1"/>
      <c r="O17" s="1"/>
    </row>
    <row r="18" spans="2:15" ht="15.75" customHeight="1">
      <c r="B18" s="242" t="s">
        <v>22</v>
      </c>
      <c r="C18" s="18"/>
      <c r="D18" s="248">
        <f>IRR(G19:M19)</f>
        <v>7.6001585559314133E-2</v>
      </c>
      <c r="E18" s="1"/>
      <c r="F18" s="244" t="s">
        <v>20</v>
      </c>
      <c r="G18" s="11"/>
      <c r="H18" s="11"/>
      <c r="I18" s="11"/>
      <c r="J18" s="11"/>
      <c r="K18" s="11"/>
      <c r="L18" s="11"/>
      <c r="M18" s="11">
        <v>290000</v>
      </c>
      <c r="N18" s="1"/>
      <c r="O18" s="1"/>
    </row>
    <row r="19" spans="2:15" ht="15.75" customHeight="1">
      <c r="B19" s="212"/>
      <c r="C19" s="212"/>
      <c r="D19" s="212"/>
      <c r="E19" s="1"/>
      <c r="F19" s="1"/>
      <c r="G19" s="17">
        <f t="shared" ref="G19:M19" si="1">SUM(G16:G18)</f>
        <v>-235000</v>
      </c>
      <c r="H19" s="17">
        <f t="shared" si="1"/>
        <v>8000</v>
      </c>
      <c r="I19" s="17">
        <f t="shared" si="1"/>
        <v>9000</v>
      </c>
      <c r="J19" s="17">
        <f t="shared" si="1"/>
        <v>10000</v>
      </c>
      <c r="K19" s="17">
        <f t="shared" si="1"/>
        <v>11000</v>
      </c>
      <c r="L19" s="17">
        <f t="shared" si="1"/>
        <v>12000</v>
      </c>
      <c r="M19" s="17">
        <f t="shared" si="1"/>
        <v>303000</v>
      </c>
      <c r="N19" s="1"/>
      <c r="O19" s="1"/>
    </row>
    <row r="20" spans="2:15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>
      <c r="B23" s="239" t="s">
        <v>13</v>
      </c>
      <c r="C23" s="240" t="s">
        <v>5</v>
      </c>
      <c r="D23" s="241" t="s">
        <v>6</v>
      </c>
      <c r="E23" s="1"/>
      <c r="F23" s="1"/>
      <c r="G23" s="249">
        <v>2020</v>
      </c>
      <c r="H23" s="249">
        <v>2021</v>
      </c>
      <c r="I23" s="249">
        <v>2022</v>
      </c>
      <c r="J23" s="249">
        <v>2023</v>
      </c>
      <c r="K23" s="249">
        <v>2025</v>
      </c>
      <c r="L23" s="249">
        <v>2026</v>
      </c>
      <c r="M23" s="249">
        <v>2027</v>
      </c>
      <c r="N23" s="1"/>
      <c r="O23" s="1"/>
    </row>
    <row r="24" spans="2:15" ht="15.75" customHeight="1">
      <c r="B24" s="242" t="s">
        <v>16</v>
      </c>
      <c r="C24" s="247"/>
      <c r="D24" s="248">
        <v>9.5000000000000001E-2</v>
      </c>
      <c r="E24" s="1"/>
      <c r="F24" s="244" t="s">
        <v>17</v>
      </c>
      <c r="G24" s="11">
        <v>-90000</v>
      </c>
      <c r="H24" s="11"/>
      <c r="I24" s="11"/>
      <c r="J24" s="11"/>
      <c r="K24" s="11"/>
      <c r="L24" s="11"/>
      <c r="M24" s="11"/>
      <c r="N24" s="1"/>
      <c r="O24" s="1"/>
    </row>
    <row r="25" spans="2:15" ht="15.75" customHeight="1">
      <c r="B25" s="242" t="s">
        <v>18</v>
      </c>
      <c r="C25" s="245"/>
      <c r="D25" s="244">
        <f t="array" ref="D25">NPV(D24,H27:M27)+G27</f>
        <v>7519.4104714116111</v>
      </c>
      <c r="E25" s="1"/>
      <c r="F25" s="244" t="s">
        <v>19</v>
      </c>
      <c r="G25" s="11"/>
      <c r="H25" s="11">
        <v>5000</v>
      </c>
      <c r="I25" s="11">
        <v>5500</v>
      </c>
      <c r="J25" s="11">
        <v>6000</v>
      </c>
      <c r="K25" s="11">
        <v>8000</v>
      </c>
      <c r="L25" s="11">
        <v>9000</v>
      </c>
      <c r="M25" s="11">
        <v>10000</v>
      </c>
      <c r="N25" s="1"/>
      <c r="O25" s="1"/>
    </row>
    <row r="26" spans="2:15" ht="15.75" customHeight="1">
      <c r="B26" s="242" t="s">
        <v>22</v>
      </c>
      <c r="C26" s="18"/>
      <c r="D26" s="248">
        <f>IRR(G27:M27)</f>
        <v>0.11187053432495841</v>
      </c>
      <c r="E26" s="1"/>
      <c r="F26" s="244" t="s">
        <v>20</v>
      </c>
      <c r="G26" s="11"/>
      <c r="H26" s="11"/>
      <c r="I26" s="11"/>
      <c r="J26" s="11"/>
      <c r="K26" s="11"/>
      <c r="L26" s="11"/>
      <c r="M26" s="11">
        <v>115000</v>
      </c>
      <c r="N26" s="1"/>
      <c r="O26" s="1"/>
    </row>
    <row r="27" spans="2:15" ht="15.75" customHeight="1">
      <c r="B27" s="212"/>
      <c r="C27" s="212"/>
      <c r="D27" s="212"/>
      <c r="E27" s="1"/>
      <c r="F27" s="1"/>
      <c r="G27" s="17">
        <f t="shared" ref="G27:M27" si="2">SUM(G24:G26)</f>
        <v>-90000</v>
      </c>
      <c r="H27" s="17">
        <f t="shared" si="2"/>
        <v>5000</v>
      </c>
      <c r="I27" s="17">
        <f t="shared" si="2"/>
        <v>5500</v>
      </c>
      <c r="J27" s="17">
        <f t="shared" si="2"/>
        <v>6000</v>
      </c>
      <c r="K27" s="17">
        <f t="shared" si="2"/>
        <v>8000</v>
      </c>
      <c r="L27" s="17">
        <f t="shared" si="2"/>
        <v>9000</v>
      </c>
      <c r="M27" s="17">
        <f t="shared" si="2"/>
        <v>125000</v>
      </c>
      <c r="N27" s="1"/>
      <c r="O27" s="1"/>
    </row>
    <row r="28" spans="2:15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</row>
    <row r="229" spans="2:15" ht="15.75" customHeight="1"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</row>
    <row r="230" spans="2:15" ht="15.75" customHeight="1"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</row>
    <row r="231" spans="2:15" ht="15.75" customHeight="1"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</row>
    <row r="232" spans="2:15" ht="15.75" customHeight="1"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</row>
    <row r="233" spans="2:15" ht="15.75" customHeight="1"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</row>
    <row r="234" spans="2:15" ht="15.75" customHeight="1"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</row>
    <row r="235" spans="2:15" ht="15.75" customHeight="1"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D5"/>
  </mergeCells>
  <conditionalFormatting sqref="B1:J1 C2:J3">
    <cfRule type="cellIs" dxfId="23" priority="2" operator="lessThan">
      <formula>0</formula>
    </cfRule>
  </conditionalFormatting>
  <conditionalFormatting sqref="K1:O3 B4:O1000">
    <cfRule type="cellIs" dxfId="22" priority="1" operator="lessThan">
      <formula>0</formula>
    </cfRule>
  </conditionalFormatting>
  <hyperlinks>
    <hyperlink ref="B1" r:id="rId1" xr:uid="{00000000-0004-0000-02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C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23</v>
      </c>
      <c r="C5" s="238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1" t="s">
        <v>6</v>
      </c>
      <c r="D7" s="212"/>
      <c r="E7" s="1"/>
      <c r="F7" s="249">
        <v>2020</v>
      </c>
      <c r="G7" s="249">
        <v>2021</v>
      </c>
      <c r="H7" s="249">
        <v>2022</v>
      </c>
      <c r="I7" s="249">
        <v>2023</v>
      </c>
      <c r="J7" s="249">
        <v>2025</v>
      </c>
      <c r="K7" s="249">
        <v>2026</v>
      </c>
      <c r="L7" s="249">
        <v>2027</v>
      </c>
      <c r="M7" s="1"/>
      <c r="N7" s="1"/>
      <c r="O7" s="1"/>
    </row>
    <row r="8" spans="1:15" ht="15.75" customHeight="1">
      <c r="A8" s="212"/>
      <c r="B8" s="242" t="s">
        <v>16</v>
      </c>
      <c r="C8" s="248">
        <v>0.06</v>
      </c>
      <c r="D8" s="212"/>
      <c r="E8" s="244" t="s">
        <v>17</v>
      </c>
      <c r="F8" s="11">
        <v>-50000</v>
      </c>
      <c r="G8" s="11"/>
      <c r="H8" s="11"/>
      <c r="I8" s="11"/>
      <c r="J8" s="11"/>
      <c r="K8" s="11"/>
      <c r="L8" s="11"/>
      <c r="M8" s="1"/>
      <c r="N8" s="1"/>
      <c r="O8" s="1"/>
    </row>
    <row r="9" spans="1:15" ht="15.75" customHeight="1">
      <c r="A9" s="212"/>
      <c r="B9" s="242" t="s">
        <v>18</v>
      </c>
      <c r="C9" s="250">
        <f t="array" ref="C9">NPV(C8,G11:L11)+F11</f>
        <v>73599.828811018786</v>
      </c>
      <c r="D9" s="212"/>
      <c r="E9" s="244" t="s">
        <v>19</v>
      </c>
      <c r="F9" s="11"/>
      <c r="G9" s="11">
        <v>25000</v>
      </c>
      <c r="H9" s="11">
        <v>0</v>
      </c>
      <c r="I9" s="11">
        <v>5000</v>
      </c>
      <c r="J9" s="11">
        <v>5000</v>
      </c>
      <c r="K9" s="11">
        <v>5000</v>
      </c>
      <c r="L9" s="11">
        <v>0</v>
      </c>
      <c r="M9" s="1"/>
      <c r="N9" s="1"/>
      <c r="O9" s="1"/>
    </row>
    <row r="10" spans="1:15" ht="15.75" customHeight="1">
      <c r="A10" s="212"/>
      <c r="B10" s="242" t="s">
        <v>22</v>
      </c>
      <c r="C10" s="248">
        <f>IRR(F11:L11)</f>
        <v>0.30336360648686012</v>
      </c>
      <c r="D10" s="212"/>
      <c r="E10" s="244" t="s">
        <v>20</v>
      </c>
      <c r="F10" s="11"/>
      <c r="G10" s="11"/>
      <c r="H10" s="11"/>
      <c r="I10" s="11"/>
      <c r="J10" s="11"/>
      <c r="K10" s="11"/>
      <c r="L10" s="11">
        <v>125000</v>
      </c>
      <c r="M10" s="1"/>
      <c r="N10" s="1"/>
      <c r="O10" s="1"/>
    </row>
    <row r="11" spans="1:15" ht="15.75" customHeight="1">
      <c r="A11" s="212"/>
      <c r="B11" s="242" t="s">
        <v>24</v>
      </c>
      <c r="C11" s="244">
        <f>SUM(G11:L11)</f>
        <v>165000</v>
      </c>
      <c r="D11" s="212"/>
      <c r="E11" s="1"/>
      <c r="F11" s="17">
        <f t="shared" ref="F11:L11" si="0">SUM(F8:F10)</f>
        <v>-50000</v>
      </c>
      <c r="G11" s="17">
        <f t="shared" si="0"/>
        <v>25000</v>
      </c>
      <c r="H11" s="17">
        <f t="shared" si="0"/>
        <v>0</v>
      </c>
      <c r="I11" s="17">
        <f t="shared" si="0"/>
        <v>5000</v>
      </c>
      <c r="J11" s="17">
        <f t="shared" si="0"/>
        <v>5000</v>
      </c>
      <c r="K11" s="17">
        <f t="shared" si="0"/>
        <v>5000</v>
      </c>
      <c r="L11" s="17">
        <f t="shared" si="0"/>
        <v>125000</v>
      </c>
      <c r="M11" s="1"/>
      <c r="N11" s="1"/>
      <c r="O11" s="1"/>
    </row>
    <row r="12" spans="1:15" ht="15.75" customHeight="1">
      <c r="A12" s="2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customHeight="1">
      <c r="A13" s="2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>
      <c r="A15" s="212"/>
      <c r="B15" s="239" t="s">
        <v>13</v>
      </c>
      <c r="C15" s="241" t="s">
        <v>6</v>
      </c>
      <c r="D15" s="212"/>
      <c r="E15" s="1"/>
      <c r="F15" s="249">
        <v>2020</v>
      </c>
      <c r="G15" s="249">
        <v>2021</v>
      </c>
      <c r="H15" s="249">
        <v>2022</v>
      </c>
      <c r="I15" s="249">
        <v>2023</v>
      </c>
      <c r="J15" s="249">
        <v>2025</v>
      </c>
      <c r="K15" s="249">
        <v>2026</v>
      </c>
      <c r="L15" s="249">
        <v>2027</v>
      </c>
      <c r="M15" s="1"/>
      <c r="N15" s="1"/>
      <c r="O15" s="1"/>
    </row>
    <row r="16" spans="1:15" ht="15.75" customHeight="1">
      <c r="A16" s="212"/>
      <c r="B16" s="242" t="s">
        <v>16</v>
      </c>
      <c r="C16" s="248">
        <v>0.06</v>
      </c>
      <c r="D16" s="212"/>
      <c r="E16" s="244" t="s">
        <v>17</v>
      </c>
      <c r="F16" s="11">
        <v>-50000</v>
      </c>
      <c r="G16" s="11"/>
      <c r="H16" s="11"/>
      <c r="I16" s="11"/>
      <c r="J16" s="11"/>
      <c r="K16" s="11"/>
      <c r="L16" s="11"/>
      <c r="M16" s="1"/>
      <c r="N16" s="1"/>
      <c r="O16" s="1"/>
    </row>
    <row r="17" spans="2:15" ht="15.75" customHeight="1">
      <c r="B17" s="242" t="s">
        <v>18</v>
      </c>
      <c r="C17" s="250">
        <f t="array" ref="C17">NPV(C16,G19:L19)+F19</f>
        <v>67203.271047641625</v>
      </c>
      <c r="D17" s="212"/>
      <c r="E17" s="244" t="s">
        <v>19</v>
      </c>
      <c r="F17" s="11"/>
      <c r="G17" s="11">
        <v>0</v>
      </c>
      <c r="H17" s="11">
        <v>0</v>
      </c>
      <c r="I17" s="11">
        <v>5000</v>
      </c>
      <c r="J17" s="11">
        <v>0</v>
      </c>
      <c r="K17" s="11">
        <v>5000</v>
      </c>
      <c r="L17" s="11">
        <v>0</v>
      </c>
      <c r="M17" s="1"/>
      <c r="N17" s="1"/>
      <c r="O17" s="1"/>
    </row>
    <row r="18" spans="2:15" ht="15.75" customHeight="1">
      <c r="B18" s="242" t="s">
        <v>22</v>
      </c>
      <c r="C18" s="248">
        <f>IRR(F19:L19)</f>
        <v>0.22668805141011106</v>
      </c>
      <c r="D18" s="212"/>
      <c r="E18" s="244" t="s">
        <v>20</v>
      </c>
      <c r="F18" s="11"/>
      <c r="G18" s="11"/>
      <c r="H18" s="11"/>
      <c r="I18" s="11"/>
      <c r="J18" s="11"/>
      <c r="K18" s="11"/>
      <c r="L18" s="11">
        <v>155000</v>
      </c>
      <c r="M18" s="1"/>
      <c r="N18" s="1"/>
      <c r="O18" s="1"/>
    </row>
    <row r="19" spans="2:15" ht="15.75" customHeight="1">
      <c r="B19" s="242" t="s">
        <v>24</v>
      </c>
      <c r="C19" s="244">
        <f>SUM(G19:L19)</f>
        <v>165000</v>
      </c>
      <c r="D19" s="212"/>
      <c r="E19" s="1"/>
      <c r="F19" s="17">
        <f t="shared" ref="F19:L19" si="1">SUM(F16:F18)</f>
        <v>-50000</v>
      </c>
      <c r="G19" s="17">
        <f t="shared" si="1"/>
        <v>0</v>
      </c>
      <c r="H19" s="17">
        <f t="shared" si="1"/>
        <v>0</v>
      </c>
      <c r="I19" s="17">
        <f t="shared" si="1"/>
        <v>5000</v>
      </c>
      <c r="J19" s="17">
        <f t="shared" si="1"/>
        <v>0</v>
      </c>
      <c r="K19" s="17">
        <f t="shared" si="1"/>
        <v>5000</v>
      </c>
      <c r="L19" s="17">
        <f t="shared" si="1"/>
        <v>155000</v>
      </c>
      <c r="M19" s="1"/>
      <c r="N19" s="1"/>
      <c r="O19" s="1"/>
    </row>
    <row r="20" spans="2:15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>
      <c r="B23" s="239" t="s">
        <v>25</v>
      </c>
      <c r="C23" s="241" t="s">
        <v>6</v>
      </c>
      <c r="D23" s="212"/>
      <c r="E23" s="1"/>
      <c r="F23" s="249">
        <v>2020</v>
      </c>
      <c r="G23" s="249">
        <v>2021</v>
      </c>
      <c r="H23" s="249">
        <v>2022</v>
      </c>
      <c r="I23" s="249">
        <v>2023</v>
      </c>
      <c r="J23" s="249">
        <v>2025</v>
      </c>
      <c r="K23" s="249">
        <v>2026</v>
      </c>
      <c r="L23" s="249">
        <v>2027</v>
      </c>
      <c r="M23" s="1"/>
      <c r="N23" s="1"/>
      <c r="O23" s="1"/>
    </row>
    <row r="24" spans="2:15" ht="15.75" customHeight="1">
      <c r="B24" s="242" t="s">
        <v>16</v>
      </c>
      <c r="C24" s="248">
        <v>0.06</v>
      </c>
      <c r="D24" s="212"/>
      <c r="E24" s="244" t="s">
        <v>17</v>
      </c>
      <c r="F24" s="11">
        <v>-20000</v>
      </c>
      <c r="G24" s="11"/>
      <c r="H24" s="11"/>
      <c r="I24" s="11"/>
      <c r="J24" s="11"/>
      <c r="K24" s="11"/>
      <c r="L24" s="11"/>
      <c r="M24" s="1"/>
      <c r="N24" s="1"/>
      <c r="O24" s="1"/>
    </row>
    <row r="25" spans="2:15" ht="15.75" customHeight="1">
      <c r="B25" s="242" t="s">
        <v>18</v>
      </c>
      <c r="C25" s="250">
        <f t="array" ref="C25">NPV(C24,G27:L27)+F27</f>
        <v>27338.100290524264</v>
      </c>
      <c r="D25" s="212"/>
      <c r="E25" s="244" t="s">
        <v>19</v>
      </c>
      <c r="F25" s="11"/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"/>
      <c r="N25" s="1"/>
      <c r="O25" s="1"/>
    </row>
    <row r="26" spans="2:15" ht="15.75" customHeight="1">
      <c r="B26" s="242" t="s">
        <v>22</v>
      </c>
      <c r="C26" s="248">
        <f>IRR(F27:L27)</f>
        <v>0.22368415591191915</v>
      </c>
      <c r="D26" s="212"/>
      <c r="E26" s="244" t="s">
        <v>20</v>
      </c>
      <c r="F26" s="11"/>
      <c r="G26" s="11"/>
      <c r="H26" s="11"/>
      <c r="I26" s="11"/>
      <c r="J26" s="11"/>
      <c r="K26" s="11"/>
      <c r="L26" s="11">
        <v>67150</v>
      </c>
      <c r="M26" s="1"/>
      <c r="N26" s="1"/>
      <c r="O26" s="1"/>
    </row>
    <row r="27" spans="2:15" ht="15.75" customHeight="1">
      <c r="B27" s="242" t="s">
        <v>24</v>
      </c>
      <c r="C27" s="244">
        <f>SUM(G27:L27)</f>
        <v>67150</v>
      </c>
      <c r="D27" s="212"/>
      <c r="E27" s="1"/>
      <c r="F27" s="17">
        <f t="shared" ref="F27:L27" si="2">SUM(F24:F26)</f>
        <v>-20000</v>
      </c>
      <c r="G27" s="17">
        <f t="shared" si="2"/>
        <v>0</v>
      </c>
      <c r="H27" s="17">
        <f t="shared" si="2"/>
        <v>0</v>
      </c>
      <c r="I27" s="17">
        <f t="shared" si="2"/>
        <v>0</v>
      </c>
      <c r="J27" s="17">
        <f t="shared" si="2"/>
        <v>0</v>
      </c>
      <c r="K27" s="17">
        <f t="shared" si="2"/>
        <v>0</v>
      </c>
      <c r="L27" s="17">
        <f t="shared" si="2"/>
        <v>67150</v>
      </c>
      <c r="M27" s="1"/>
      <c r="N27" s="1"/>
      <c r="O27" s="1"/>
    </row>
    <row r="28" spans="2:15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>
      <c r="B31" s="239" t="s">
        <v>26</v>
      </c>
      <c r="C31" s="241" t="s">
        <v>6</v>
      </c>
      <c r="D31" s="212"/>
      <c r="E31" s="1"/>
      <c r="F31" s="249">
        <v>2020</v>
      </c>
      <c r="G31" s="249">
        <v>2021</v>
      </c>
      <c r="H31" s="249">
        <v>2022</v>
      </c>
      <c r="I31" s="249">
        <v>2023</v>
      </c>
      <c r="J31" s="249">
        <v>2025</v>
      </c>
      <c r="K31" s="249">
        <v>2026</v>
      </c>
      <c r="L31" s="249">
        <v>2027</v>
      </c>
      <c r="M31" s="1"/>
      <c r="N31" s="1"/>
      <c r="O31" s="1"/>
    </row>
    <row r="32" spans="2:15" ht="15.75" customHeight="1">
      <c r="B32" s="242" t="s">
        <v>16</v>
      </c>
      <c r="C32" s="248">
        <v>0.06</v>
      </c>
      <c r="D32" s="212"/>
      <c r="E32" s="244" t="s">
        <v>17</v>
      </c>
      <c r="F32" s="11">
        <v>-20000</v>
      </c>
      <c r="G32" s="11"/>
      <c r="H32" s="11"/>
      <c r="I32" s="11"/>
      <c r="J32" s="11"/>
      <c r="K32" s="11"/>
      <c r="L32" s="11"/>
      <c r="M32" s="1"/>
      <c r="N32" s="1"/>
      <c r="O32" s="1"/>
    </row>
    <row r="33" spans="2:15" ht="15.75" customHeight="1">
      <c r="B33" s="242" t="s">
        <v>18</v>
      </c>
      <c r="C33" s="250">
        <f t="array" ref="C33">NPV(C32,G35:L35)+F35</f>
        <v>17293.310815013465</v>
      </c>
      <c r="D33" s="212"/>
      <c r="E33" s="244" t="s">
        <v>19</v>
      </c>
      <c r="F33" s="11"/>
      <c r="G33" s="11">
        <v>4000</v>
      </c>
      <c r="H33" s="11">
        <v>4000</v>
      </c>
      <c r="I33" s="11">
        <v>4000</v>
      </c>
      <c r="J33" s="11">
        <v>4000</v>
      </c>
      <c r="K33" s="11">
        <v>4000</v>
      </c>
      <c r="L33" s="11">
        <v>4000</v>
      </c>
      <c r="M33" s="1"/>
      <c r="N33" s="1"/>
      <c r="O33" s="1"/>
    </row>
    <row r="34" spans="2:15" ht="15.75" customHeight="1">
      <c r="B34" s="242" t="s">
        <v>22</v>
      </c>
      <c r="C34" s="248">
        <f>IRR(F35:L35)</f>
        <v>0.22371843998636809</v>
      </c>
      <c r="D34" s="212"/>
      <c r="E34" s="244" t="s">
        <v>20</v>
      </c>
      <c r="F34" s="11"/>
      <c r="G34" s="11"/>
      <c r="H34" s="11"/>
      <c r="I34" s="11"/>
      <c r="J34" s="11"/>
      <c r="K34" s="11"/>
      <c r="L34" s="11">
        <v>25000</v>
      </c>
      <c r="M34" s="1"/>
      <c r="N34" s="1"/>
      <c r="O34" s="1"/>
    </row>
    <row r="35" spans="2:15" ht="15.75" customHeight="1">
      <c r="B35" s="242" t="s">
        <v>24</v>
      </c>
      <c r="C35" s="244">
        <f>SUM(G35:L35)</f>
        <v>49000</v>
      </c>
      <c r="D35" s="212"/>
      <c r="E35" s="1"/>
      <c r="F35" s="17">
        <f t="shared" ref="F35:L35" si="3">SUM(F32:F34)</f>
        <v>-20000</v>
      </c>
      <c r="G35" s="17">
        <f t="shared" si="3"/>
        <v>4000</v>
      </c>
      <c r="H35" s="17">
        <f t="shared" si="3"/>
        <v>4000</v>
      </c>
      <c r="I35" s="17">
        <f t="shared" si="3"/>
        <v>4000</v>
      </c>
      <c r="J35" s="17">
        <f t="shared" si="3"/>
        <v>4000</v>
      </c>
      <c r="K35" s="17">
        <f t="shared" si="3"/>
        <v>4000</v>
      </c>
      <c r="L35" s="17">
        <f t="shared" si="3"/>
        <v>29000</v>
      </c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C5"/>
  </mergeCells>
  <conditionalFormatting sqref="B1:J1 C2:J3">
    <cfRule type="cellIs" dxfId="21" priority="2" operator="lessThan">
      <formula>0</formula>
    </cfRule>
  </conditionalFormatting>
  <conditionalFormatting sqref="K1:O3 B4:O1000">
    <cfRule type="cellIs" dxfId="20" priority="1" operator="lessThan">
      <formula>0</formula>
    </cfRule>
  </conditionalFormatting>
  <hyperlinks>
    <hyperlink ref="B1" r:id="rId1" xr:uid="{00000000-0004-0000-03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27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0" t="s">
        <v>5</v>
      </c>
      <c r="D7" s="241" t="s">
        <v>6</v>
      </c>
      <c r="E7" s="1"/>
      <c r="F7" s="1"/>
      <c r="G7" s="249">
        <v>2020</v>
      </c>
      <c r="H7" s="249">
        <v>2021</v>
      </c>
      <c r="I7" s="249">
        <v>2022</v>
      </c>
      <c r="J7" s="249">
        <v>2023</v>
      </c>
      <c r="K7" s="249">
        <v>2025</v>
      </c>
      <c r="L7" s="249">
        <v>2026</v>
      </c>
      <c r="M7" s="249">
        <v>2027</v>
      </c>
      <c r="N7" s="16"/>
      <c r="O7" s="16"/>
    </row>
    <row r="8" spans="1:15" ht="15.75" customHeight="1">
      <c r="A8" s="212"/>
      <c r="B8" s="242" t="s">
        <v>16</v>
      </c>
      <c r="C8" s="247"/>
      <c r="D8" s="248">
        <v>0.06</v>
      </c>
      <c r="E8" s="1"/>
      <c r="F8" s="244" t="s">
        <v>17</v>
      </c>
      <c r="G8" s="11">
        <v>-100000</v>
      </c>
      <c r="H8" s="11"/>
      <c r="I8" s="11"/>
      <c r="J8" s="11"/>
      <c r="K8" s="11"/>
      <c r="L8" s="11"/>
      <c r="M8" s="11"/>
      <c r="N8" s="1"/>
      <c r="O8" s="1"/>
    </row>
    <row r="9" spans="1:15" ht="15.75" customHeight="1">
      <c r="A9" s="212"/>
      <c r="B9" s="242" t="s">
        <v>18</v>
      </c>
      <c r="C9" s="245"/>
      <c r="D9" s="244">
        <f t="array" ref="D9">NPV(D8,H11:M11)+G11</f>
        <v>90165.351347989141</v>
      </c>
      <c r="E9" s="1"/>
      <c r="F9" s="244" t="s">
        <v>19</v>
      </c>
      <c r="G9" s="11"/>
      <c r="H9" s="11">
        <v>10000</v>
      </c>
      <c r="I9" s="11">
        <v>10000</v>
      </c>
      <c r="J9" s="11">
        <v>10000</v>
      </c>
      <c r="K9" s="11">
        <v>10000</v>
      </c>
      <c r="L9" s="11">
        <v>10000</v>
      </c>
      <c r="M9" s="11">
        <v>10000</v>
      </c>
      <c r="N9" s="1"/>
      <c r="O9" s="1"/>
    </row>
    <row r="10" spans="1:15" ht="15.75" customHeight="1">
      <c r="A10" s="212"/>
      <c r="B10" s="242" t="s">
        <v>22</v>
      </c>
      <c r="C10" s="247"/>
      <c r="D10" s="248">
        <f>IRR(G11:M11)</f>
        <v>0.20056308487046026</v>
      </c>
      <c r="E10" s="1"/>
      <c r="F10" s="244" t="s">
        <v>20</v>
      </c>
      <c r="G10" s="11"/>
      <c r="H10" s="11"/>
      <c r="I10" s="11"/>
      <c r="J10" s="11"/>
      <c r="K10" s="11"/>
      <c r="L10" s="11"/>
      <c r="M10" s="11">
        <v>200000</v>
      </c>
      <c r="N10" s="1"/>
      <c r="O10" s="1"/>
    </row>
    <row r="11" spans="1:15" ht="15.75" customHeight="1">
      <c r="A11" s="212"/>
      <c r="B11" s="242" t="s">
        <v>28</v>
      </c>
      <c r="C11" s="20"/>
      <c r="D11" s="248">
        <f>(SUM(H11:M11)+G11)/-G11</f>
        <v>1.6</v>
      </c>
      <c r="E11" s="1"/>
      <c r="F11" s="1"/>
      <c r="G11" s="17">
        <f t="shared" ref="G11:M11" si="0">SUM(G8:G10)</f>
        <v>-100000</v>
      </c>
      <c r="H11" s="17">
        <f t="shared" si="0"/>
        <v>10000</v>
      </c>
      <c r="I11" s="17">
        <f t="shared" si="0"/>
        <v>10000</v>
      </c>
      <c r="J11" s="17">
        <f t="shared" si="0"/>
        <v>10000</v>
      </c>
      <c r="K11" s="17">
        <f t="shared" si="0"/>
        <v>10000</v>
      </c>
      <c r="L11" s="17">
        <f t="shared" si="0"/>
        <v>10000</v>
      </c>
      <c r="M11" s="17">
        <f t="shared" si="0"/>
        <v>210000</v>
      </c>
      <c r="N11" s="1"/>
      <c r="O11" s="1"/>
    </row>
    <row r="12" spans="1:15" ht="15.75" customHeight="1">
      <c r="A12" s="212"/>
      <c r="B12" s="242" t="s">
        <v>29</v>
      </c>
      <c r="C12" s="21"/>
      <c r="D12" s="251">
        <f>SUM(H11:M11)/-G11</f>
        <v>2.6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customHeight="1">
      <c r="A13" s="212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>
      <c r="A15" s="212"/>
      <c r="B15" s="239" t="s">
        <v>13</v>
      </c>
      <c r="C15" s="240" t="s">
        <v>5</v>
      </c>
      <c r="D15" s="241" t="s">
        <v>6</v>
      </c>
      <c r="E15" s="1"/>
      <c r="F15" s="1"/>
      <c r="G15" s="249">
        <v>2020</v>
      </c>
      <c r="H15" s="249">
        <v>2021</v>
      </c>
      <c r="I15" s="249">
        <v>2022</v>
      </c>
      <c r="J15" s="249">
        <v>2023</v>
      </c>
      <c r="K15" s="249">
        <v>2025</v>
      </c>
      <c r="L15" s="249">
        <v>2026</v>
      </c>
      <c r="M15" s="249">
        <v>2027</v>
      </c>
      <c r="N15" s="1"/>
      <c r="O15" s="1"/>
    </row>
    <row r="16" spans="1:15" ht="15.75" customHeight="1">
      <c r="A16" s="212"/>
      <c r="B16" s="242" t="s">
        <v>16</v>
      </c>
      <c r="C16" s="247"/>
      <c r="D16" s="248">
        <v>0.08</v>
      </c>
      <c r="E16" s="1"/>
      <c r="F16" s="244" t="s">
        <v>17</v>
      </c>
      <c r="G16" s="11">
        <v>-235000</v>
      </c>
      <c r="H16" s="11"/>
      <c r="I16" s="11"/>
      <c r="J16" s="11"/>
      <c r="K16" s="11"/>
      <c r="L16" s="11"/>
      <c r="M16" s="11"/>
      <c r="N16" s="1"/>
      <c r="O16" s="1"/>
    </row>
    <row r="17" spans="2:15" ht="15.75" customHeight="1">
      <c r="B17" s="242" t="s">
        <v>18</v>
      </c>
      <c r="C17" s="245"/>
      <c r="D17" s="244">
        <f t="array" ref="D17">NPV(D16,H19:M19)+G19</f>
        <v>-4744.4971089281316</v>
      </c>
      <c r="E17" s="1"/>
      <c r="F17" s="244" t="s">
        <v>19</v>
      </c>
      <c r="G17" s="11"/>
      <c r="H17" s="11">
        <v>8000</v>
      </c>
      <c r="I17" s="11">
        <v>9000</v>
      </c>
      <c r="J17" s="11">
        <v>10000</v>
      </c>
      <c r="K17" s="11">
        <v>11000</v>
      </c>
      <c r="L17" s="11">
        <v>12000</v>
      </c>
      <c r="M17" s="11">
        <v>13000</v>
      </c>
      <c r="N17" s="1"/>
      <c r="O17" s="1"/>
    </row>
    <row r="18" spans="2:15" ht="15.75" customHeight="1">
      <c r="B18" s="242" t="s">
        <v>22</v>
      </c>
      <c r="C18" s="247"/>
      <c r="D18" s="248">
        <f>IRR(G19:M19)</f>
        <v>7.6001585559314133E-2</v>
      </c>
      <c r="E18" s="1"/>
      <c r="F18" s="244" t="s">
        <v>20</v>
      </c>
      <c r="G18" s="11"/>
      <c r="H18" s="11"/>
      <c r="I18" s="11"/>
      <c r="J18" s="11"/>
      <c r="K18" s="11"/>
      <c r="L18" s="11"/>
      <c r="M18" s="11">
        <v>290000</v>
      </c>
      <c r="N18" s="1"/>
      <c r="O18" s="1"/>
    </row>
    <row r="19" spans="2:15" ht="15.75" customHeight="1">
      <c r="B19" s="242" t="s">
        <v>28</v>
      </c>
      <c r="C19" s="20"/>
      <c r="D19" s="248">
        <f>(SUM(H19:M19)+G19)/-G19</f>
        <v>0.50212765957446803</v>
      </c>
      <c r="E19" s="1"/>
      <c r="F19" s="1"/>
      <c r="G19" s="17">
        <f t="shared" ref="G19:M19" si="1">SUM(G16:G18)</f>
        <v>-235000</v>
      </c>
      <c r="H19" s="17">
        <f t="shared" si="1"/>
        <v>8000</v>
      </c>
      <c r="I19" s="17">
        <f t="shared" si="1"/>
        <v>9000</v>
      </c>
      <c r="J19" s="17">
        <f t="shared" si="1"/>
        <v>10000</v>
      </c>
      <c r="K19" s="17">
        <f t="shared" si="1"/>
        <v>11000</v>
      </c>
      <c r="L19" s="17">
        <f t="shared" si="1"/>
        <v>12000</v>
      </c>
      <c r="M19" s="17">
        <f t="shared" si="1"/>
        <v>303000</v>
      </c>
      <c r="N19" s="1"/>
      <c r="O19" s="1"/>
    </row>
    <row r="20" spans="2:15" ht="15.75" customHeight="1">
      <c r="B20" s="242" t="s">
        <v>29</v>
      </c>
      <c r="C20" s="21"/>
      <c r="D20" s="251">
        <f>SUM(H19:M19)/-G19</f>
        <v>1.5021276595744681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>
      <c r="B23" s="239" t="s">
        <v>13</v>
      </c>
      <c r="C23" s="240" t="s">
        <v>5</v>
      </c>
      <c r="D23" s="241" t="s">
        <v>6</v>
      </c>
      <c r="E23" s="1"/>
      <c r="F23" s="1"/>
      <c r="G23" s="249">
        <v>2020</v>
      </c>
      <c r="H23" s="249">
        <v>2021</v>
      </c>
      <c r="I23" s="249">
        <v>2022</v>
      </c>
      <c r="J23" s="249">
        <v>2023</v>
      </c>
      <c r="K23" s="249">
        <v>2025</v>
      </c>
      <c r="L23" s="249">
        <v>2026</v>
      </c>
      <c r="M23" s="249">
        <v>2027</v>
      </c>
      <c r="N23" s="1"/>
      <c r="O23" s="1"/>
    </row>
    <row r="24" spans="2:15" ht="15.75" customHeight="1">
      <c r="B24" s="242" t="s">
        <v>16</v>
      </c>
      <c r="C24" s="247"/>
      <c r="D24" s="248">
        <v>9.5000000000000001E-2</v>
      </c>
      <c r="E24" s="1"/>
      <c r="F24" s="244" t="s">
        <v>17</v>
      </c>
      <c r="G24" s="11">
        <v>-90000</v>
      </c>
      <c r="H24" s="11"/>
      <c r="I24" s="11"/>
      <c r="J24" s="11"/>
      <c r="K24" s="11"/>
      <c r="L24" s="11"/>
      <c r="M24" s="11"/>
      <c r="N24" s="1"/>
      <c r="O24" s="1"/>
    </row>
    <row r="25" spans="2:15" ht="15.75" customHeight="1">
      <c r="B25" s="242" t="s">
        <v>18</v>
      </c>
      <c r="C25" s="245"/>
      <c r="D25" s="244">
        <f t="array" ref="D25">NPV(D24,H27:M27)+G27</f>
        <v>7519.4104714116111</v>
      </c>
      <c r="E25" s="1"/>
      <c r="F25" s="244" t="s">
        <v>19</v>
      </c>
      <c r="G25" s="11"/>
      <c r="H25" s="11">
        <v>5000</v>
      </c>
      <c r="I25" s="11">
        <v>5500</v>
      </c>
      <c r="J25" s="11">
        <v>6000</v>
      </c>
      <c r="K25" s="11">
        <v>8000</v>
      </c>
      <c r="L25" s="11">
        <v>9000</v>
      </c>
      <c r="M25" s="11">
        <v>10000</v>
      </c>
      <c r="N25" s="1"/>
      <c r="O25" s="1"/>
    </row>
    <row r="26" spans="2:15" ht="15.75" customHeight="1">
      <c r="B26" s="242" t="s">
        <v>22</v>
      </c>
      <c r="C26" s="247"/>
      <c r="D26" s="248">
        <f>IRR(G27:M27)</f>
        <v>0.11187053432495841</v>
      </c>
      <c r="E26" s="1"/>
      <c r="F26" s="244" t="s">
        <v>20</v>
      </c>
      <c r="G26" s="11"/>
      <c r="H26" s="11"/>
      <c r="I26" s="11"/>
      <c r="J26" s="11"/>
      <c r="K26" s="11"/>
      <c r="L26" s="11"/>
      <c r="M26" s="11">
        <v>115000</v>
      </c>
      <c r="N26" s="1"/>
      <c r="O26" s="1"/>
    </row>
    <row r="27" spans="2:15" ht="15.75" customHeight="1">
      <c r="B27" s="242" t="s">
        <v>28</v>
      </c>
      <c r="C27" s="20"/>
      <c r="D27" s="248">
        <f>(SUM(H27:M27)+G27)/-G27</f>
        <v>0.76111111111111107</v>
      </c>
      <c r="E27" s="1"/>
      <c r="F27" s="1"/>
      <c r="G27" s="17">
        <f t="shared" ref="G27:M27" si="2">SUM(G24:G26)</f>
        <v>-90000</v>
      </c>
      <c r="H27" s="17">
        <f t="shared" si="2"/>
        <v>5000</v>
      </c>
      <c r="I27" s="17">
        <f t="shared" si="2"/>
        <v>5500</v>
      </c>
      <c r="J27" s="17">
        <f t="shared" si="2"/>
        <v>6000</v>
      </c>
      <c r="K27" s="17">
        <f t="shared" si="2"/>
        <v>8000</v>
      </c>
      <c r="L27" s="17">
        <f t="shared" si="2"/>
        <v>9000</v>
      </c>
      <c r="M27" s="17">
        <f t="shared" si="2"/>
        <v>125000</v>
      </c>
      <c r="N27" s="1"/>
      <c r="O27" s="1"/>
    </row>
    <row r="28" spans="2:15" ht="15.75" customHeight="1">
      <c r="B28" s="242" t="s">
        <v>29</v>
      </c>
      <c r="C28" s="21"/>
      <c r="D28" s="251">
        <f>SUM(H27:M27)/-G27</f>
        <v>1.7611111111111111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</row>
    <row r="230" spans="2:15" ht="15.75" customHeight="1"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</row>
    <row r="231" spans="2:15" ht="15.75" customHeight="1"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</row>
    <row r="232" spans="2:15" ht="15.75" customHeight="1"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</row>
    <row r="233" spans="2:15" ht="15.75" customHeight="1"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</row>
    <row r="234" spans="2:15" ht="15.75" customHeight="1"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</row>
    <row r="235" spans="2:15" ht="15.75" customHeight="1"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D5"/>
  </mergeCells>
  <conditionalFormatting sqref="B1:J1 C2:J3">
    <cfRule type="cellIs" dxfId="19" priority="2" operator="lessThan">
      <formula>0</formula>
    </cfRule>
  </conditionalFormatting>
  <conditionalFormatting sqref="K1:O3 B4:O1000">
    <cfRule type="cellIs" dxfId="18" priority="1" operator="lessThan">
      <formula>0</formula>
    </cfRule>
  </conditionalFormatting>
  <hyperlinks>
    <hyperlink ref="B1" r:id="rId1" xr:uid="{00000000-0004-0000-04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30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0" t="s">
        <v>5</v>
      </c>
      <c r="D7" s="241" t="s">
        <v>6</v>
      </c>
      <c r="E7" s="1"/>
      <c r="F7" s="1"/>
      <c r="G7" s="249">
        <v>2020</v>
      </c>
      <c r="H7" s="249">
        <v>2021</v>
      </c>
      <c r="I7" s="249">
        <v>2022</v>
      </c>
      <c r="J7" s="249">
        <v>2023</v>
      </c>
      <c r="K7" s="249">
        <v>2025</v>
      </c>
      <c r="L7" s="249">
        <v>2026</v>
      </c>
      <c r="M7" s="249">
        <v>2027</v>
      </c>
      <c r="N7" s="16"/>
      <c r="O7" s="16"/>
    </row>
    <row r="8" spans="1:15" ht="15.75" customHeight="1">
      <c r="A8" s="212"/>
      <c r="B8" s="242" t="s">
        <v>31</v>
      </c>
      <c r="C8" s="22"/>
      <c r="D8" s="251">
        <v>4</v>
      </c>
      <c r="E8" s="1"/>
      <c r="F8" s="244" t="s">
        <v>17</v>
      </c>
      <c r="G8" s="11">
        <v>-100000</v>
      </c>
      <c r="H8" s="11"/>
      <c r="I8" s="11"/>
      <c r="J8" s="11"/>
      <c r="K8" s="11"/>
      <c r="L8" s="11"/>
      <c r="M8" s="11"/>
      <c r="N8" s="1"/>
      <c r="O8" s="1"/>
    </row>
    <row r="9" spans="1:15" ht="15.75" customHeight="1">
      <c r="A9" s="212"/>
      <c r="B9" s="9"/>
      <c r="C9" s="213"/>
      <c r="D9" s="13"/>
      <c r="E9" s="1"/>
      <c r="F9" s="244" t="s">
        <v>19</v>
      </c>
      <c r="G9" s="11"/>
      <c r="H9" s="11">
        <v>25000</v>
      </c>
      <c r="I9" s="11">
        <v>25000</v>
      </c>
      <c r="J9" s="11">
        <v>25000</v>
      </c>
      <c r="K9" s="11">
        <v>25000</v>
      </c>
      <c r="L9" s="11">
        <v>0</v>
      </c>
      <c r="M9" s="11">
        <v>0</v>
      </c>
      <c r="N9" s="1"/>
      <c r="O9" s="1"/>
    </row>
    <row r="10" spans="1:15" ht="15.75" customHeight="1">
      <c r="A10" s="212"/>
      <c r="B10" s="9"/>
      <c r="C10" s="23"/>
      <c r="D10" s="24"/>
      <c r="E10" s="1"/>
      <c r="F10" s="244" t="s">
        <v>20</v>
      </c>
      <c r="G10" s="11"/>
      <c r="H10" s="11"/>
      <c r="I10" s="11"/>
      <c r="J10" s="11"/>
      <c r="K10" s="11"/>
      <c r="L10" s="11"/>
      <c r="M10" s="11">
        <v>200000</v>
      </c>
      <c r="N10" s="1"/>
      <c r="O10" s="1"/>
    </row>
    <row r="11" spans="1:15" ht="15.75" customHeight="1">
      <c r="A11" s="212"/>
      <c r="B11" s="9"/>
      <c r="C11" s="23"/>
      <c r="D11" s="14"/>
      <c r="E11" s="1"/>
      <c r="F11" s="1"/>
      <c r="G11" s="17">
        <f t="shared" ref="G11:M11" si="0">SUM(G8:G10)</f>
        <v>-100000</v>
      </c>
      <c r="H11" s="17">
        <f t="shared" si="0"/>
        <v>25000</v>
      </c>
      <c r="I11" s="17">
        <f t="shared" si="0"/>
        <v>25000</v>
      </c>
      <c r="J11" s="17">
        <f t="shared" si="0"/>
        <v>25000</v>
      </c>
      <c r="K11" s="17">
        <f t="shared" si="0"/>
        <v>25000</v>
      </c>
      <c r="L11" s="17">
        <f t="shared" si="0"/>
        <v>0</v>
      </c>
      <c r="M11" s="17">
        <f t="shared" si="0"/>
        <v>200000</v>
      </c>
      <c r="N11" s="1"/>
      <c r="O11" s="1"/>
    </row>
    <row r="12" spans="1:15" ht="15.75" customHeight="1">
      <c r="A12" s="212"/>
      <c r="B12" s="9"/>
      <c r="C12" s="23"/>
      <c r="D12" s="24"/>
      <c r="E12" s="1"/>
      <c r="F12" s="244" t="s">
        <v>32</v>
      </c>
      <c r="G12" s="244"/>
      <c r="H12" s="244">
        <f>G11+H11</f>
        <v>-75000</v>
      </c>
      <c r="I12" s="244">
        <f t="shared" ref="I12:L12" si="1">H12+I11</f>
        <v>-50000</v>
      </c>
      <c r="J12" s="244">
        <f t="shared" si="1"/>
        <v>-25000</v>
      </c>
      <c r="K12" s="244">
        <f t="shared" si="1"/>
        <v>0</v>
      </c>
      <c r="L12" s="244">
        <f t="shared" si="1"/>
        <v>0</v>
      </c>
      <c r="M12" s="244"/>
      <c r="N12" s="1"/>
      <c r="O12" s="1"/>
    </row>
    <row r="13" spans="1:15" ht="15.75" customHeight="1">
      <c r="A13" s="212"/>
      <c r="B13" s="9"/>
      <c r="C13" s="23"/>
      <c r="D13" s="24"/>
      <c r="E13" s="1"/>
      <c r="F13" s="1"/>
      <c r="G13" s="25">
        <v>0</v>
      </c>
      <c r="H13" s="25">
        <v>1</v>
      </c>
      <c r="I13" s="25">
        <v>2</v>
      </c>
      <c r="J13" s="25">
        <v>3</v>
      </c>
      <c r="K13" s="25">
        <v>4</v>
      </c>
      <c r="L13" s="25">
        <v>5</v>
      </c>
      <c r="M13" s="25"/>
      <c r="N13" s="1"/>
      <c r="O13" s="1"/>
    </row>
    <row r="14" spans="1:15" ht="15.75" customHeight="1">
      <c r="A14" s="2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>
      <c r="A15" s="2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customHeight="1">
      <c r="A16" s="212"/>
      <c r="B16" s="239" t="s">
        <v>13</v>
      </c>
      <c r="C16" s="240" t="s">
        <v>5</v>
      </c>
      <c r="D16" s="241" t="s">
        <v>6</v>
      </c>
      <c r="E16" s="1"/>
      <c r="F16" s="1"/>
      <c r="G16" s="249">
        <v>2020</v>
      </c>
      <c r="H16" s="249">
        <v>2021</v>
      </c>
      <c r="I16" s="249">
        <v>2022</v>
      </c>
      <c r="J16" s="249">
        <v>2023</v>
      </c>
      <c r="K16" s="249">
        <v>2025</v>
      </c>
      <c r="L16" s="249">
        <v>2026</v>
      </c>
      <c r="M16" s="249">
        <v>2027</v>
      </c>
      <c r="N16" s="1"/>
      <c r="O16" s="1"/>
    </row>
    <row r="17" spans="2:15" ht="15.75" customHeight="1">
      <c r="B17" s="242" t="s">
        <v>30</v>
      </c>
      <c r="C17" s="22"/>
      <c r="D17" s="251">
        <f>J22+(-J21/K20)</f>
        <v>3.3333333333333335</v>
      </c>
      <c r="E17" s="1"/>
      <c r="F17" s="244" t="s">
        <v>17</v>
      </c>
      <c r="G17" s="11">
        <v>-60000</v>
      </c>
      <c r="H17" s="11"/>
      <c r="I17" s="11"/>
      <c r="J17" s="11"/>
      <c r="K17" s="11"/>
      <c r="L17" s="11"/>
      <c r="M17" s="11"/>
      <c r="N17" s="1"/>
      <c r="O17" s="1"/>
    </row>
    <row r="18" spans="2:15" ht="15.75" customHeight="1">
      <c r="B18" s="9"/>
      <c r="C18" s="213"/>
      <c r="D18" s="13"/>
      <c r="E18" s="1"/>
      <c r="F18" s="244" t="s">
        <v>19</v>
      </c>
      <c r="G18" s="11"/>
      <c r="H18" s="11">
        <v>20000</v>
      </c>
      <c r="I18" s="11">
        <v>20000</v>
      </c>
      <c r="J18" s="11">
        <v>15000</v>
      </c>
      <c r="K18" s="11">
        <v>15000</v>
      </c>
      <c r="L18" s="11">
        <v>15000</v>
      </c>
      <c r="M18" s="11">
        <v>15000</v>
      </c>
      <c r="N18" s="1"/>
      <c r="O18" s="1"/>
    </row>
    <row r="19" spans="2:15" ht="15.75" customHeight="1">
      <c r="B19" s="9"/>
      <c r="C19" s="23"/>
      <c r="D19" s="14"/>
      <c r="E19" s="1"/>
      <c r="F19" s="244" t="s">
        <v>20</v>
      </c>
      <c r="G19" s="11"/>
      <c r="H19" s="11"/>
      <c r="I19" s="11"/>
      <c r="J19" s="11"/>
      <c r="K19" s="11"/>
      <c r="L19" s="11"/>
      <c r="M19" s="11">
        <v>80000</v>
      </c>
      <c r="N19" s="1"/>
      <c r="O19" s="1"/>
    </row>
    <row r="20" spans="2:15" ht="15.75" customHeight="1">
      <c r="B20" s="9"/>
      <c r="C20" s="23"/>
      <c r="D20" s="14"/>
      <c r="E20" s="1"/>
      <c r="F20" s="1"/>
      <c r="G20" s="17">
        <f t="shared" ref="G20:M20" si="2">SUM(G17:G19)</f>
        <v>-60000</v>
      </c>
      <c r="H20" s="17">
        <f t="shared" si="2"/>
        <v>20000</v>
      </c>
      <c r="I20" s="17">
        <f t="shared" si="2"/>
        <v>20000</v>
      </c>
      <c r="J20" s="17">
        <f t="shared" si="2"/>
        <v>15000</v>
      </c>
      <c r="K20" s="17">
        <f t="shared" si="2"/>
        <v>15000</v>
      </c>
      <c r="L20" s="17">
        <f t="shared" si="2"/>
        <v>15000</v>
      </c>
      <c r="M20" s="17">
        <f t="shared" si="2"/>
        <v>95000</v>
      </c>
      <c r="N20" s="1"/>
      <c r="O20" s="1"/>
    </row>
    <row r="21" spans="2:15" ht="15.75" customHeight="1">
      <c r="B21" s="9"/>
      <c r="C21" s="23"/>
      <c r="D21" s="24"/>
      <c r="E21" s="1"/>
      <c r="F21" s="244" t="s">
        <v>32</v>
      </c>
      <c r="G21" s="244"/>
      <c r="H21" s="244">
        <f>G20+H20</f>
        <v>-40000</v>
      </c>
      <c r="I21" s="244">
        <f t="shared" ref="I21:L21" si="3">H21+I20</f>
        <v>-20000</v>
      </c>
      <c r="J21" s="244">
        <f t="shared" si="3"/>
        <v>-5000</v>
      </c>
      <c r="K21" s="244">
        <f t="shared" si="3"/>
        <v>10000</v>
      </c>
      <c r="L21" s="244">
        <f t="shared" si="3"/>
        <v>25000</v>
      </c>
      <c r="M21" s="244"/>
      <c r="N21" s="1"/>
      <c r="O21" s="1"/>
    </row>
    <row r="22" spans="2:15" ht="15.75" customHeight="1">
      <c r="B22" s="9"/>
      <c r="C22" s="23"/>
      <c r="D22" s="24"/>
      <c r="E22" s="1"/>
      <c r="F22" s="1"/>
      <c r="G22" s="25">
        <v>0</v>
      </c>
      <c r="H22" s="25">
        <v>1</v>
      </c>
      <c r="I22" s="25">
        <v>2</v>
      </c>
      <c r="J22" s="25">
        <v>3</v>
      </c>
      <c r="K22" s="25">
        <v>4</v>
      </c>
      <c r="L22" s="25">
        <v>5</v>
      </c>
      <c r="M22" s="25"/>
      <c r="N22" s="1"/>
      <c r="O22" s="1"/>
    </row>
    <row r="23" spans="2:15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ht="15.75" customHeight="1">
      <c r="B25" s="239" t="s">
        <v>25</v>
      </c>
      <c r="C25" s="240" t="s">
        <v>5</v>
      </c>
      <c r="D25" s="241" t="s">
        <v>6</v>
      </c>
      <c r="E25" s="1"/>
      <c r="F25" s="1"/>
      <c r="G25" s="249">
        <v>2020</v>
      </c>
      <c r="H25" s="249">
        <v>2021</v>
      </c>
      <c r="I25" s="249">
        <v>2022</v>
      </c>
      <c r="J25" s="249">
        <v>2023</v>
      </c>
      <c r="K25" s="249">
        <v>2025</v>
      </c>
      <c r="L25" s="249">
        <v>2026</v>
      </c>
      <c r="M25" s="249">
        <v>2027</v>
      </c>
      <c r="N25" s="1"/>
      <c r="O25" s="1"/>
    </row>
    <row r="26" spans="2:15" ht="15.75" customHeight="1">
      <c r="B26" s="242" t="s">
        <v>30</v>
      </c>
      <c r="C26" s="22"/>
      <c r="D26" s="251">
        <f>K31+(-K30/L29)</f>
        <v>4.2857142857142856</v>
      </c>
      <c r="E26" s="1"/>
      <c r="F26" s="244" t="s">
        <v>17</v>
      </c>
      <c r="G26" s="11">
        <v>-90000</v>
      </c>
      <c r="H26" s="11"/>
      <c r="I26" s="11"/>
      <c r="J26" s="11"/>
      <c r="K26" s="11"/>
      <c r="L26" s="11"/>
      <c r="M26" s="11"/>
      <c r="N26" s="1"/>
      <c r="O26" s="1"/>
    </row>
    <row r="27" spans="2:15" ht="15.75" customHeight="1">
      <c r="B27" s="9"/>
      <c r="C27" s="213"/>
      <c r="D27" s="13"/>
      <c r="E27" s="1"/>
      <c r="F27" s="244" t="s">
        <v>19</v>
      </c>
      <c r="G27" s="11"/>
      <c r="H27" s="11">
        <v>16000</v>
      </c>
      <c r="I27" s="11">
        <v>16000</v>
      </c>
      <c r="J27" s="11">
        <v>24000</v>
      </c>
      <c r="K27" s="11">
        <v>26000</v>
      </c>
      <c r="L27" s="11">
        <v>28000</v>
      </c>
      <c r="M27" s="11">
        <v>10000</v>
      </c>
      <c r="N27" s="1"/>
      <c r="O27" s="1"/>
    </row>
    <row r="28" spans="2:15" ht="15.75" customHeight="1">
      <c r="B28" s="9"/>
      <c r="C28" s="23"/>
      <c r="D28" s="14"/>
      <c r="E28" s="1"/>
      <c r="F28" s="244" t="s">
        <v>20</v>
      </c>
      <c r="G28" s="11"/>
      <c r="H28" s="11"/>
      <c r="I28" s="11"/>
      <c r="J28" s="11"/>
      <c r="K28" s="11"/>
      <c r="L28" s="11"/>
      <c r="M28" s="11">
        <v>115000</v>
      </c>
      <c r="N28" s="1"/>
      <c r="O28" s="1"/>
    </row>
    <row r="29" spans="2:15" ht="15.75" customHeight="1">
      <c r="B29" s="9"/>
      <c r="C29" s="23"/>
      <c r="D29" s="24"/>
      <c r="E29" s="1"/>
      <c r="F29" s="1"/>
      <c r="G29" s="17">
        <f t="shared" ref="G29:M29" si="4">SUM(G26:G28)</f>
        <v>-90000</v>
      </c>
      <c r="H29" s="17">
        <f t="shared" si="4"/>
        <v>16000</v>
      </c>
      <c r="I29" s="17">
        <f t="shared" si="4"/>
        <v>16000</v>
      </c>
      <c r="J29" s="17">
        <f t="shared" si="4"/>
        <v>24000</v>
      </c>
      <c r="K29" s="17">
        <f t="shared" si="4"/>
        <v>26000</v>
      </c>
      <c r="L29" s="17">
        <f t="shared" si="4"/>
        <v>28000</v>
      </c>
      <c r="M29" s="17">
        <f t="shared" si="4"/>
        <v>125000</v>
      </c>
      <c r="N29" s="1"/>
      <c r="O29" s="1"/>
    </row>
    <row r="30" spans="2:15" ht="15.75" customHeight="1">
      <c r="B30" s="9"/>
      <c r="C30" s="23"/>
      <c r="D30" s="24"/>
      <c r="E30" s="1"/>
      <c r="F30" s="244" t="s">
        <v>32</v>
      </c>
      <c r="G30" s="244"/>
      <c r="H30" s="244">
        <f>G29+H29</f>
        <v>-74000</v>
      </c>
      <c r="I30" s="244">
        <f t="shared" ref="I30:L30" si="5">H30+I29</f>
        <v>-58000</v>
      </c>
      <c r="J30" s="244">
        <f t="shared" si="5"/>
        <v>-34000</v>
      </c>
      <c r="K30" s="244">
        <f t="shared" si="5"/>
        <v>-8000</v>
      </c>
      <c r="L30" s="244">
        <f t="shared" si="5"/>
        <v>20000</v>
      </c>
      <c r="M30" s="244"/>
      <c r="N30" s="1"/>
      <c r="O30" s="1"/>
    </row>
    <row r="31" spans="2:15" ht="15.75" customHeight="1">
      <c r="B31" s="9"/>
      <c r="C31" s="23"/>
      <c r="D31" s="24"/>
      <c r="E31" s="1"/>
      <c r="F31" s="1"/>
      <c r="G31" s="25">
        <v>0</v>
      </c>
      <c r="H31" s="25">
        <v>1</v>
      </c>
      <c r="I31" s="25">
        <v>2</v>
      </c>
      <c r="J31" s="25">
        <v>3</v>
      </c>
      <c r="K31" s="25">
        <v>4</v>
      </c>
      <c r="L31" s="25">
        <v>5</v>
      </c>
      <c r="M31" s="25"/>
      <c r="N31" s="1"/>
      <c r="O31" s="1"/>
    </row>
    <row r="32" spans="2:15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5.75" customHeight="1"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</row>
    <row r="233" spans="2:15" ht="15.75" customHeight="1"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</row>
    <row r="234" spans="2:15" ht="15.75" customHeight="1"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</row>
    <row r="235" spans="2:15" ht="15.75" customHeight="1"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D5"/>
  </mergeCells>
  <conditionalFormatting sqref="B1:J1 C2:J3">
    <cfRule type="cellIs" dxfId="17" priority="2" operator="lessThan">
      <formula>0</formula>
    </cfRule>
  </conditionalFormatting>
  <conditionalFormatting sqref="K1:O3 B4:O1000">
    <cfRule type="cellIs" dxfId="16" priority="1" operator="lessThan">
      <formula>0</formula>
    </cfRule>
  </conditionalFormatting>
  <hyperlinks>
    <hyperlink ref="B1" r:id="rId1" xr:uid="{00000000-0004-0000-05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F84A7"/>
    <outlinePr summaryBelow="0" summaryRight="0"/>
  </sheetPr>
  <dimension ref="A1:O1000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7109375" defaultRowHeight="15" customHeight="1"/>
  <sheetData>
    <row r="1" spans="1:1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1"/>
      <c r="L1" s="1"/>
      <c r="M1" s="1"/>
      <c r="N1" s="1"/>
      <c r="O1" s="1"/>
    </row>
    <row r="2" spans="1:1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1"/>
      <c r="L2" s="1"/>
      <c r="M2" s="1"/>
      <c r="N2" s="1"/>
      <c r="O2" s="1"/>
    </row>
    <row r="3" spans="1:1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5.75" customHeight="1">
      <c r="A4" s="2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>
      <c r="A5" s="212"/>
      <c r="B5" s="237" t="s">
        <v>33</v>
      </c>
      <c r="C5" s="238"/>
      <c r="D5" s="238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12"/>
      <c r="B6" s="1"/>
      <c r="C6" s="1"/>
      <c r="D6" s="1"/>
      <c r="E6" s="1"/>
      <c r="F6" s="1"/>
      <c r="G6" s="1"/>
      <c r="H6" s="1"/>
      <c r="I6" s="212"/>
      <c r="J6" s="1"/>
      <c r="K6" s="212"/>
      <c r="L6" s="212"/>
      <c r="M6" s="212"/>
      <c r="N6" s="212"/>
      <c r="O6" s="212"/>
    </row>
    <row r="7" spans="1:15" ht="15.75" customHeight="1">
      <c r="A7" s="212"/>
      <c r="B7" s="239" t="s">
        <v>4</v>
      </c>
      <c r="C7" s="240" t="s">
        <v>5</v>
      </c>
      <c r="D7" s="241" t="s">
        <v>6</v>
      </c>
      <c r="E7" s="1"/>
      <c r="F7" s="1"/>
      <c r="G7" s="249">
        <v>2020</v>
      </c>
      <c r="H7" s="249">
        <v>2021</v>
      </c>
      <c r="I7" s="249">
        <v>2022</v>
      </c>
      <c r="J7" s="249">
        <v>2023</v>
      </c>
      <c r="K7" s="249">
        <v>2025</v>
      </c>
      <c r="L7" s="249">
        <v>2026</v>
      </c>
      <c r="M7" s="249">
        <v>2027</v>
      </c>
      <c r="N7" s="16"/>
      <c r="O7" s="16"/>
    </row>
    <row r="8" spans="1:15" ht="15.75" customHeight="1">
      <c r="A8" s="212"/>
      <c r="B8" s="242" t="s">
        <v>34</v>
      </c>
      <c r="C8" s="26"/>
      <c r="D8" s="248">
        <f>H10/-G8</f>
        <v>0.1</v>
      </c>
      <c r="E8" s="1"/>
      <c r="F8" s="244" t="s">
        <v>35</v>
      </c>
      <c r="G8" s="11">
        <v>-100000</v>
      </c>
      <c r="H8" s="11"/>
      <c r="I8" s="11"/>
      <c r="J8" s="11"/>
      <c r="K8" s="11"/>
      <c r="L8" s="11"/>
      <c r="M8" s="11"/>
      <c r="N8" s="1"/>
      <c r="O8" s="1"/>
    </row>
    <row r="9" spans="1:15" ht="15.75" customHeight="1">
      <c r="A9" s="212"/>
      <c r="B9" s="242" t="s">
        <v>36</v>
      </c>
      <c r="C9" s="27"/>
      <c r="D9" s="248">
        <f>(H10-H11)/-G9</f>
        <v>0.06</v>
      </c>
      <c r="E9" s="1"/>
      <c r="F9" s="244" t="s">
        <v>37</v>
      </c>
      <c r="G9" s="11">
        <v>-50000</v>
      </c>
      <c r="H9" s="212"/>
      <c r="I9" s="212"/>
      <c r="J9" s="212"/>
      <c r="K9" s="212"/>
      <c r="L9" s="212"/>
      <c r="M9" s="212"/>
      <c r="N9" s="1"/>
      <c r="O9" s="1"/>
    </row>
    <row r="10" spans="1:15" ht="15.75" customHeight="1">
      <c r="A10" s="212"/>
      <c r="B10" s="242" t="s">
        <v>38</v>
      </c>
      <c r="C10" s="28"/>
      <c r="D10" s="248">
        <f>AVERAGE(G14:M14)</f>
        <v>0.1</v>
      </c>
      <c r="E10" s="1"/>
      <c r="F10" s="244" t="s">
        <v>19</v>
      </c>
      <c r="G10" s="11">
        <v>10000</v>
      </c>
      <c r="H10" s="11">
        <v>10000</v>
      </c>
      <c r="I10" s="11">
        <v>10000</v>
      </c>
      <c r="J10" s="11">
        <v>10000</v>
      </c>
      <c r="K10" s="11">
        <v>10000</v>
      </c>
      <c r="L10" s="11">
        <v>10000</v>
      </c>
      <c r="M10" s="11">
        <v>10000</v>
      </c>
      <c r="N10" s="1"/>
      <c r="O10" s="1"/>
    </row>
    <row r="11" spans="1:15" ht="15.75" customHeight="1">
      <c r="A11" s="212"/>
      <c r="B11" s="9"/>
      <c r="C11" s="23"/>
      <c r="D11" s="14"/>
      <c r="E11" s="1"/>
      <c r="F11" s="244" t="s">
        <v>39</v>
      </c>
      <c r="G11" s="11">
        <v>8000</v>
      </c>
      <c r="H11" s="11">
        <v>7000</v>
      </c>
      <c r="I11" s="11">
        <v>6000</v>
      </c>
      <c r="J11" s="11">
        <v>5000</v>
      </c>
      <c r="K11" s="11">
        <v>4000</v>
      </c>
      <c r="L11" s="11">
        <v>3000</v>
      </c>
      <c r="M11" s="11">
        <v>2000</v>
      </c>
      <c r="N11" s="1"/>
      <c r="O11" s="1"/>
    </row>
    <row r="12" spans="1:15" ht="15.75" customHeight="1">
      <c r="A12" s="212"/>
      <c r="B12" s="212"/>
      <c r="C12" s="212"/>
      <c r="D12" s="212"/>
      <c r="E12" s="1"/>
      <c r="F12" s="1"/>
      <c r="G12" s="29"/>
      <c r="H12" s="29"/>
      <c r="I12" s="29"/>
      <c r="J12" s="29"/>
      <c r="K12" s="29"/>
      <c r="L12" s="29"/>
      <c r="M12" s="29"/>
      <c r="N12" s="1"/>
      <c r="O12" s="1"/>
    </row>
    <row r="13" spans="1:15" ht="15.75" customHeight="1">
      <c r="A13" s="212"/>
      <c r="B13" s="1"/>
      <c r="C13" s="1"/>
      <c r="D13" s="1"/>
      <c r="E13" s="1"/>
      <c r="F13" s="244" t="s">
        <v>40</v>
      </c>
      <c r="G13" s="248">
        <f t="shared" ref="G13:M13" si="0">G10/(-$G$8)</f>
        <v>0.1</v>
      </c>
      <c r="H13" s="248">
        <f t="shared" si="0"/>
        <v>0.1</v>
      </c>
      <c r="I13" s="248">
        <f t="shared" si="0"/>
        <v>0.1</v>
      </c>
      <c r="J13" s="248">
        <f t="shared" si="0"/>
        <v>0.1</v>
      </c>
      <c r="K13" s="248">
        <f t="shared" si="0"/>
        <v>0.1</v>
      </c>
      <c r="L13" s="248">
        <f t="shared" si="0"/>
        <v>0.1</v>
      </c>
      <c r="M13" s="248">
        <f t="shared" si="0"/>
        <v>0.1</v>
      </c>
      <c r="N13" s="1"/>
      <c r="O13" s="1"/>
    </row>
    <row r="14" spans="1:15" ht="15.75" customHeight="1">
      <c r="A14" s="212"/>
      <c r="B14" s="1"/>
      <c r="C14" s="1"/>
      <c r="D14" s="1"/>
      <c r="E14" s="1"/>
      <c r="F14" s="244" t="s">
        <v>41</v>
      </c>
      <c r="G14" s="248">
        <f t="shared" ref="G14:M14" si="1">(G10-G11)/-$G$9</f>
        <v>0.04</v>
      </c>
      <c r="H14" s="248">
        <f t="shared" si="1"/>
        <v>0.06</v>
      </c>
      <c r="I14" s="248">
        <f t="shared" si="1"/>
        <v>0.08</v>
      </c>
      <c r="J14" s="248">
        <f t="shared" si="1"/>
        <v>0.1</v>
      </c>
      <c r="K14" s="248">
        <f t="shared" si="1"/>
        <v>0.12</v>
      </c>
      <c r="L14" s="248">
        <f t="shared" si="1"/>
        <v>0.14000000000000001</v>
      </c>
      <c r="M14" s="248">
        <f t="shared" si="1"/>
        <v>0.16</v>
      </c>
      <c r="N14" s="1"/>
      <c r="O14" s="1"/>
    </row>
    <row r="15" spans="1:15" ht="15.75" customHeight="1">
      <c r="A15" s="2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customHeight="1">
      <c r="A16" s="212"/>
      <c r="B16" s="212"/>
      <c r="C16" s="212"/>
      <c r="D16" s="2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15.75" customHeight="1">
      <c r="B17" s="239" t="s">
        <v>13</v>
      </c>
      <c r="C17" s="240" t="s">
        <v>5</v>
      </c>
      <c r="D17" s="241" t="s">
        <v>6</v>
      </c>
      <c r="E17" s="1"/>
      <c r="F17" s="1"/>
      <c r="G17" s="249">
        <v>2020</v>
      </c>
      <c r="H17" s="249">
        <v>2021</v>
      </c>
      <c r="I17" s="249">
        <v>2022</v>
      </c>
      <c r="J17" s="249">
        <v>2023</v>
      </c>
      <c r="K17" s="249">
        <v>2025</v>
      </c>
      <c r="L17" s="249">
        <v>2026</v>
      </c>
      <c r="M17" s="249">
        <v>2027</v>
      </c>
      <c r="N17" s="1"/>
      <c r="O17" s="1"/>
    </row>
    <row r="18" spans="2:15" ht="15.75" customHeight="1">
      <c r="B18" s="242" t="s">
        <v>34</v>
      </c>
      <c r="C18" s="26"/>
      <c r="D18" s="248">
        <f>H20/-G18</f>
        <v>5.3333333333333337E-2</v>
      </c>
      <c r="E18" s="1"/>
      <c r="F18" s="244" t="s">
        <v>35</v>
      </c>
      <c r="G18" s="11">
        <v>-150000</v>
      </c>
      <c r="H18" s="11"/>
      <c r="I18" s="11"/>
      <c r="J18" s="11"/>
      <c r="K18" s="11"/>
      <c r="L18" s="11"/>
      <c r="M18" s="11"/>
      <c r="N18" s="1"/>
      <c r="O18" s="1"/>
    </row>
    <row r="19" spans="2:15" ht="15.75" customHeight="1">
      <c r="B19" s="242" t="s">
        <v>36</v>
      </c>
      <c r="C19" s="27"/>
      <c r="D19" s="248">
        <f>(H20-H21)/-G19</f>
        <v>2.5000000000000001E-2</v>
      </c>
      <c r="E19" s="1"/>
      <c r="F19" s="244" t="s">
        <v>37</v>
      </c>
      <c r="G19" s="11">
        <v>-100000</v>
      </c>
      <c r="H19" s="212"/>
      <c r="I19" s="212"/>
      <c r="J19" s="212"/>
      <c r="K19" s="212"/>
      <c r="L19" s="212"/>
      <c r="M19" s="212"/>
      <c r="N19" s="1"/>
      <c r="O19" s="1"/>
    </row>
    <row r="20" spans="2:15" ht="15.75" customHeight="1">
      <c r="B20" s="242" t="s">
        <v>38</v>
      </c>
      <c r="C20" s="28"/>
      <c r="D20" s="248">
        <f>AVERAGE(G24:M24)</f>
        <v>5.6428571428571432E-2</v>
      </c>
      <c r="E20" s="1"/>
      <c r="F20" s="244" t="s">
        <v>19</v>
      </c>
      <c r="G20" s="11">
        <v>8000</v>
      </c>
      <c r="H20" s="11">
        <v>8000</v>
      </c>
      <c r="I20" s="11">
        <v>9000</v>
      </c>
      <c r="J20" s="11">
        <v>10000</v>
      </c>
      <c r="K20" s="11">
        <v>11000</v>
      </c>
      <c r="L20" s="11">
        <v>12000</v>
      </c>
      <c r="M20" s="11">
        <v>13000</v>
      </c>
      <c r="N20" s="1"/>
      <c r="O20" s="1"/>
    </row>
    <row r="21" spans="2:15" ht="15.75" customHeight="1">
      <c r="B21" s="9"/>
      <c r="C21" s="23"/>
      <c r="D21" s="14"/>
      <c r="E21" s="1"/>
      <c r="F21" s="244" t="s">
        <v>39</v>
      </c>
      <c r="G21" s="11">
        <v>6000</v>
      </c>
      <c r="H21" s="11">
        <v>5500</v>
      </c>
      <c r="I21" s="11">
        <v>5000</v>
      </c>
      <c r="J21" s="11">
        <v>4500</v>
      </c>
      <c r="K21" s="11">
        <v>4000</v>
      </c>
      <c r="L21" s="11">
        <v>3500</v>
      </c>
      <c r="M21" s="11">
        <v>3000</v>
      </c>
      <c r="N21" s="1"/>
      <c r="O21" s="1"/>
    </row>
    <row r="22" spans="2:15" ht="15.75" customHeight="1">
      <c r="B22" s="1"/>
      <c r="C22" s="1"/>
      <c r="D22" s="1"/>
      <c r="E22" s="1"/>
      <c r="F22" s="1"/>
      <c r="G22" s="29"/>
      <c r="H22" s="29"/>
      <c r="I22" s="29"/>
      <c r="J22" s="29"/>
      <c r="K22" s="29"/>
      <c r="L22" s="29"/>
      <c r="M22" s="29"/>
      <c r="N22" s="1"/>
      <c r="O22" s="1"/>
    </row>
    <row r="23" spans="2:15" ht="15.75" customHeight="1">
      <c r="B23" s="1"/>
      <c r="C23" s="1"/>
      <c r="D23" s="1"/>
      <c r="E23" s="1"/>
      <c r="F23" s="244" t="s">
        <v>40</v>
      </c>
      <c r="G23" s="248">
        <f t="shared" ref="G23:M23" si="2">G20/(-$G$18)</f>
        <v>5.3333333333333337E-2</v>
      </c>
      <c r="H23" s="248">
        <f t="shared" si="2"/>
        <v>5.3333333333333337E-2</v>
      </c>
      <c r="I23" s="248">
        <f t="shared" si="2"/>
        <v>0.06</v>
      </c>
      <c r="J23" s="248">
        <f t="shared" si="2"/>
        <v>6.6666666666666666E-2</v>
      </c>
      <c r="K23" s="248">
        <f t="shared" si="2"/>
        <v>7.3333333333333334E-2</v>
      </c>
      <c r="L23" s="248">
        <f t="shared" si="2"/>
        <v>0.08</v>
      </c>
      <c r="M23" s="248">
        <f t="shared" si="2"/>
        <v>8.666666666666667E-2</v>
      </c>
      <c r="N23" s="1"/>
      <c r="O23" s="1"/>
    </row>
    <row r="24" spans="2:15" ht="15.75" customHeight="1">
      <c r="B24" s="1"/>
      <c r="C24" s="1"/>
      <c r="D24" s="1"/>
      <c r="E24" s="1"/>
      <c r="F24" s="244" t="s">
        <v>41</v>
      </c>
      <c r="G24" s="248">
        <f t="shared" ref="G24:M24" si="3">(G20-G21)/-$G$19</f>
        <v>0.02</v>
      </c>
      <c r="H24" s="248">
        <f t="shared" si="3"/>
        <v>2.5000000000000001E-2</v>
      </c>
      <c r="I24" s="248">
        <f t="shared" si="3"/>
        <v>0.04</v>
      </c>
      <c r="J24" s="248">
        <f t="shared" si="3"/>
        <v>5.5E-2</v>
      </c>
      <c r="K24" s="248">
        <f t="shared" si="3"/>
        <v>7.0000000000000007E-2</v>
      </c>
      <c r="L24" s="248">
        <f t="shared" si="3"/>
        <v>8.5000000000000006E-2</v>
      </c>
      <c r="M24" s="248">
        <f t="shared" si="3"/>
        <v>0.1</v>
      </c>
      <c r="N24" s="1"/>
      <c r="O24" s="1"/>
    </row>
    <row r="25" spans="2:15" ht="15.75" customHeight="1">
      <c r="B25" s="212"/>
      <c r="C25" s="212"/>
      <c r="D25" s="21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15.75" customHeight="1">
      <c r="B26" s="212"/>
      <c r="C26" s="212"/>
      <c r="D26" s="21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15.75" customHeight="1">
      <c r="B27" s="239" t="s">
        <v>13</v>
      </c>
      <c r="C27" s="240" t="s">
        <v>5</v>
      </c>
      <c r="D27" s="241" t="s">
        <v>6</v>
      </c>
      <c r="E27" s="1"/>
      <c r="F27" s="1"/>
      <c r="G27" s="249">
        <v>2020</v>
      </c>
      <c r="H27" s="249">
        <v>2021</v>
      </c>
      <c r="I27" s="249">
        <v>2022</v>
      </c>
      <c r="J27" s="249">
        <v>2023</v>
      </c>
      <c r="K27" s="249">
        <v>2025</v>
      </c>
      <c r="L27" s="249">
        <v>2026</v>
      </c>
      <c r="M27" s="249">
        <v>2027</v>
      </c>
      <c r="N27" s="1"/>
      <c r="O27" s="1"/>
    </row>
    <row r="28" spans="2:15" ht="15.75" customHeight="1">
      <c r="B28" s="242" t="s">
        <v>34</v>
      </c>
      <c r="C28" s="26"/>
      <c r="D28" s="248">
        <f>H30/-G28</f>
        <v>4.1379310344827586E-2</v>
      </c>
      <c r="E28" s="1"/>
      <c r="F28" s="244" t="s">
        <v>35</v>
      </c>
      <c r="G28" s="11">
        <v>-290000</v>
      </c>
      <c r="H28" s="11"/>
      <c r="I28" s="11"/>
      <c r="J28" s="11"/>
      <c r="K28" s="11"/>
      <c r="L28" s="11"/>
      <c r="M28" s="11"/>
      <c r="N28" s="1"/>
      <c r="O28" s="1"/>
    </row>
    <row r="29" spans="2:15" ht="15.75" customHeight="1">
      <c r="B29" s="242" t="s">
        <v>36</v>
      </c>
      <c r="C29" s="27"/>
      <c r="D29" s="248">
        <f>(H30-H31)/-G29</f>
        <v>0.12142857142857143</v>
      </c>
      <c r="E29" s="1"/>
      <c r="F29" s="244" t="s">
        <v>37</v>
      </c>
      <c r="G29" s="11">
        <v>-70000</v>
      </c>
      <c r="H29" s="212"/>
      <c r="I29" s="212"/>
      <c r="J29" s="212"/>
      <c r="K29" s="212"/>
      <c r="L29" s="212"/>
      <c r="M29" s="212"/>
      <c r="N29" s="1"/>
      <c r="O29" s="1"/>
    </row>
    <row r="30" spans="2:15" ht="15.75" customHeight="1">
      <c r="B30" s="242" t="s">
        <v>38</v>
      </c>
      <c r="C30" s="28"/>
      <c r="D30" s="248">
        <f>AVERAGE(G34:M34)</f>
        <v>0.10510204081632653</v>
      </c>
      <c r="E30" s="1"/>
      <c r="F30" s="244" t="s">
        <v>19</v>
      </c>
      <c r="G30" s="11">
        <v>12000</v>
      </c>
      <c r="H30" s="11">
        <v>12000</v>
      </c>
      <c r="I30" s="11">
        <v>14000</v>
      </c>
      <c r="J30" s="11">
        <v>13000</v>
      </c>
      <c r="K30" s="11">
        <v>14000</v>
      </c>
      <c r="L30" s="11">
        <v>16000</v>
      </c>
      <c r="M30" s="11">
        <v>17000</v>
      </c>
      <c r="N30" s="1"/>
      <c r="O30" s="1"/>
    </row>
    <row r="31" spans="2:15" ht="15.75" customHeight="1">
      <c r="B31" s="1"/>
      <c r="C31" s="1"/>
      <c r="D31" s="1"/>
      <c r="E31" s="1"/>
      <c r="F31" s="244" t="s">
        <v>39</v>
      </c>
      <c r="G31" s="11">
        <v>2500</v>
      </c>
      <c r="H31" s="11">
        <v>3500</v>
      </c>
      <c r="I31" s="11">
        <v>4500</v>
      </c>
      <c r="J31" s="11">
        <v>6500</v>
      </c>
      <c r="K31" s="11">
        <v>8000</v>
      </c>
      <c r="L31" s="11">
        <v>9500</v>
      </c>
      <c r="M31" s="11">
        <v>12000</v>
      </c>
      <c r="N31" s="1"/>
      <c r="O31" s="1"/>
    </row>
    <row r="32" spans="2:15" ht="15.75" customHeight="1">
      <c r="B32" s="1"/>
      <c r="C32" s="1"/>
      <c r="D32" s="1"/>
      <c r="E32" s="1"/>
      <c r="F32" s="1"/>
      <c r="G32" s="29"/>
      <c r="H32" s="29"/>
      <c r="I32" s="29"/>
      <c r="J32" s="29"/>
      <c r="K32" s="29"/>
      <c r="L32" s="29"/>
      <c r="M32" s="29"/>
      <c r="N32" s="1"/>
      <c r="O32" s="1"/>
    </row>
    <row r="33" spans="2:15" ht="15.75" customHeight="1">
      <c r="B33" s="1"/>
      <c r="C33" s="1"/>
      <c r="D33" s="1"/>
      <c r="E33" s="1"/>
      <c r="F33" s="244" t="s">
        <v>40</v>
      </c>
      <c r="G33" s="248">
        <f t="shared" ref="G33:M33" si="4">G30/(-$G$28)</f>
        <v>4.1379310344827586E-2</v>
      </c>
      <c r="H33" s="248">
        <f t="shared" si="4"/>
        <v>4.1379310344827586E-2</v>
      </c>
      <c r="I33" s="248">
        <f t="shared" si="4"/>
        <v>4.8275862068965517E-2</v>
      </c>
      <c r="J33" s="248">
        <f t="shared" si="4"/>
        <v>4.4827586206896551E-2</v>
      </c>
      <c r="K33" s="248">
        <f t="shared" si="4"/>
        <v>4.8275862068965517E-2</v>
      </c>
      <c r="L33" s="248">
        <f t="shared" si="4"/>
        <v>5.5172413793103448E-2</v>
      </c>
      <c r="M33" s="248">
        <f t="shared" si="4"/>
        <v>5.8620689655172413E-2</v>
      </c>
      <c r="N33" s="1"/>
      <c r="O33" s="1"/>
    </row>
    <row r="34" spans="2:15" ht="15.75" customHeight="1">
      <c r="B34" s="1"/>
      <c r="C34" s="1"/>
      <c r="D34" s="1"/>
      <c r="E34" s="1"/>
      <c r="F34" s="244" t="s">
        <v>41</v>
      </c>
      <c r="G34" s="248">
        <f t="shared" ref="G34:M34" si="5">(G30-G31)/-$G$29</f>
        <v>0.1357142857142857</v>
      </c>
      <c r="H34" s="248">
        <f t="shared" si="5"/>
        <v>0.12142857142857143</v>
      </c>
      <c r="I34" s="248">
        <f t="shared" si="5"/>
        <v>0.1357142857142857</v>
      </c>
      <c r="J34" s="248">
        <f t="shared" si="5"/>
        <v>9.285714285714286E-2</v>
      </c>
      <c r="K34" s="248">
        <f t="shared" si="5"/>
        <v>8.5714285714285715E-2</v>
      </c>
      <c r="L34" s="248">
        <f t="shared" si="5"/>
        <v>9.285714285714286E-2</v>
      </c>
      <c r="M34" s="248">
        <f t="shared" si="5"/>
        <v>7.1428571428571425E-2</v>
      </c>
      <c r="N34" s="1"/>
      <c r="O34" s="1"/>
    </row>
    <row r="35" spans="2:1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5.75" customHeight="1"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</row>
    <row r="236" spans="2:15" ht="15.75" customHeight="1"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</row>
    <row r="237" spans="2:15" ht="15.75" customHeight="1"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</row>
    <row r="238" spans="2:15" ht="15.75" customHeight="1"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</row>
    <row r="239" spans="2:15" ht="15.75" customHeight="1"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</row>
    <row r="240" spans="2:15" ht="15.75" customHeight="1"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D5"/>
  </mergeCells>
  <conditionalFormatting sqref="B1:J1 C2:J3">
    <cfRule type="cellIs" dxfId="15" priority="2" operator="lessThan">
      <formula>0</formula>
    </cfRule>
  </conditionalFormatting>
  <conditionalFormatting sqref="K1:M3 N1:O1000 H4:M8 B4:D11 E4:G1000 H10:M18 B13:D15 B17:D24 H20:M28 B27:D1000 H30:M1000">
    <cfRule type="cellIs" dxfId="14" priority="1" operator="lessThan">
      <formula>0</formula>
    </cfRule>
  </conditionalFormatting>
  <hyperlinks>
    <hyperlink ref="B1" r:id="rId1" xr:uid="{00000000-0004-0000-06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F84A7"/>
    <outlinePr summaryBelow="0" summaryRight="0"/>
  </sheetPr>
  <dimension ref="A1:Y1000"/>
  <sheetViews>
    <sheetView showGridLines="0"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2" max="9" width="13" customWidth="1"/>
    <col min="10" max="13" width="13.28515625" customWidth="1"/>
    <col min="14" max="14" width="10.7109375" customWidth="1"/>
  </cols>
  <sheetData>
    <row r="1" spans="1:2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30"/>
      <c r="L1" s="30"/>
      <c r="M1" s="30"/>
      <c r="N1" s="31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2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30"/>
      <c r="N2" s="31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30"/>
      <c r="L3" s="30"/>
      <c r="M3" s="30"/>
      <c r="N3" s="31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</row>
    <row r="4" spans="1:25" ht="15.75" customHeight="1">
      <c r="A4" s="212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</row>
    <row r="5" spans="1:25" ht="15.75" customHeight="1">
      <c r="A5" s="212"/>
      <c r="B5" s="252" t="s">
        <v>42</v>
      </c>
      <c r="C5" s="30"/>
      <c r="D5" s="30"/>
      <c r="E5" s="240" t="s">
        <v>5</v>
      </c>
      <c r="F5" s="30"/>
      <c r="G5" s="240" t="s">
        <v>5</v>
      </c>
      <c r="H5" s="30"/>
      <c r="I5" s="30"/>
      <c r="J5" s="30"/>
      <c r="K5" s="30"/>
      <c r="L5" s="30"/>
      <c r="M5" s="30"/>
      <c r="N5" s="31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</row>
    <row r="6" spans="1:25" ht="15.75" customHeight="1">
      <c r="A6" s="212"/>
      <c r="B6" s="30"/>
      <c r="C6" s="30"/>
      <c r="D6" s="253" t="s">
        <v>43</v>
      </c>
      <c r="E6" s="22">
        <v>200000</v>
      </c>
      <c r="F6" s="253" t="s">
        <v>44</v>
      </c>
      <c r="G6" s="18">
        <v>0.8</v>
      </c>
      <c r="H6" s="30"/>
      <c r="I6" s="30"/>
      <c r="J6" s="30"/>
      <c r="K6" s="30"/>
      <c r="L6" s="31"/>
      <c r="M6" s="253" t="s">
        <v>45</v>
      </c>
      <c r="N6" s="254">
        <f>D431</f>
        <v>203592.8727381448</v>
      </c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</row>
    <row r="7" spans="1:25" ht="15.75" customHeight="1">
      <c r="A7" s="212"/>
      <c r="B7" s="32"/>
      <c r="C7" s="6"/>
      <c r="D7" s="30"/>
      <c r="E7" s="6"/>
      <c r="F7" s="30"/>
      <c r="G7" s="6"/>
      <c r="H7" s="30"/>
      <c r="I7" s="30"/>
      <c r="J7" s="30"/>
      <c r="K7" s="30"/>
      <c r="L7" s="30"/>
      <c r="M7" s="253" t="s">
        <v>46</v>
      </c>
      <c r="N7" s="254">
        <f>F431</f>
        <v>159999.99999999916</v>
      </c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</row>
    <row r="8" spans="1:25" ht="15.75" customHeight="1">
      <c r="A8" s="212"/>
      <c r="B8" s="255" t="s">
        <v>47</v>
      </c>
      <c r="C8" s="254">
        <f>E6*G6</f>
        <v>160000</v>
      </c>
      <c r="D8" s="253" t="s">
        <v>48</v>
      </c>
      <c r="E8" s="33">
        <v>420</v>
      </c>
      <c r="F8" s="255" t="s">
        <v>49</v>
      </c>
      <c r="G8" s="34">
        <v>7.4999999999999997E-2</v>
      </c>
      <c r="H8" s="255" t="s">
        <v>50</v>
      </c>
      <c r="I8" s="256">
        <f>(1+G8)^(1/12)-1</f>
        <v>6.0449190242917172E-3</v>
      </c>
      <c r="J8" s="253" t="s">
        <v>51</v>
      </c>
      <c r="K8" s="254">
        <f>G11/0.3</f>
        <v>4493.7980827968522</v>
      </c>
      <c r="L8" s="30"/>
      <c r="M8" s="257" t="s">
        <v>52</v>
      </c>
      <c r="N8" s="254">
        <f>G431</f>
        <v>363592.87273814477</v>
      </c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</row>
    <row r="9" spans="1:25" ht="15.75" customHeight="1">
      <c r="A9" s="212"/>
      <c r="B9" s="31"/>
      <c r="C9" s="31"/>
      <c r="D9" s="30"/>
      <c r="E9" s="32"/>
      <c r="F9" s="11"/>
      <c r="G9" s="11"/>
      <c r="H9" s="11"/>
      <c r="I9" s="11"/>
      <c r="J9" s="31"/>
      <c r="K9" s="30"/>
      <c r="L9" s="30"/>
      <c r="M9" s="30"/>
      <c r="N9" s="31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</row>
    <row r="10" spans="1:25" ht="15.75" customHeight="1">
      <c r="A10" s="35"/>
      <c r="B10" s="255" t="s">
        <v>53</v>
      </c>
      <c r="C10" s="255" t="s">
        <v>54</v>
      </c>
      <c r="D10" s="255" t="s">
        <v>55</v>
      </c>
      <c r="E10" s="255" t="s">
        <v>56</v>
      </c>
      <c r="F10" s="255" t="s">
        <v>57</v>
      </c>
      <c r="G10" s="255" t="s">
        <v>58</v>
      </c>
      <c r="H10" s="255" t="s">
        <v>59</v>
      </c>
      <c r="I10" s="11"/>
      <c r="J10" s="36"/>
      <c r="K10" s="30"/>
      <c r="L10" s="30"/>
      <c r="M10" s="30"/>
      <c r="N10" s="36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 ht="15.75" customHeight="1">
      <c r="A11" s="213">
        <f>IF(AND(E8&gt;0,E8&lt;421),1,0)</f>
        <v>1</v>
      </c>
      <c r="B11" s="258">
        <f>IF(A11&gt;0,1,0)</f>
        <v>1</v>
      </c>
      <c r="C11" s="11">
        <f>IF(B11&gt;0,C8,0)</f>
        <v>160000</v>
      </c>
      <c r="D11" s="11">
        <f t="shared" ref="D11:D265" si="0">IF(B11&gt;0,C11*$I$8,0)</f>
        <v>967.1870438866747</v>
      </c>
      <c r="E11" s="11">
        <f t="shared" ref="E11:E265" si="1">IF(B11&gt;0,C11+D11,0)</f>
        <v>160967.18704388666</v>
      </c>
      <c r="F11" s="11">
        <f>IF($E$8&gt;0,$C$8/$E$8,0)</f>
        <v>380.95238095238096</v>
      </c>
      <c r="G11" s="11">
        <f t="shared" ref="G11:G265" si="2">IF(B11&gt;0,D11+F11,0)</f>
        <v>1348.1394248390557</v>
      </c>
      <c r="H11" s="11">
        <f t="shared" ref="H11:H265" si="3">IF(B11&gt;0,E11-G11,0)</f>
        <v>159619.0476190476</v>
      </c>
      <c r="I11" s="11"/>
      <c r="J11" s="13"/>
      <c r="K11" s="13"/>
      <c r="L11" s="13"/>
      <c r="M11" s="13"/>
      <c r="N11" s="13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/>
      <c r="B12" s="38">
        <f t="shared" ref="B12:B266" si="4">IF(AND(B11&gt;0,B11&lt;$E$8),B11+1,0)</f>
        <v>2</v>
      </c>
      <c r="C12" s="11">
        <f t="shared" ref="C12:C266" si="5">IF(B12&gt;0,H11,0)</f>
        <v>159619.0476190476</v>
      </c>
      <c r="D12" s="11">
        <f t="shared" si="0"/>
        <v>964.88421759170637</v>
      </c>
      <c r="E12" s="11">
        <f t="shared" si="1"/>
        <v>160583.9318366393</v>
      </c>
      <c r="F12" s="11">
        <f t="shared" ref="F12:F266" si="6">IF(B12&gt;0,$C$8/$E$8,0)</f>
        <v>380.95238095238096</v>
      </c>
      <c r="G12" s="11">
        <f t="shared" si="2"/>
        <v>1345.8365985440873</v>
      </c>
      <c r="H12" s="11">
        <f t="shared" si="3"/>
        <v>159238.09523809521</v>
      </c>
      <c r="I12" s="11"/>
      <c r="J12" s="13"/>
      <c r="K12" s="13"/>
      <c r="L12" s="13"/>
      <c r="M12" s="13"/>
      <c r="N12" s="13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/>
      <c r="B13" s="38">
        <f t="shared" si="4"/>
        <v>3</v>
      </c>
      <c r="C13" s="11">
        <f t="shared" si="5"/>
        <v>159238.09523809521</v>
      </c>
      <c r="D13" s="11">
        <f t="shared" si="0"/>
        <v>962.58139129673805</v>
      </c>
      <c r="E13" s="11">
        <f t="shared" si="1"/>
        <v>160200.67662939194</v>
      </c>
      <c r="F13" s="11">
        <f t="shared" si="6"/>
        <v>380.95238095238096</v>
      </c>
      <c r="G13" s="11">
        <f t="shared" si="2"/>
        <v>1343.533772249119</v>
      </c>
      <c r="H13" s="11">
        <f t="shared" si="3"/>
        <v>158857.14285714281</v>
      </c>
      <c r="I13" s="11"/>
      <c r="J13" s="13"/>
      <c r="K13" s="13"/>
      <c r="L13" s="13"/>
      <c r="M13" s="13"/>
      <c r="N13" s="13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/>
      <c r="B14" s="38">
        <f t="shared" si="4"/>
        <v>4</v>
      </c>
      <c r="C14" s="11">
        <f t="shared" si="5"/>
        <v>158857.14285714281</v>
      </c>
      <c r="D14" s="11">
        <f t="shared" si="0"/>
        <v>960.27856500176961</v>
      </c>
      <c r="E14" s="11">
        <f t="shared" si="1"/>
        <v>159817.42142214457</v>
      </c>
      <c r="F14" s="11">
        <f t="shared" si="6"/>
        <v>380.95238095238096</v>
      </c>
      <c r="G14" s="11">
        <f t="shared" si="2"/>
        <v>1341.2309459541507</v>
      </c>
      <c r="H14" s="11">
        <f t="shared" si="3"/>
        <v>158476.19047619042</v>
      </c>
      <c r="I14" s="11"/>
      <c r="J14" s="13"/>
      <c r="K14" s="13"/>
      <c r="L14" s="13"/>
      <c r="M14" s="13"/>
      <c r="N14" s="13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/>
      <c r="B15" s="38">
        <f t="shared" si="4"/>
        <v>5</v>
      </c>
      <c r="C15" s="11">
        <f t="shared" si="5"/>
        <v>158476.19047619042</v>
      </c>
      <c r="D15" s="11">
        <f t="shared" si="0"/>
        <v>957.97573870680128</v>
      </c>
      <c r="E15" s="11">
        <f t="shared" si="1"/>
        <v>159434.16621489721</v>
      </c>
      <c r="F15" s="11">
        <f t="shared" si="6"/>
        <v>380.95238095238096</v>
      </c>
      <c r="G15" s="11">
        <f t="shared" si="2"/>
        <v>1338.9281196591824</v>
      </c>
      <c r="H15" s="11">
        <f t="shared" si="3"/>
        <v>158095.23809523802</v>
      </c>
      <c r="I15" s="11"/>
      <c r="J15" s="13"/>
      <c r="K15" s="13"/>
      <c r="L15" s="13"/>
      <c r="M15" s="13"/>
      <c r="N15" s="13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/>
      <c r="B16" s="38">
        <f t="shared" si="4"/>
        <v>6</v>
      </c>
      <c r="C16" s="11">
        <f t="shared" si="5"/>
        <v>158095.23809523802</v>
      </c>
      <c r="D16" s="11">
        <f t="shared" si="0"/>
        <v>955.67291241183295</v>
      </c>
      <c r="E16" s="11">
        <f t="shared" si="1"/>
        <v>159050.91100764985</v>
      </c>
      <c r="F16" s="11">
        <f t="shared" si="6"/>
        <v>380.95238095238096</v>
      </c>
      <c r="G16" s="11">
        <f t="shared" si="2"/>
        <v>1336.625293364214</v>
      </c>
      <c r="H16" s="11">
        <f t="shared" si="3"/>
        <v>157714.28571428562</v>
      </c>
      <c r="I16" s="13"/>
      <c r="J16" s="13"/>
      <c r="K16" s="212"/>
      <c r="L16" s="13"/>
      <c r="M16" s="13"/>
      <c r="N16" s="13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/>
      <c r="B17" s="38">
        <f t="shared" si="4"/>
        <v>7</v>
      </c>
      <c r="C17" s="11">
        <f t="shared" si="5"/>
        <v>157714.28571428562</v>
      </c>
      <c r="D17" s="11">
        <f t="shared" si="0"/>
        <v>953.37008611686451</v>
      </c>
      <c r="E17" s="11">
        <f t="shared" si="1"/>
        <v>158667.65580040248</v>
      </c>
      <c r="F17" s="11">
        <f t="shared" si="6"/>
        <v>380.95238095238096</v>
      </c>
      <c r="G17" s="11">
        <f t="shared" si="2"/>
        <v>1334.3224670692455</v>
      </c>
      <c r="H17" s="11">
        <f t="shared" si="3"/>
        <v>157333.33333333323</v>
      </c>
      <c r="I17" s="13"/>
      <c r="J17" s="13"/>
      <c r="K17" s="212"/>
      <c r="L17" s="13"/>
      <c r="M17" s="13"/>
      <c r="N17" s="13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/>
      <c r="B18" s="38">
        <f t="shared" si="4"/>
        <v>8</v>
      </c>
      <c r="C18" s="11">
        <f t="shared" si="5"/>
        <v>157333.33333333323</v>
      </c>
      <c r="D18" s="11">
        <f t="shared" si="0"/>
        <v>951.06725982189619</v>
      </c>
      <c r="E18" s="11">
        <f t="shared" si="1"/>
        <v>158284.40059315512</v>
      </c>
      <c r="F18" s="11">
        <f t="shared" si="6"/>
        <v>380.95238095238096</v>
      </c>
      <c r="G18" s="11">
        <f t="shared" si="2"/>
        <v>1332.0196407742771</v>
      </c>
      <c r="H18" s="11">
        <f t="shared" si="3"/>
        <v>156952.38095238083</v>
      </c>
      <c r="I18" s="13"/>
      <c r="J18" s="13"/>
      <c r="K18" s="212"/>
      <c r="L18" s="13"/>
      <c r="M18" s="13"/>
      <c r="N18" s="13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/>
      <c r="B19" s="38">
        <f t="shared" si="4"/>
        <v>9</v>
      </c>
      <c r="C19" s="11">
        <f t="shared" si="5"/>
        <v>156952.38095238083</v>
      </c>
      <c r="D19" s="11">
        <f t="shared" si="0"/>
        <v>948.76443352692786</v>
      </c>
      <c r="E19" s="11">
        <f t="shared" si="1"/>
        <v>157901.14538590776</v>
      </c>
      <c r="F19" s="11">
        <f t="shared" si="6"/>
        <v>380.95238095238096</v>
      </c>
      <c r="G19" s="11">
        <f t="shared" si="2"/>
        <v>1329.7168144793088</v>
      </c>
      <c r="H19" s="11">
        <f t="shared" si="3"/>
        <v>156571.42857142846</v>
      </c>
      <c r="I19" s="13"/>
      <c r="J19" s="13"/>
      <c r="K19" s="212"/>
      <c r="L19" s="13"/>
      <c r="M19" s="13"/>
      <c r="N19" s="13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/>
      <c r="B20" s="38">
        <f t="shared" si="4"/>
        <v>10</v>
      </c>
      <c r="C20" s="11">
        <f t="shared" si="5"/>
        <v>156571.42857142846</v>
      </c>
      <c r="D20" s="11">
        <f t="shared" si="0"/>
        <v>946.46160723195965</v>
      </c>
      <c r="E20" s="11">
        <f t="shared" si="1"/>
        <v>157517.89017866043</v>
      </c>
      <c r="F20" s="11">
        <f t="shared" si="6"/>
        <v>380.95238095238096</v>
      </c>
      <c r="G20" s="11">
        <f t="shared" si="2"/>
        <v>1327.4139881843407</v>
      </c>
      <c r="H20" s="11">
        <f t="shared" si="3"/>
        <v>156190.4761904761</v>
      </c>
      <c r="I20" s="13"/>
      <c r="J20" s="13"/>
      <c r="K20" s="212"/>
      <c r="L20" s="13"/>
      <c r="M20" s="13"/>
      <c r="N20" s="13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/>
      <c r="B21" s="38">
        <f t="shared" si="4"/>
        <v>11</v>
      </c>
      <c r="C21" s="11">
        <f t="shared" si="5"/>
        <v>156190.4761904761</v>
      </c>
      <c r="D21" s="11">
        <f t="shared" si="0"/>
        <v>944.15878093699143</v>
      </c>
      <c r="E21" s="11">
        <f t="shared" si="1"/>
        <v>157134.63497141309</v>
      </c>
      <c r="F21" s="11">
        <f t="shared" si="6"/>
        <v>380.95238095238096</v>
      </c>
      <c r="G21" s="11">
        <f t="shared" si="2"/>
        <v>1325.1111618893724</v>
      </c>
      <c r="H21" s="11">
        <f t="shared" si="3"/>
        <v>155809.52380952373</v>
      </c>
      <c r="I21" s="14"/>
      <c r="J21" s="13"/>
      <c r="K21" s="212"/>
      <c r="L21" s="13"/>
      <c r="M21" s="13"/>
      <c r="N21" s="13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/>
      <c r="B22" s="38">
        <f t="shared" si="4"/>
        <v>12</v>
      </c>
      <c r="C22" s="11">
        <f t="shared" si="5"/>
        <v>155809.52380952373</v>
      </c>
      <c r="D22" s="11">
        <f t="shared" si="0"/>
        <v>941.85595464202322</v>
      </c>
      <c r="E22" s="11">
        <f t="shared" si="1"/>
        <v>156751.37976416576</v>
      </c>
      <c r="F22" s="11">
        <f t="shared" si="6"/>
        <v>380.95238095238096</v>
      </c>
      <c r="G22" s="11">
        <f t="shared" si="2"/>
        <v>1322.8083355944041</v>
      </c>
      <c r="H22" s="11">
        <f t="shared" si="3"/>
        <v>155428.57142857136</v>
      </c>
      <c r="I22" s="14"/>
      <c r="J22" s="13"/>
      <c r="K22" s="212"/>
      <c r="L22" s="13"/>
      <c r="M22" s="13"/>
      <c r="N22" s="1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/>
      <c r="B23" s="38">
        <f t="shared" si="4"/>
        <v>13</v>
      </c>
      <c r="C23" s="11">
        <f t="shared" si="5"/>
        <v>155428.57142857136</v>
      </c>
      <c r="D23" s="11">
        <f t="shared" si="0"/>
        <v>939.55312834705512</v>
      </c>
      <c r="E23" s="11">
        <f t="shared" si="1"/>
        <v>156368.12455691842</v>
      </c>
      <c r="F23" s="11">
        <f t="shared" si="6"/>
        <v>380.95238095238096</v>
      </c>
      <c r="G23" s="11">
        <f t="shared" si="2"/>
        <v>1320.5055092994362</v>
      </c>
      <c r="H23" s="11">
        <f t="shared" si="3"/>
        <v>155047.61904761899</v>
      </c>
      <c r="I23" s="24"/>
      <c r="J23" s="13"/>
      <c r="K23" s="212"/>
      <c r="L23" s="13"/>
      <c r="M23" s="13"/>
      <c r="N23" s="1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75" customHeight="1">
      <c r="A24" s="37"/>
      <c r="B24" s="38">
        <f t="shared" si="4"/>
        <v>14</v>
      </c>
      <c r="C24" s="11">
        <f t="shared" si="5"/>
        <v>155047.61904761899</v>
      </c>
      <c r="D24" s="11">
        <f t="shared" si="0"/>
        <v>937.25030205208691</v>
      </c>
      <c r="E24" s="11">
        <f t="shared" si="1"/>
        <v>155984.86934967109</v>
      </c>
      <c r="F24" s="11">
        <f t="shared" si="6"/>
        <v>380.95238095238096</v>
      </c>
      <c r="G24" s="11">
        <f t="shared" si="2"/>
        <v>1318.2026830044679</v>
      </c>
      <c r="H24" s="11">
        <f t="shared" si="3"/>
        <v>154666.66666666663</v>
      </c>
      <c r="I24" s="13"/>
      <c r="J24" s="13"/>
      <c r="K24" s="212"/>
      <c r="L24" s="13"/>
      <c r="M24" s="13"/>
      <c r="N24" s="1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75" customHeight="1">
      <c r="A25" s="37"/>
      <c r="B25" s="38">
        <f t="shared" si="4"/>
        <v>15</v>
      </c>
      <c r="C25" s="11">
        <f t="shared" si="5"/>
        <v>154666.66666666663</v>
      </c>
      <c r="D25" s="11">
        <f t="shared" si="0"/>
        <v>934.9474757571187</v>
      </c>
      <c r="E25" s="11">
        <f t="shared" si="1"/>
        <v>155601.61414242376</v>
      </c>
      <c r="F25" s="11">
        <f t="shared" si="6"/>
        <v>380.95238095238096</v>
      </c>
      <c r="G25" s="11">
        <f t="shared" si="2"/>
        <v>1315.8998567094995</v>
      </c>
      <c r="H25" s="11">
        <f t="shared" si="3"/>
        <v>154285.71428571426</v>
      </c>
      <c r="I25" s="13"/>
      <c r="J25" s="13"/>
      <c r="K25" s="212"/>
      <c r="L25" s="13"/>
      <c r="M25" s="13"/>
      <c r="N25" s="1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>
      <c r="A26" s="37"/>
      <c r="B26" s="38">
        <f t="shared" si="4"/>
        <v>16</v>
      </c>
      <c r="C26" s="11">
        <f t="shared" si="5"/>
        <v>154285.71428571426</v>
      </c>
      <c r="D26" s="11">
        <f t="shared" si="0"/>
        <v>932.64464946215048</v>
      </c>
      <c r="E26" s="11">
        <f t="shared" si="1"/>
        <v>155218.35893517642</v>
      </c>
      <c r="F26" s="11">
        <f t="shared" si="6"/>
        <v>380.95238095238096</v>
      </c>
      <c r="G26" s="11">
        <f t="shared" si="2"/>
        <v>1313.5970304145314</v>
      </c>
      <c r="H26" s="11">
        <f t="shared" si="3"/>
        <v>153904.76190476189</v>
      </c>
      <c r="I26" s="13"/>
      <c r="J26" s="13"/>
      <c r="K26" s="13"/>
      <c r="L26" s="13"/>
      <c r="M26" s="13"/>
      <c r="N26" s="13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>
      <c r="A27" s="37"/>
      <c r="B27" s="38">
        <f t="shared" si="4"/>
        <v>17</v>
      </c>
      <c r="C27" s="11">
        <f t="shared" si="5"/>
        <v>153904.76190476189</v>
      </c>
      <c r="D27" s="11">
        <f t="shared" si="0"/>
        <v>930.34182316718227</v>
      </c>
      <c r="E27" s="11">
        <f t="shared" si="1"/>
        <v>154835.10372792909</v>
      </c>
      <c r="F27" s="11">
        <f t="shared" si="6"/>
        <v>380.95238095238096</v>
      </c>
      <c r="G27" s="11">
        <f t="shared" si="2"/>
        <v>1311.2942041195633</v>
      </c>
      <c r="H27" s="11">
        <f t="shared" si="3"/>
        <v>153523.80952380953</v>
      </c>
      <c r="I27" s="13"/>
      <c r="J27" s="13"/>
      <c r="K27" s="13"/>
      <c r="L27" s="13"/>
      <c r="M27" s="13"/>
      <c r="N27" s="13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75" customHeight="1">
      <c r="A28" s="37"/>
      <c r="B28" s="38">
        <f t="shared" si="4"/>
        <v>18</v>
      </c>
      <c r="C28" s="11">
        <f t="shared" si="5"/>
        <v>153523.80952380953</v>
      </c>
      <c r="D28" s="11">
        <f t="shared" si="0"/>
        <v>928.03899687221417</v>
      </c>
      <c r="E28" s="11">
        <f t="shared" si="1"/>
        <v>154451.84852068173</v>
      </c>
      <c r="F28" s="11">
        <f t="shared" si="6"/>
        <v>380.95238095238096</v>
      </c>
      <c r="G28" s="11">
        <f t="shared" si="2"/>
        <v>1308.991377824595</v>
      </c>
      <c r="H28" s="11">
        <f t="shared" si="3"/>
        <v>153142.85714285713</v>
      </c>
      <c r="I28" s="13"/>
      <c r="J28" s="13"/>
      <c r="K28" s="13"/>
      <c r="L28" s="13"/>
      <c r="M28" s="13"/>
      <c r="N28" s="13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>
      <c r="A29" s="37"/>
      <c r="B29" s="38">
        <f t="shared" si="4"/>
        <v>19</v>
      </c>
      <c r="C29" s="11">
        <f t="shared" si="5"/>
        <v>153142.85714285713</v>
      </c>
      <c r="D29" s="11">
        <f t="shared" si="0"/>
        <v>925.73617057724573</v>
      </c>
      <c r="E29" s="11">
        <f t="shared" si="1"/>
        <v>154068.59331343436</v>
      </c>
      <c r="F29" s="11">
        <f t="shared" si="6"/>
        <v>380.95238095238096</v>
      </c>
      <c r="G29" s="11">
        <f t="shared" si="2"/>
        <v>1306.6885515296267</v>
      </c>
      <c r="H29" s="11">
        <f t="shared" si="3"/>
        <v>152761.90476190473</v>
      </c>
      <c r="I29" s="13"/>
      <c r="J29" s="13"/>
      <c r="K29" s="13"/>
      <c r="L29" s="13"/>
      <c r="M29" s="13"/>
      <c r="N29" s="13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75" customHeight="1">
      <c r="A30" s="37"/>
      <c r="B30" s="38">
        <f t="shared" si="4"/>
        <v>20</v>
      </c>
      <c r="C30" s="11">
        <f t="shared" si="5"/>
        <v>152761.90476190473</v>
      </c>
      <c r="D30" s="11">
        <f t="shared" si="0"/>
        <v>923.4333442822774</v>
      </c>
      <c r="E30" s="11">
        <f t="shared" si="1"/>
        <v>153685.338106187</v>
      </c>
      <c r="F30" s="11">
        <f t="shared" si="6"/>
        <v>380.95238095238096</v>
      </c>
      <c r="G30" s="11">
        <f t="shared" si="2"/>
        <v>1304.3857252346584</v>
      </c>
      <c r="H30" s="11">
        <f t="shared" si="3"/>
        <v>152380.95238095234</v>
      </c>
      <c r="I30" s="13"/>
      <c r="J30" s="13"/>
      <c r="K30" s="13"/>
      <c r="L30" s="13"/>
      <c r="M30" s="13"/>
      <c r="N30" s="13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75" customHeight="1">
      <c r="A31" s="37"/>
      <c r="B31" s="38">
        <f t="shared" si="4"/>
        <v>21</v>
      </c>
      <c r="C31" s="11">
        <f t="shared" si="5"/>
        <v>152380.95238095234</v>
      </c>
      <c r="D31" s="11">
        <f t="shared" si="0"/>
        <v>921.13051798730908</v>
      </c>
      <c r="E31" s="11">
        <f t="shared" si="1"/>
        <v>153302.08289893964</v>
      </c>
      <c r="F31" s="11">
        <f t="shared" si="6"/>
        <v>380.95238095238096</v>
      </c>
      <c r="G31" s="11">
        <f t="shared" si="2"/>
        <v>1302.08289893969</v>
      </c>
      <c r="H31" s="11">
        <f t="shared" si="3"/>
        <v>151999.99999999994</v>
      </c>
      <c r="I31" s="13"/>
      <c r="J31" s="13"/>
      <c r="K31" s="13"/>
      <c r="L31" s="13"/>
      <c r="M31" s="13"/>
      <c r="N31" s="13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75" customHeight="1">
      <c r="A32" s="37"/>
      <c r="B32" s="38">
        <f t="shared" si="4"/>
        <v>22</v>
      </c>
      <c r="C32" s="11">
        <f t="shared" si="5"/>
        <v>151999.99999999994</v>
      </c>
      <c r="D32" s="11">
        <f t="shared" si="0"/>
        <v>918.82769169234064</v>
      </c>
      <c r="E32" s="11">
        <f t="shared" si="1"/>
        <v>152918.82769169228</v>
      </c>
      <c r="F32" s="11">
        <f t="shared" si="6"/>
        <v>380.95238095238096</v>
      </c>
      <c r="G32" s="11">
        <f t="shared" si="2"/>
        <v>1299.7800726447217</v>
      </c>
      <c r="H32" s="11">
        <f t="shared" si="3"/>
        <v>151619.04761904755</v>
      </c>
      <c r="I32" s="13"/>
      <c r="J32" s="13"/>
      <c r="K32" s="13"/>
      <c r="L32" s="13"/>
      <c r="M32" s="13"/>
      <c r="N32" s="13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75" customHeight="1">
      <c r="A33" s="37"/>
      <c r="B33" s="38">
        <f t="shared" si="4"/>
        <v>23</v>
      </c>
      <c r="C33" s="11">
        <f t="shared" si="5"/>
        <v>151619.04761904755</v>
      </c>
      <c r="D33" s="11">
        <f t="shared" si="0"/>
        <v>916.52486539737231</v>
      </c>
      <c r="E33" s="11">
        <f t="shared" si="1"/>
        <v>152535.57248444491</v>
      </c>
      <c r="F33" s="11">
        <f t="shared" si="6"/>
        <v>380.95238095238096</v>
      </c>
      <c r="G33" s="11">
        <f t="shared" si="2"/>
        <v>1297.4772463497534</v>
      </c>
      <c r="H33" s="11">
        <f t="shared" si="3"/>
        <v>151238.09523809515</v>
      </c>
      <c r="I33" s="13"/>
      <c r="J33" s="13"/>
      <c r="K33" s="13"/>
      <c r="L33" s="13"/>
      <c r="M33" s="13"/>
      <c r="N33" s="13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75" customHeight="1">
      <c r="A34" s="37"/>
      <c r="B34" s="38">
        <f t="shared" si="4"/>
        <v>24</v>
      </c>
      <c r="C34" s="11">
        <f t="shared" si="5"/>
        <v>151238.09523809515</v>
      </c>
      <c r="D34" s="11">
        <f t="shared" si="0"/>
        <v>914.22203910240398</v>
      </c>
      <c r="E34" s="11">
        <f t="shared" si="1"/>
        <v>152152.31727719755</v>
      </c>
      <c r="F34" s="11">
        <f t="shared" si="6"/>
        <v>380.95238095238096</v>
      </c>
      <c r="G34" s="11">
        <f t="shared" si="2"/>
        <v>1295.1744200547851</v>
      </c>
      <c r="H34" s="11">
        <f t="shared" si="3"/>
        <v>150857.14285714275</v>
      </c>
      <c r="I34" s="13"/>
      <c r="J34" s="13"/>
      <c r="K34" s="13"/>
      <c r="L34" s="13"/>
      <c r="M34" s="13"/>
      <c r="N34" s="13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75" customHeight="1">
      <c r="A35" s="37"/>
      <c r="B35" s="38">
        <f t="shared" si="4"/>
        <v>25</v>
      </c>
      <c r="C35" s="11">
        <f t="shared" si="5"/>
        <v>150857.14285714275</v>
      </c>
      <c r="D35" s="11">
        <f t="shared" si="0"/>
        <v>911.91921280743554</v>
      </c>
      <c r="E35" s="11">
        <f t="shared" si="1"/>
        <v>151769.06206995019</v>
      </c>
      <c r="F35" s="11">
        <f t="shared" si="6"/>
        <v>380.95238095238096</v>
      </c>
      <c r="G35" s="11">
        <f t="shared" si="2"/>
        <v>1292.8715937598165</v>
      </c>
      <c r="H35" s="11">
        <f t="shared" si="3"/>
        <v>150476.19047619039</v>
      </c>
      <c r="I35" s="13"/>
      <c r="J35" s="13"/>
      <c r="K35" s="13"/>
      <c r="L35" s="13"/>
      <c r="M35" s="13"/>
      <c r="N35" s="13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75" customHeight="1">
      <c r="A36" s="37"/>
      <c r="B36" s="38">
        <f t="shared" si="4"/>
        <v>26</v>
      </c>
      <c r="C36" s="11">
        <f t="shared" si="5"/>
        <v>150476.19047619039</v>
      </c>
      <c r="D36" s="11">
        <f t="shared" si="0"/>
        <v>909.61638651246733</v>
      </c>
      <c r="E36" s="11">
        <f t="shared" si="1"/>
        <v>151385.80686270286</v>
      </c>
      <c r="F36" s="11">
        <f t="shared" si="6"/>
        <v>380.95238095238096</v>
      </c>
      <c r="G36" s="11">
        <f t="shared" si="2"/>
        <v>1290.5687674648484</v>
      </c>
      <c r="H36" s="11">
        <f t="shared" si="3"/>
        <v>150095.23809523802</v>
      </c>
      <c r="I36" s="13"/>
      <c r="J36" s="13"/>
      <c r="K36" s="13"/>
      <c r="L36" s="13"/>
      <c r="M36" s="13"/>
      <c r="N36" s="13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customHeight="1">
      <c r="A37" s="37"/>
      <c r="B37" s="38">
        <f t="shared" si="4"/>
        <v>27</v>
      </c>
      <c r="C37" s="11">
        <f t="shared" si="5"/>
        <v>150095.23809523802</v>
      </c>
      <c r="D37" s="11">
        <f t="shared" si="0"/>
        <v>907.31356021749923</v>
      </c>
      <c r="E37" s="11">
        <f t="shared" si="1"/>
        <v>151002.55165545552</v>
      </c>
      <c r="F37" s="11">
        <f t="shared" si="6"/>
        <v>380.95238095238096</v>
      </c>
      <c r="G37" s="11">
        <f t="shared" si="2"/>
        <v>1288.2659411698801</v>
      </c>
      <c r="H37" s="11">
        <f t="shared" si="3"/>
        <v>149714.28571428565</v>
      </c>
      <c r="I37" s="13"/>
      <c r="J37" s="13"/>
      <c r="K37" s="13"/>
      <c r="L37" s="13"/>
      <c r="M37" s="13"/>
      <c r="N37" s="13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75" customHeight="1">
      <c r="A38" s="37"/>
      <c r="B38" s="38">
        <f t="shared" si="4"/>
        <v>28</v>
      </c>
      <c r="C38" s="11">
        <f t="shared" si="5"/>
        <v>149714.28571428565</v>
      </c>
      <c r="D38" s="11">
        <f t="shared" si="0"/>
        <v>905.01073392253102</v>
      </c>
      <c r="E38" s="11">
        <f t="shared" si="1"/>
        <v>150619.29644820819</v>
      </c>
      <c r="F38" s="11">
        <f t="shared" si="6"/>
        <v>380.95238095238096</v>
      </c>
      <c r="G38" s="11">
        <f t="shared" si="2"/>
        <v>1285.963114874912</v>
      </c>
      <c r="H38" s="11">
        <f t="shared" si="3"/>
        <v>149333.33333333328</v>
      </c>
      <c r="I38" s="13"/>
      <c r="J38" s="13"/>
      <c r="K38" s="13"/>
      <c r="L38" s="13"/>
      <c r="M38" s="13"/>
      <c r="N38" s="13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75" customHeight="1">
      <c r="A39" s="37"/>
      <c r="B39" s="38">
        <f t="shared" si="4"/>
        <v>29</v>
      </c>
      <c r="C39" s="11">
        <f t="shared" si="5"/>
        <v>149333.33333333328</v>
      </c>
      <c r="D39" s="11">
        <f t="shared" si="0"/>
        <v>902.7079076275628</v>
      </c>
      <c r="E39" s="11">
        <f t="shared" si="1"/>
        <v>150236.04124096085</v>
      </c>
      <c r="F39" s="11">
        <f t="shared" si="6"/>
        <v>380.95238095238096</v>
      </c>
      <c r="G39" s="11">
        <f t="shared" si="2"/>
        <v>1283.6602885799439</v>
      </c>
      <c r="H39" s="11">
        <f t="shared" si="3"/>
        <v>148952.38095238092</v>
      </c>
      <c r="I39" s="13"/>
      <c r="J39" s="13"/>
      <c r="K39" s="13"/>
      <c r="L39" s="13"/>
      <c r="M39" s="13"/>
      <c r="N39" s="13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75" customHeight="1">
      <c r="A40" s="37"/>
      <c r="B40" s="38">
        <f t="shared" si="4"/>
        <v>30</v>
      </c>
      <c r="C40" s="11">
        <f t="shared" si="5"/>
        <v>148952.38095238092</v>
      </c>
      <c r="D40" s="11">
        <f t="shared" si="0"/>
        <v>900.40508133259459</v>
      </c>
      <c r="E40" s="11">
        <f t="shared" si="1"/>
        <v>149852.78603371352</v>
      </c>
      <c r="F40" s="11">
        <f t="shared" si="6"/>
        <v>380.95238095238096</v>
      </c>
      <c r="G40" s="11">
        <f t="shared" si="2"/>
        <v>1281.3574622849756</v>
      </c>
      <c r="H40" s="11">
        <f t="shared" si="3"/>
        <v>148571.42857142855</v>
      </c>
      <c r="I40" s="13"/>
      <c r="J40" s="13"/>
      <c r="K40" s="13"/>
      <c r="L40" s="13"/>
      <c r="M40" s="13"/>
      <c r="N40" s="13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75" customHeight="1">
      <c r="A41" s="37"/>
      <c r="B41" s="38">
        <f t="shared" si="4"/>
        <v>31</v>
      </c>
      <c r="C41" s="11">
        <f t="shared" si="5"/>
        <v>148571.42857142855</v>
      </c>
      <c r="D41" s="11">
        <f t="shared" si="0"/>
        <v>898.10225503762649</v>
      </c>
      <c r="E41" s="11">
        <f t="shared" si="1"/>
        <v>149469.53082646619</v>
      </c>
      <c r="F41" s="11">
        <f t="shared" si="6"/>
        <v>380.95238095238096</v>
      </c>
      <c r="G41" s="11">
        <f t="shared" si="2"/>
        <v>1279.0546359900075</v>
      </c>
      <c r="H41" s="11">
        <f t="shared" si="3"/>
        <v>148190.47619047618</v>
      </c>
      <c r="I41" s="13"/>
      <c r="J41" s="13"/>
      <c r="K41" s="13"/>
      <c r="L41" s="13"/>
      <c r="M41" s="13"/>
      <c r="N41" s="13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75" customHeight="1">
      <c r="A42" s="37"/>
      <c r="B42" s="38">
        <f t="shared" si="4"/>
        <v>32</v>
      </c>
      <c r="C42" s="11">
        <f t="shared" si="5"/>
        <v>148190.47619047618</v>
      </c>
      <c r="D42" s="11">
        <f t="shared" si="0"/>
        <v>895.79942874265828</v>
      </c>
      <c r="E42" s="11">
        <f t="shared" si="1"/>
        <v>149086.27561921885</v>
      </c>
      <c r="F42" s="11">
        <f t="shared" si="6"/>
        <v>380.95238095238096</v>
      </c>
      <c r="G42" s="11">
        <f t="shared" si="2"/>
        <v>1276.7518096950394</v>
      </c>
      <c r="H42" s="11">
        <f t="shared" si="3"/>
        <v>147809.52380952382</v>
      </c>
      <c r="I42" s="13"/>
      <c r="J42" s="13"/>
      <c r="K42" s="13"/>
      <c r="L42" s="13"/>
      <c r="M42" s="13"/>
      <c r="N42" s="13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75" customHeight="1">
      <c r="A43" s="37"/>
      <c r="B43" s="38">
        <f t="shared" si="4"/>
        <v>33</v>
      </c>
      <c r="C43" s="11">
        <f t="shared" si="5"/>
        <v>147809.52380952382</v>
      </c>
      <c r="D43" s="11">
        <f t="shared" si="0"/>
        <v>893.49660244769007</v>
      </c>
      <c r="E43" s="11">
        <f t="shared" si="1"/>
        <v>148703.02041197152</v>
      </c>
      <c r="F43" s="11">
        <f t="shared" si="6"/>
        <v>380.95238095238096</v>
      </c>
      <c r="G43" s="11">
        <f t="shared" si="2"/>
        <v>1274.448983400071</v>
      </c>
      <c r="H43" s="11">
        <f t="shared" si="3"/>
        <v>147428.57142857145</v>
      </c>
      <c r="I43" s="13"/>
      <c r="J43" s="13"/>
      <c r="K43" s="13"/>
      <c r="L43" s="13"/>
      <c r="M43" s="13"/>
      <c r="N43" s="13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75" customHeight="1">
      <c r="A44" s="37"/>
      <c r="B44" s="38">
        <f t="shared" si="4"/>
        <v>34</v>
      </c>
      <c r="C44" s="11">
        <f t="shared" si="5"/>
        <v>147428.57142857145</v>
      </c>
      <c r="D44" s="11">
        <f t="shared" si="0"/>
        <v>891.19377615272185</v>
      </c>
      <c r="E44" s="11">
        <f t="shared" si="1"/>
        <v>148319.76520472416</v>
      </c>
      <c r="F44" s="11">
        <f t="shared" si="6"/>
        <v>380.95238095238096</v>
      </c>
      <c r="G44" s="11">
        <f t="shared" si="2"/>
        <v>1272.1461571051027</v>
      </c>
      <c r="H44" s="11">
        <f t="shared" si="3"/>
        <v>147047.61904761905</v>
      </c>
      <c r="I44" s="13"/>
      <c r="J44" s="13"/>
      <c r="K44" s="13"/>
      <c r="L44" s="13"/>
      <c r="M44" s="13"/>
      <c r="N44" s="13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>
      <c r="A45" s="37"/>
      <c r="B45" s="38">
        <f t="shared" si="4"/>
        <v>35</v>
      </c>
      <c r="C45" s="11">
        <f t="shared" si="5"/>
        <v>147047.61904761905</v>
      </c>
      <c r="D45" s="11">
        <f t="shared" si="0"/>
        <v>888.89094985775353</v>
      </c>
      <c r="E45" s="11">
        <f t="shared" si="1"/>
        <v>147936.50999747679</v>
      </c>
      <c r="F45" s="11">
        <f t="shared" si="6"/>
        <v>380.95238095238096</v>
      </c>
      <c r="G45" s="11">
        <f t="shared" si="2"/>
        <v>1269.8433308101344</v>
      </c>
      <c r="H45" s="11">
        <f t="shared" si="3"/>
        <v>146666.66666666666</v>
      </c>
      <c r="I45" s="13"/>
      <c r="J45" s="13"/>
      <c r="K45" s="13"/>
      <c r="L45" s="13"/>
      <c r="M45" s="13"/>
      <c r="N45" s="13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75" customHeight="1">
      <c r="A46" s="37"/>
      <c r="B46" s="38">
        <f t="shared" si="4"/>
        <v>36</v>
      </c>
      <c r="C46" s="11">
        <f t="shared" si="5"/>
        <v>146666.66666666666</v>
      </c>
      <c r="D46" s="11">
        <f t="shared" si="0"/>
        <v>886.58812356278509</v>
      </c>
      <c r="E46" s="11">
        <f t="shared" si="1"/>
        <v>147553.25479022943</v>
      </c>
      <c r="F46" s="11">
        <f t="shared" si="6"/>
        <v>380.95238095238096</v>
      </c>
      <c r="G46" s="11">
        <f t="shared" si="2"/>
        <v>1267.540504515166</v>
      </c>
      <c r="H46" s="11">
        <f t="shared" si="3"/>
        <v>146285.71428571426</v>
      </c>
      <c r="I46" s="13"/>
      <c r="J46" s="13"/>
      <c r="K46" s="13"/>
      <c r="L46" s="13"/>
      <c r="M46" s="13"/>
      <c r="N46" s="13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>
      <c r="A47" s="37"/>
      <c r="B47" s="38">
        <f t="shared" si="4"/>
        <v>37</v>
      </c>
      <c r="C47" s="11">
        <f t="shared" si="5"/>
        <v>146285.71428571426</v>
      </c>
      <c r="D47" s="11">
        <f t="shared" si="0"/>
        <v>884.28529726781676</v>
      </c>
      <c r="E47" s="11">
        <f t="shared" si="1"/>
        <v>147169.99958298207</v>
      </c>
      <c r="F47" s="11">
        <f t="shared" si="6"/>
        <v>380.95238095238096</v>
      </c>
      <c r="G47" s="11">
        <f t="shared" si="2"/>
        <v>1265.2376782201977</v>
      </c>
      <c r="H47" s="11">
        <f t="shared" si="3"/>
        <v>145904.76190476186</v>
      </c>
      <c r="I47" s="13"/>
      <c r="J47" s="13"/>
      <c r="K47" s="13"/>
      <c r="L47" s="13"/>
      <c r="M47" s="13"/>
      <c r="N47" s="13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>
      <c r="A48" s="37"/>
      <c r="B48" s="38">
        <f t="shared" si="4"/>
        <v>38</v>
      </c>
      <c r="C48" s="11">
        <f t="shared" si="5"/>
        <v>145904.76190476186</v>
      </c>
      <c r="D48" s="11">
        <f t="shared" si="0"/>
        <v>881.98247097284843</v>
      </c>
      <c r="E48" s="11">
        <f t="shared" si="1"/>
        <v>146786.74437573471</v>
      </c>
      <c r="F48" s="11">
        <f t="shared" si="6"/>
        <v>380.95238095238096</v>
      </c>
      <c r="G48" s="11">
        <f t="shared" si="2"/>
        <v>1262.9348519252294</v>
      </c>
      <c r="H48" s="11">
        <f t="shared" si="3"/>
        <v>145523.80952380947</v>
      </c>
      <c r="I48" s="13"/>
      <c r="J48" s="13"/>
      <c r="K48" s="13"/>
      <c r="L48" s="13"/>
      <c r="M48" s="13"/>
      <c r="N48" s="13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75" customHeight="1">
      <c r="A49" s="37"/>
      <c r="B49" s="38">
        <f t="shared" si="4"/>
        <v>39</v>
      </c>
      <c r="C49" s="11">
        <f t="shared" si="5"/>
        <v>145523.80952380947</v>
      </c>
      <c r="D49" s="11">
        <f t="shared" si="0"/>
        <v>879.67964467787999</v>
      </c>
      <c r="E49" s="11">
        <f t="shared" si="1"/>
        <v>146403.48916848734</v>
      </c>
      <c r="F49" s="11">
        <f t="shared" si="6"/>
        <v>380.95238095238096</v>
      </c>
      <c r="G49" s="11">
        <f t="shared" si="2"/>
        <v>1260.6320256302611</v>
      </c>
      <c r="H49" s="11">
        <f t="shared" si="3"/>
        <v>145142.85714285707</v>
      </c>
      <c r="I49" s="13"/>
      <c r="J49" s="13"/>
      <c r="K49" s="13"/>
      <c r="L49" s="13"/>
      <c r="M49" s="13"/>
      <c r="N49" s="13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75" customHeight="1">
      <c r="A50" s="37"/>
      <c r="B50" s="38">
        <f t="shared" si="4"/>
        <v>40</v>
      </c>
      <c r="C50" s="11">
        <f t="shared" si="5"/>
        <v>145142.85714285707</v>
      </c>
      <c r="D50" s="11">
        <f t="shared" si="0"/>
        <v>877.37681838291167</v>
      </c>
      <c r="E50" s="11">
        <f t="shared" si="1"/>
        <v>146020.23396123998</v>
      </c>
      <c r="F50" s="11">
        <f t="shared" si="6"/>
        <v>380.95238095238096</v>
      </c>
      <c r="G50" s="11">
        <f t="shared" si="2"/>
        <v>1258.3291993352927</v>
      </c>
      <c r="H50" s="11">
        <f t="shared" si="3"/>
        <v>144761.90476190468</v>
      </c>
      <c r="I50" s="13"/>
      <c r="J50" s="13"/>
      <c r="K50" s="13"/>
      <c r="L50" s="13"/>
      <c r="M50" s="13"/>
      <c r="N50" s="13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75" customHeight="1">
      <c r="A51" s="37"/>
      <c r="B51" s="38">
        <f t="shared" si="4"/>
        <v>41</v>
      </c>
      <c r="C51" s="11">
        <f t="shared" si="5"/>
        <v>144761.90476190468</v>
      </c>
      <c r="D51" s="11">
        <f t="shared" si="0"/>
        <v>875.07399208794334</v>
      </c>
      <c r="E51" s="11">
        <f t="shared" si="1"/>
        <v>145636.97875399262</v>
      </c>
      <c r="F51" s="11">
        <f t="shared" si="6"/>
        <v>380.95238095238096</v>
      </c>
      <c r="G51" s="11">
        <f t="shared" si="2"/>
        <v>1256.0263730403244</v>
      </c>
      <c r="H51" s="11">
        <f t="shared" si="3"/>
        <v>144380.95238095228</v>
      </c>
      <c r="I51" s="13"/>
      <c r="J51" s="13"/>
      <c r="K51" s="13"/>
      <c r="L51" s="13"/>
      <c r="M51" s="13"/>
      <c r="N51" s="13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75" customHeight="1">
      <c r="A52" s="37"/>
      <c r="B52" s="38">
        <f t="shared" si="4"/>
        <v>42</v>
      </c>
      <c r="C52" s="11">
        <f t="shared" si="5"/>
        <v>144380.95238095228</v>
      </c>
      <c r="D52" s="11">
        <f t="shared" si="0"/>
        <v>872.7711657929749</v>
      </c>
      <c r="E52" s="11">
        <f t="shared" si="1"/>
        <v>145253.72354674526</v>
      </c>
      <c r="F52" s="11">
        <f t="shared" si="6"/>
        <v>380.95238095238096</v>
      </c>
      <c r="G52" s="11">
        <f t="shared" si="2"/>
        <v>1253.7235467453559</v>
      </c>
      <c r="H52" s="11">
        <f t="shared" si="3"/>
        <v>143999.99999999991</v>
      </c>
      <c r="I52" s="13"/>
      <c r="J52" s="13"/>
      <c r="K52" s="13"/>
      <c r="L52" s="13"/>
      <c r="M52" s="13"/>
      <c r="N52" s="13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75" customHeight="1">
      <c r="A53" s="37"/>
      <c r="B53" s="38">
        <f t="shared" si="4"/>
        <v>43</v>
      </c>
      <c r="C53" s="11">
        <f t="shared" si="5"/>
        <v>143999.99999999991</v>
      </c>
      <c r="D53" s="11">
        <f t="shared" si="0"/>
        <v>870.4683394980068</v>
      </c>
      <c r="E53" s="11">
        <f t="shared" si="1"/>
        <v>144870.46833949792</v>
      </c>
      <c r="F53" s="11">
        <f t="shared" si="6"/>
        <v>380.95238095238096</v>
      </c>
      <c r="G53" s="11">
        <f t="shared" si="2"/>
        <v>1251.4207204503878</v>
      </c>
      <c r="H53" s="11">
        <f t="shared" si="3"/>
        <v>143619.04761904755</v>
      </c>
      <c r="I53" s="13"/>
      <c r="J53" s="13"/>
      <c r="K53" s="13"/>
      <c r="L53" s="13"/>
      <c r="M53" s="13"/>
      <c r="N53" s="13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75" customHeight="1">
      <c r="A54" s="37"/>
      <c r="B54" s="38">
        <f t="shared" si="4"/>
        <v>44</v>
      </c>
      <c r="C54" s="11">
        <f t="shared" si="5"/>
        <v>143619.04761904755</v>
      </c>
      <c r="D54" s="11">
        <f t="shared" si="0"/>
        <v>868.16551320303859</v>
      </c>
      <c r="E54" s="11">
        <f t="shared" si="1"/>
        <v>144487.21313225059</v>
      </c>
      <c r="F54" s="11">
        <f t="shared" si="6"/>
        <v>380.95238095238096</v>
      </c>
      <c r="G54" s="11">
        <f t="shared" si="2"/>
        <v>1249.1178941554194</v>
      </c>
      <c r="H54" s="11">
        <f t="shared" si="3"/>
        <v>143238.09523809518</v>
      </c>
      <c r="I54" s="13"/>
      <c r="J54" s="13"/>
      <c r="K54" s="13"/>
      <c r="L54" s="13"/>
      <c r="M54" s="13"/>
      <c r="N54" s="13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75" customHeight="1">
      <c r="A55" s="37"/>
      <c r="B55" s="38">
        <f t="shared" si="4"/>
        <v>45</v>
      </c>
      <c r="C55" s="11">
        <f t="shared" si="5"/>
        <v>143238.09523809518</v>
      </c>
      <c r="D55" s="11">
        <f t="shared" si="0"/>
        <v>865.86268690807037</v>
      </c>
      <c r="E55" s="11">
        <f t="shared" si="1"/>
        <v>144103.95792500325</v>
      </c>
      <c r="F55" s="11">
        <f t="shared" si="6"/>
        <v>380.95238095238096</v>
      </c>
      <c r="G55" s="11">
        <f t="shared" si="2"/>
        <v>1246.8150678604513</v>
      </c>
      <c r="H55" s="11">
        <f t="shared" si="3"/>
        <v>142857.14285714281</v>
      </c>
      <c r="I55" s="13"/>
      <c r="J55" s="13"/>
      <c r="K55" s="13"/>
      <c r="L55" s="13"/>
      <c r="M55" s="13"/>
      <c r="N55" s="13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75" customHeight="1">
      <c r="A56" s="37"/>
      <c r="B56" s="38">
        <f t="shared" si="4"/>
        <v>46</v>
      </c>
      <c r="C56" s="11">
        <f t="shared" si="5"/>
        <v>142857.14285714281</v>
      </c>
      <c r="D56" s="11">
        <f t="shared" si="0"/>
        <v>863.55986061310216</v>
      </c>
      <c r="E56" s="11">
        <f t="shared" si="1"/>
        <v>143720.70271775592</v>
      </c>
      <c r="F56" s="11">
        <f t="shared" si="6"/>
        <v>380.95238095238096</v>
      </c>
      <c r="G56" s="11">
        <f t="shared" si="2"/>
        <v>1244.5122415654832</v>
      </c>
      <c r="H56" s="11">
        <f t="shared" si="3"/>
        <v>142476.19047619044</v>
      </c>
      <c r="I56" s="13"/>
      <c r="J56" s="13"/>
      <c r="K56" s="13"/>
      <c r="L56" s="13"/>
      <c r="M56" s="13"/>
      <c r="N56" s="13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75" customHeight="1">
      <c r="A57" s="37"/>
      <c r="B57" s="38">
        <f t="shared" si="4"/>
        <v>47</v>
      </c>
      <c r="C57" s="11">
        <f t="shared" si="5"/>
        <v>142476.19047619044</v>
      </c>
      <c r="D57" s="11">
        <f t="shared" si="0"/>
        <v>861.25703431813395</v>
      </c>
      <c r="E57" s="11">
        <f t="shared" si="1"/>
        <v>143337.44751050859</v>
      </c>
      <c r="F57" s="11">
        <f t="shared" si="6"/>
        <v>380.95238095238096</v>
      </c>
      <c r="G57" s="11">
        <f t="shared" si="2"/>
        <v>1242.2094152705149</v>
      </c>
      <c r="H57" s="11">
        <f t="shared" si="3"/>
        <v>142095.23809523808</v>
      </c>
      <c r="I57" s="13"/>
      <c r="J57" s="13"/>
      <c r="K57" s="13"/>
      <c r="L57" s="13"/>
      <c r="M57" s="13"/>
      <c r="N57" s="13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75" customHeight="1">
      <c r="A58" s="37"/>
      <c r="B58" s="38">
        <f t="shared" si="4"/>
        <v>48</v>
      </c>
      <c r="C58" s="11">
        <f t="shared" si="5"/>
        <v>142095.23809523808</v>
      </c>
      <c r="D58" s="11">
        <f t="shared" si="0"/>
        <v>858.95420802316585</v>
      </c>
      <c r="E58" s="11">
        <f t="shared" si="1"/>
        <v>142954.19230326125</v>
      </c>
      <c r="F58" s="11">
        <f t="shared" si="6"/>
        <v>380.95238095238096</v>
      </c>
      <c r="G58" s="11">
        <f t="shared" si="2"/>
        <v>1239.9065889755468</v>
      </c>
      <c r="H58" s="11">
        <f t="shared" si="3"/>
        <v>141714.28571428571</v>
      </c>
      <c r="I58" s="13"/>
      <c r="J58" s="13"/>
      <c r="K58" s="13"/>
      <c r="L58" s="13"/>
      <c r="M58" s="13"/>
      <c r="N58" s="13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75" customHeight="1">
      <c r="A59" s="37"/>
      <c r="B59" s="38">
        <f t="shared" si="4"/>
        <v>49</v>
      </c>
      <c r="C59" s="11">
        <f t="shared" si="5"/>
        <v>141714.28571428571</v>
      </c>
      <c r="D59" s="11">
        <f t="shared" si="0"/>
        <v>856.65138172819763</v>
      </c>
      <c r="E59" s="11">
        <f t="shared" si="1"/>
        <v>142570.93709601392</v>
      </c>
      <c r="F59" s="11">
        <f t="shared" si="6"/>
        <v>380.95238095238096</v>
      </c>
      <c r="G59" s="11">
        <f t="shared" si="2"/>
        <v>1237.6037626805787</v>
      </c>
      <c r="H59" s="11">
        <f t="shared" si="3"/>
        <v>141333.33333333334</v>
      </c>
      <c r="I59" s="13"/>
      <c r="J59" s="13"/>
      <c r="K59" s="13"/>
      <c r="L59" s="13"/>
      <c r="M59" s="13"/>
      <c r="N59" s="13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75" customHeight="1">
      <c r="A60" s="37"/>
      <c r="B60" s="38">
        <f t="shared" si="4"/>
        <v>50</v>
      </c>
      <c r="C60" s="11">
        <f t="shared" si="5"/>
        <v>141333.33333333334</v>
      </c>
      <c r="D60" s="11">
        <f t="shared" si="0"/>
        <v>854.34855543322942</v>
      </c>
      <c r="E60" s="11">
        <f t="shared" si="1"/>
        <v>142187.68188876659</v>
      </c>
      <c r="F60" s="11">
        <f t="shared" si="6"/>
        <v>380.95238095238096</v>
      </c>
      <c r="G60" s="11">
        <f t="shared" si="2"/>
        <v>1235.3009363856104</v>
      </c>
      <c r="H60" s="11">
        <f t="shared" si="3"/>
        <v>140952.38095238098</v>
      </c>
      <c r="I60" s="13"/>
      <c r="J60" s="13"/>
      <c r="K60" s="13"/>
      <c r="L60" s="13"/>
      <c r="M60" s="13"/>
      <c r="N60" s="13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75" customHeight="1">
      <c r="A61" s="37"/>
      <c r="B61" s="38">
        <f t="shared" si="4"/>
        <v>51</v>
      </c>
      <c r="C61" s="11">
        <f t="shared" si="5"/>
        <v>140952.38095238098</v>
      </c>
      <c r="D61" s="11">
        <f t="shared" si="0"/>
        <v>852.04572913826121</v>
      </c>
      <c r="E61" s="11">
        <f t="shared" si="1"/>
        <v>141804.42668151922</v>
      </c>
      <c r="F61" s="11">
        <f t="shared" si="6"/>
        <v>380.95238095238096</v>
      </c>
      <c r="G61" s="11">
        <f t="shared" si="2"/>
        <v>1232.9981100906421</v>
      </c>
      <c r="H61" s="11">
        <f t="shared" si="3"/>
        <v>140571.42857142858</v>
      </c>
      <c r="I61" s="13"/>
      <c r="J61" s="13"/>
      <c r="K61" s="13"/>
      <c r="L61" s="13"/>
      <c r="M61" s="13"/>
      <c r="N61" s="13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75" customHeight="1">
      <c r="A62" s="37"/>
      <c r="B62" s="38">
        <f t="shared" si="4"/>
        <v>52</v>
      </c>
      <c r="C62" s="11">
        <f t="shared" si="5"/>
        <v>140571.42857142858</v>
      </c>
      <c r="D62" s="11">
        <f t="shared" si="0"/>
        <v>849.74290284329288</v>
      </c>
      <c r="E62" s="11">
        <f t="shared" si="1"/>
        <v>141421.17147427186</v>
      </c>
      <c r="F62" s="11">
        <f t="shared" si="6"/>
        <v>380.95238095238096</v>
      </c>
      <c r="G62" s="11">
        <f t="shared" si="2"/>
        <v>1230.6952837956737</v>
      </c>
      <c r="H62" s="11">
        <f t="shared" si="3"/>
        <v>140190.47619047618</v>
      </c>
      <c r="I62" s="13"/>
      <c r="J62" s="13"/>
      <c r="K62" s="13"/>
      <c r="L62" s="13"/>
      <c r="M62" s="13"/>
      <c r="N62" s="13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75" customHeight="1">
      <c r="A63" s="37"/>
      <c r="B63" s="38">
        <f t="shared" si="4"/>
        <v>53</v>
      </c>
      <c r="C63" s="11">
        <f t="shared" si="5"/>
        <v>140190.47619047618</v>
      </c>
      <c r="D63" s="11">
        <f t="shared" si="0"/>
        <v>847.44007654832456</v>
      </c>
      <c r="E63" s="11">
        <f t="shared" si="1"/>
        <v>141037.9162670245</v>
      </c>
      <c r="F63" s="11">
        <f t="shared" si="6"/>
        <v>380.95238095238096</v>
      </c>
      <c r="G63" s="11">
        <f t="shared" si="2"/>
        <v>1228.3924575007054</v>
      </c>
      <c r="H63" s="11">
        <f t="shared" si="3"/>
        <v>139809.52380952379</v>
      </c>
      <c r="I63" s="13"/>
      <c r="J63" s="13"/>
      <c r="K63" s="13"/>
      <c r="L63" s="13"/>
      <c r="M63" s="13"/>
      <c r="N63" s="13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75" customHeight="1">
      <c r="A64" s="37"/>
      <c r="B64" s="38">
        <f t="shared" si="4"/>
        <v>54</v>
      </c>
      <c r="C64" s="11">
        <f t="shared" si="5"/>
        <v>139809.52380952379</v>
      </c>
      <c r="D64" s="11">
        <f t="shared" si="0"/>
        <v>845.13725025335611</v>
      </c>
      <c r="E64" s="11">
        <f t="shared" si="1"/>
        <v>140654.66105977714</v>
      </c>
      <c r="F64" s="11">
        <f t="shared" si="6"/>
        <v>380.95238095238096</v>
      </c>
      <c r="G64" s="11">
        <f t="shared" si="2"/>
        <v>1226.0896312057371</v>
      </c>
      <c r="H64" s="11">
        <f t="shared" si="3"/>
        <v>139428.57142857139</v>
      </c>
      <c r="I64" s="13"/>
      <c r="J64" s="13"/>
      <c r="K64" s="13"/>
      <c r="L64" s="13"/>
      <c r="M64" s="13"/>
      <c r="N64" s="13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75" customHeight="1">
      <c r="A65" s="37"/>
      <c r="B65" s="38">
        <f t="shared" si="4"/>
        <v>55</v>
      </c>
      <c r="C65" s="11">
        <f t="shared" si="5"/>
        <v>139428.57142857139</v>
      </c>
      <c r="D65" s="11">
        <f t="shared" si="0"/>
        <v>842.83442395838779</v>
      </c>
      <c r="E65" s="11">
        <f t="shared" si="1"/>
        <v>140271.40585252977</v>
      </c>
      <c r="F65" s="11">
        <f t="shared" si="6"/>
        <v>380.95238095238096</v>
      </c>
      <c r="G65" s="11">
        <f t="shared" si="2"/>
        <v>1223.7868049107688</v>
      </c>
      <c r="H65" s="11">
        <f t="shared" si="3"/>
        <v>139047.61904761899</v>
      </c>
      <c r="I65" s="13"/>
      <c r="J65" s="13"/>
      <c r="K65" s="13"/>
      <c r="L65" s="13"/>
      <c r="M65" s="13"/>
      <c r="N65" s="13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75" customHeight="1">
      <c r="A66" s="37"/>
      <c r="B66" s="38">
        <f t="shared" si="4"/>
        <v>56</v>
      </c>
      <c r="C66" s="11">
        <f t="shared" si="5"/>
        <v>139047.61904761899</v>
      </c>
      <c r="D66" s="11">
        <f t="shared" si="0"/>
        <v>840.53159766341946</v>
      </c>
      <c r="E66" s="11">
        <f t="shared" si="1"/>
        <v>139888.15064528241</v>
      </c>
      <c r="F66" s="11">
        <f t="shared" si="6"/>
        <v>380.95238095238096</v>
      </c>
      <c r="G66" s="11">
        <f t="shared" si="2"/>
        <v>1221.4839786158004</v>
      </c>
      <c r="H66" s="11">
        <f t="shared" si="3"/>
        <v>138666.6666666666</v>
      </c>
      <c r="I66" s="13"/>
      <c r="J66" s="13"/>
      <c r="K66" s="13"/>
      <c r="L66" s="13"/>
      <c r="M66" s="13"/>
      <c r="N66" s="13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75" customHeight="1">
      <c r="A67" s="37"/>
      <c r="B67" s="38">
        <f t="shared" si="4"/>
        <v>57</v>
      </c>
      <c r="C67" s="11">
        <f t="shared" si="5"/>
        <v>138666.6666666666</v>
      </c>
      <c r="D67" s="11">
        <f t="shared" si="0"/>
        <v>838.22877136845102</v>
      </c>
      <c r="E67" s="11">
        <f t="shared" si="1"/>
        <v>139504.89543803505</v>
      </c>
      <c r="F67" s="11">
        <f t="shared" si="6"/>
        <v>380.95238095238096</v>
      </c>
      <c r="G67" s="11">
        <f t="shared" si="2"/>
        <v>1219.1811523208321</v>
      </c>
      <c r="H67" s="11">
        <f t="shared" si="3"/>
        <v>138285.7142857142</v>
      </c>
      <c r="I67" s="13"/>
      <c r="J67" s="13"/>
      <c r="K67" s="13"/>
      <c r="L67" s="13"/>
      <c r="M67" s="13"/>
      <c r="N67" s="13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75" customHeight="1">
      <c r="A68" s="37"/>
      <c r="B68" s="38">
        <f t="shared" si="4"/>
        <v>58</v>
      </c>
      <c r="C68" s="11">
        <f t="shared" si="5"/>
        <v>138285.7142857142</v>
      </c>
      <c r="D68" s="11">
        <f t="shared" si="0"/>
        <v>835.92594507348269</v>
      </c>
      <c r="E68" s="11">
        <f t="shared" si="1"/>
        <v>139121.64023078769</v>
      </c>
      <c r="F68" s="11">
        <f t="shared" si="6"/>
        <v>380.95238095238096</v>
      </c>
      <c r="G68" s="11">
        <f t="shared" si="2"/>
        <v>1216.8783260258638</v>
      </c>
      <c r="H68" s="11">
        <f t="shared" si="3"/>
        <v>137904.76190476184</v>
      </c>
      <c r="I68" s="13"/>
      <c r="J68" s="13"/>
      <c r="K68" s="13"/>
      <c r="L68" s="13"/>
      <c r="M68" s="13"/>
      <c r="N68" s="13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75" customHeight="1">
      <c r="A69" s="37"/>
      <c r="B69" s="38">
        <f t="shared" si="4"/>
        <v>59</v>
      </c>
      <c r="C69" s="11">
        <f t="shared" si="5"/>
        <v>137904.76190476184</v>
      </c>
      <c r="D69" s="11">
        <f t="shared" si="0"/>
        <v>833.62311877851448</v>
      </c>
      <c r="E69" s="11">
        <f t="shared" si="1"/>
        <v>138738.38502354035</v>
      </c>
      <c r="F69" s="11">
        <f t="shared" si="6"/>
        <v>380.95238095238096</v>
      </c>
      <c r="G69" s="11">
        <f t="shared" si="2"/>
        <v>1214.5754997308954</v>
      </c>
      <c r="H69" s="11">
        <f t="shared" si="3"/>
        <v>137523.80952380947</v>
      </c>
      <c r="I69" s="13"/>
      <c r="J69" s="13"/>
      <c r="K69" s="13"/>
      <c r="L69" s="13"/>
      <c r="M69" s="13"/>
      <c r="N69" s="13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75" customHeight="1">
      <c r="A70" s="37"/>
      <c r="B70" s="38">
        <f t="shared" si="4"/>
        <v>60</v>
      </c>
      <c r="C70" s="11">
        <f t="shared" si="5"/>
        <v>137523.80952380947</v>
      </c>
      <c r="D70" s="11">
        <f t="shared" si="0"/>
        <v>831.32029248354627</v>
      </c>
      <c r="E70" s="11">
        <f t="shared" si="1"/>
        <v>138355.12981629302</v>
      </c>
      <c r="F70" s="11">
        <f t="shared" si="6"/>
        <v>380.95238095238096</v>
      </c>
      <c r="G70" s="11">
        <f t="shared" si="2"/>
        <v>1212.2726734359271</v>
      </c>
      <c r="H70" s="11">
        <f t="shared" si="3"/>
        <v>137142.8571428571</v>
      </c>
      <c r="I70" s="13"/>
      <c r="J70" s="13"/>
      <c r="K70" s="13"/>
      <c r="L70" s="13"/>
      <c r="M70" s="13"/>
      <c r="N70" s="13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75" customHeight="1">
      <c r="A71" s="37"/>
      <c r="B71" s="38">
        <f t="shared" si="4"/>
        <v>61</v>
      </c>
      <c r="C71" s="11">
        <f t="shared" si="5"/>
        <v>137142.8571428571</v>
      </c>
      <c r="D71" s="11">
        <f t="shared" si="0"/>
        <v>829.01746618857817</v>
      </c>
      <c r="E71" s="11">
        <f t="shared" si="1"/>
        <v>137971.87460904568</v>
      </c>
      <c r="F71" s="11">
        <f t="shared" si="6"/>
        <v>380.95238095238096</v>
      </c>
      <c r="G71" s="11">
        <f t="shared" si="2"/>
        <v>1209.9698471409592</v>
      </c>
      <c r="H71" s="11">
        <f t="shared" si="3"/>
        <v>136761.90476190473</v>
      </c>
      <c r="I71" s="13"/>
      <c r="J71" s="13"/>
      <c r="K71" s="13"/>
      <c r="L71" s="13"/>
      <c r="M71" s="13"/>
      <c r="N71" s="13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75" customHeight="1">
      <c r="A72" s="37"/>
      <c r="B72" s="38">
        <f t="shared" si="4"/>
        <v>62</v>
      </c>
      <c r="C72" s="11">
        <f t="shared" si="5"/>
        <v>136761.90476190473</v>
      </c>
      <c r="D72" s="11">
        <f t="shared" si="0"/>
        <v>826.71463989360996</v>
      </c>
      <c r="E72" s="11">
        <f t="shared" si="1"/>
        <v>137588.61940179835</v>
      </c>
      <c r="F72" s="11">
        <f t="shared" si="6"/>
        <v>380.95238095238096</v>
      </c>
      <c r="G72" s="11">
        <f t="shared" si="2"/>
        <v>1207.6670208459909</v>
      </c>
      <c r="H72" s="11">
        <f t="shared" si="3"/>
        <v>136380.95238095237</v>
      </c>
      <c r="I72" s="13"/>
      <c r="J72" s="13"/>
      <c r="K72" s="13"/>
      <c r="L72" s="13"/>
      <c r="M72" s="13"/>
      <c r="N72" s="13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75" customHeight="1">
      <c r="A73" s="37"/>
      <c r="B73" s="38">
        <f t="shared" si="4"/>
        <v>63</v>
      </c>
      <c r="C73" s="11">
        <f t="shared" si="5"/>
        <v>136380.95238095237</v>
      </c>
      <c r="D73" s="11">
        <f t="shared" si="0"/>
        <v>824.41181359864174</v>
      </c>
      <c r="E73" s="11">
        <f t="shared" si="1"/>
        <v>137205.36419455102</v>
      </c>
      <c r="F73" s="11">
        <f t="shared" si="6"/>
        <v>380.95238095238096</v>
      </c>
      <c r="G73" s="11">
        <f t="shared" si="2"/>
        <v>1205.3641945510226</v>
      </c>
      <c r="H73" s="11">
        <f t="shared" si="3"/>
        <v>136000</v>
      </c>
      <c r="I73" s="13"/>
      <c r="J73" s="13"/>
      <c r="K73" s="13"/>
      <c r="L73" s="13"/>
      <c r="M73" s="13"/>
      <c r="N73" s="13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75" customHeight="1">
      <c r="A74" s="37"/>
      <c r="B74" s="38">
        <f t="shared" si="4"/>
        <v>64</v>
      </c>
      <c r="C74" s="11">
        <f t="shared" si="5"/>
        <v>136000</v>
      </c>
      <c r="D74" s="11">
        <f t="shared" si="0"/>
        <v>822.10898730367353</v>
      </c>
      <c r="E74" s="11">
        <f t="shared" si="1"/>
        <v>136822.10898730368</v>
      </c>
      <c r="F74" s="11">
        <f t="shared" si="6"/>
        <v>380.95238095238096</v>
      </c>
      <c r="G74" s="11">
        <f t="shared" si="2"/>
        <v>1203.0613682560545</v>
      </c>
      <c r="H74" s="11">
        <f t="shared" si="3"/>
        <v>135619.04761904763</v>
      </c>
      <c r="I74" s="13"/>
      <c r="J74" s="13"/>
      <c r="K74" s="13"/>
      <c r="L74" s="13"/>
      <c r="M74" s="13"/>
      <c r="N74" s="13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75" customHeight="1">
      <c r="A75" s="37"/>
      <c r="B75" s="38">
        <f t="shared" si="4"/>
        <v>65</v>
      </c>
      <c r="C75" s="11">
        <f t="shared" si="5"/>
        <v>135619.04761904763</v>
      </c>
      <c r="D75" s="11">
        <f t="shared" si="0"/>
        <v>819.80616100870532</v>
      </c>
      <c r="E75" s="11">
        <f t="shared" si="1"/>
        <v>136438.85378005635</v>
      </c>
      <c r="F75" s="11">
        <f t="shared" si="6"/>
        <v>380.95238095238096</v>
      </c>
      <c r="G75" s="11">
        <f t="shared" si="2"/>
        <v>1200.7585419610864</v>
      </c>
      <c r="H75" s="11">
        <f t="shared" si="3"/>
        <v>135238.09523809527</v>
      </c>
      <c r="I75" s="13"/>
      <c r="J75" s="13"/>
      <c r="K75" s="13"/>
      <c r="L75" s="13"/>
      <c r="M75" s="13"/>
      <c r="N75" s="13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75" customHeight="1">
      <c r="A76" s="37"/>
      <c r="B76" s="38">
        <f t="shared" si="4"/>
        <v>66</v>
      </c>
      <c r="C76" s="11">
        <f t="shared" si="5"/>
        <v>135238.09523809527</v>
      </c>
      <c r="D76" s="11">
        <f t="shared" si="0"/>
        <v>817.50333471373722</v>
      </c>
      <c r="E76" s="11">
        <f t="shared" si="1"/>
        <v>136055.59857280902</v>
      </c>
      <c r="F76" s="11">
        <f t="shared" si="6"/>
        <v>380.95238095238096</v>
      </c>
      <c r="G76" s="11">
        <f t="shared" si="2"/>
        <v>1198.4557156661181</v>
      </c>
      <c r="H76" s="11">
        <f t="shared" si="3"/>
        <v>134857.1428571429</v>
      </c>
      <c r="I76" s="13"/>
      <c r="J76" s="13"/>
      <c r="K76" s="13"/>
      <c r="L76" s="13"/>
      <c r="M76" s="13"/>
      <c r="N76" s="13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75" customHeight="1">
      <c r="A77" s="37"/>
      <c r="B77" s="38">
        <f t="shared" si="4"/>
        <v>67</v>
      </c>
      <c r="C77" s="11">
        <f t="shared" si="5"/>
        <v>134857.1428571429</v>
      </c>
      <c r="D77" s="11">
        <f t="shared" si="0"/>
        <v>815.200508418769</v>
      </c>
      <c r="E77" s="11">
        <f t="shared" si="1"/>
        <v>135672.34336556165</v>
      </c>
      <c r="F77" s="11">
        <f t="shared" si="6"/>
        <v>380.95238095238096</v>
      </c>
      <c r="G77" s="11">
        <f t="shared" si="2"/>
        <v>1196.15288937115</v>
      </c>
      <c r="H77" s="11">
        <f t="shared" si="3"/>
        <v>134476.1904761905</v>
      </c>
      <c r="I77" s="13"/>
      <c r="J77" s="13"/>
      <c r="K77" s="13"/>
      <c r="L77" s="13"/>
      <c r="M77" s="13"/>
      <c r="N77" s="13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75" customHeight="1">
      <c r="A78" s="37"/>
      <c r="B78" s="38">
        <f t="shared" si="4"/>
        <v>68</v>
      </c>
      <c r="C78" s="11">
        <f t="shared" si="5"/>
        <v>134476.1904761905</v>
      </c>
      <c r="D78" s="11">
        <f t="shared" si="0"/>
        <v>812.89768212380056</v>
      </c>
      <c r="E78" s="11">
        <f t="shared" si="1"/>
        <v>135289.08815831429</v>
      </c>
      <c r="F78" s="11">
        <f t="shared" si="6"/>
        <v>380.95238095238096</v>
      </c>
      <c r="G78" s="11">
        <f t="shared" si="2"/>
        <v>1193.8500630761814</v>
      </c>
      <c r="H78" s="11">
        <f t="shared" si="3"/>
        <v>134095.23809523811</v>
      </c>
      <c r="I78" s="13"/>
      <c r="J78" s="13"/>
      <c r="K78" s="13"/>
      <c r="L78" s="13"/>
      <c r="M78" s="13"/>
      <c r="N78" s="13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75" customHeight="1">
      <c r="A79" s="37"/>
      <c r="B79" s="38">
        <f t="shared" si="4"/>
        <v>69</v>
      </c>
      <c r="C79" s="11">
        <f t="shared" si="5"/>
        <v>134095.23809523811</v>
      </c>
      <c r="D79" s="11">
        <f t="shared" si="0"/>
        <v>810.59485582883224</v>
      </c>
      <c r="E79" s="11">
        <f t="shared" si="1"/>
        <v>134905.83295106693</v>
      </c>
      <c r="F79" s="11">
        <f t="shared" si="6"/>
        <v>380.95238095238096</v>
      </c>
      <c r="G79" s="11">
        <f t="shared" si="2"/>
        <v>1191.5472367812131</v>
      </c>
      <c r="H79" s="11">
        <f t="shared" si="3"/>
        <v>133714.28571428571</v>
      </c>
      <c r="I79" s="13"/>
      <c r="J79" s="13"/>
      <c r="K79" s="13"/>
      <c r="L79" s="13"/>
      <c r="M79" s="13"/>
      <c r="N79" s="13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75" customHeight="1">
      <c r="A80" s="37"/>
      <c r="B80" s="38">
        <f t="shared" si="4"/>
        <v>70</v>
      </c>
      <c r="C80" s="11">
        <f t="shared" si="5"/>
        <v>133714.28571428571</v>
      </c>
      <c r="D80" s="11">
        <f t="shared" si="0"/>
        <v>808.29202953386391</v>
      </c>
      <c r="E80" s="11">
        <f t="shared" si="1"/>
        <v>134522.57774381957</v>
      </c>
      <c r="F80" s="11">
        <f t="shared" si="6"/>
        <v>380.95238095238096</v>
      </c>
      <c r="G80" s="11">
        <f t="shared" si="2"/>
        <v>1189.2444104862448</v>
      </c>
      <c r="H80" s="11">
        <f t="shared" si="3"/>
        <v>133333.33333333331</v>
      </c>
      <c r="I80" s="13"/>
      <c r="J80" s="13"/>
      <c r="K80" s="13"/>
      <c r="L80" s="13"/>
      <c r="M80" s="13"/>
      <c r="N80" s="13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75" customHeight="1">
      <c r="A81" s="37"/>
      <c r="B81" s="38">
        <f t="shared" si="4"/>
        <v>71</v>
      </c>
      <c r="C81" s="11">
        <f t="shared" si="5"/>
        <v>133333.33333333331</v>
      </c>
      <c r="D81" s="11">
        <f t="shared" si="0"/>
        <v>805.98920323889547</v>
      </c>
      <c r="E81" s="11">
        <f t="shared" si="1"/>
        <v>134139.3225365722</v>
      </c>
      <c r="F81" s="11">
        <f t="shared" si="6"/>
        <v>380.95238095238096</v>
      </c>
      <c r="G81" s="11">
        <f t="shared" si="2"/>
        <v>1186.9415841912764</v>
      </c>
      <c r="H81" s="11">
        <f t="shared" si="3"/>
        <v>132952.38095238092</v>
      </c>
      <c r="I81" s="13"/>
      <c r="J81" s="13"/>
      <c r="K81" s="13"/>
      <c r="L81" s="13"/>
      <c r="M81" s="13"/>
      <c r="N81" s="13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75" customHeight="1">
      <c r="A82" s="37"/>
      <c r="B82" s="38">
        <f t="shared" si="4"/>
        <v>72</v>
      </c>
      <c r="C82" s="11">
        <f t="shared" si="5"/>
        <v>132952.38095238092</v>
      </c>
      <c r="D82" s="11">
        <f t="shared" si="0"/>
        <v>803.68637694392714</v>
      </c>
      <c r="E82" s="11">
        <f t="shared" si="1"/>
        <v>133756.06732932484</v>
      </c>
      <c r="F82" s="11">
        <f t="shared" si="6"/>
        <v>380.95238095238096</v>
      </c>
      <c r="G82" s="11">
        <f t="shared" si="2"/>
        <v>1184.6387578963081</v>
      </c>
      <c r="H82" s="11">
        <f t="shared" si="3"/>
        <v>132571.42857142852</v>
      </c>
      <c r="I82" s="13"/>
      <c r="J82" s="13"/>
      <c r="K82" s="13"/>
      <c r="L82" s="13"/>
      <c r="M82" s="13"/>
      <c r="N82" s="13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75" customHeight="1">
      <c r="A83" s="37"/>
      <c r="B83" s="38">
        <f t="shared" si="4"/>
        <v>73</v>
      </c>
      <c r="C83" s="11">
        <f t="shared" si="5"/>
        <v>132571.42857142852</v>
      </c>
      <c r="D83" s="11">
        <f t="shared" si="0"/>
        <v>801.38355064895882</v>
      </c>
      <c r="E83" s="11">
        <f t="shared" si="1"/>
        <v>133372.81212207748</v>
      </c>
      <c r="F83" s="11">
        <f t="shared" si="6"/>
        <v>380.95238095238096</v>
      </c>
      <c r="G83" s="11">
        <f t="shared" si="2"/>
        <v>1182.3359316013398</v>
      </c>
      <c r="H83" s="11">
        <f t="shared" si="3"/>
        <v>132190.47619047613</v>
      </c>
      <c r="I83" s="13"/>
      <c r="J83" s="13"/>
      <c r="K83" s="13"/>
      <c r="L83" s="13"/>
      <c r="M83" s="13"/>
      <c r="N83" s="13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75" customHeight="1">
      <c r="A84" s="37"/>
      <c r="B84" s="38">
        <f t="shared" si="4"/>
        <v>74</v>
      </c>
      <c r="C84" s="11">
        <f t="shared" si="5"/>
        <v>132190.47619047613</v>
      </c>
      <c r="D84" s="11">
        <f t="shared" si="0"/>
        <v>799.08072435399038</v>
      </c>
      <c r="E84" s="11">
        <f t="shared" si="1"/>
        <v>132989.55691483011</v>
      </c>
      <c r="F84" s="11">
        <f t="shared" si="6"/>
        <v>380.95238095238096</v>
      </c>
      <c r="G84" s="11">
        <f t="shared" si="2"/>
        <v>1180.0331053063715</v>
      </c>
      <c r="H84" s="11">
        <f t="shared" si="3"/>
        <v>131809.52380952373</v>
      </c>
      <c r="I84" s="13"/>
      <c r="J84" s="13"/>
      <c r="K84" s="13"/>
      <c r="L84" s="13"/>
      <c r="M84" s="13"/>
      <c r="N84" s="13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75" customHeight="1">
      <c r="A85" s="37"/>
      <c r="B85" s="38">
        <f t="shared" si="4"/>
        <v>75</v>
      </c>
      <c r="C85" s="11">
        <f t="shared" si="5"/>
        <v>131809.52380952373</v>
      </c>
      <c r="D85" s="11">
        <f t="shared" si="0"/>
        <v>796.77789805902205</v>
      </c>
      <c r="E85" s="11">
        <f t="shared" si="1"/>
        <v>132606.30170758275</v>
      </c>
      <c r="F85" s="11">
        <f t="shared" si="6"/>
        <v>380.95238095238096</v>
      </c>
      <c r="G85" s="11">
        <f t="shared" si="2"/>
        <v>1177.7302790114031</v>
      </c>
      <c r="H85" s="11">
        <f t="shared" si="3"/>
        <v>131428.57142857136</v>
      </c>
      <c r="I85" s="13"/>
      <c r="J85" s="13"/>
      <c r="K85" s="13"/>
      <c r="L85" s="13"/>
      <c r="M85" s="13"/>
      <c r="N85" s="13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75" customHeight="1">
      <c r="A86" s="37"/>
      <c r="B86" s="38">
        <f t="shared" si="4"/>
        <v>76</v>
      </c>
      <c r="C86" s="11">
        <f t="shared" si="5"/>
        <v>131428.57142857136</v>
      </c>
      <c r="D86" s="11">
        <f t="shared" si="0"/>
        <v>794.47507176405384</v>
      </c>
      <c r="E86" s="11">
        <f t="shared" si="1"/>
        <v>132223.04650033542</v>
      </c>
      <c r="F86" s="11">
        <f t="shared" si="6"/>
        <v>380.95238095238096</v>
      </c>
      <c r="G86" s="11">
        <f t="shared" si="2"/>
        <v>1175.4274527164348</v>
      </c>
      <c r="H86" s="11">
        <f t="shared" si="3"/>
        <v>131047.61904761898</v>
      </c>
      <c r="I86" s="13"/>
      <c r="J86" s="13"/>
      <c r="K86" s="13"/>
      <c r="L86" s="13"/>
      <c r="M86" s="13"/>
      <c r="N86" s="13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75" customHeight="1">
      <c r="A87" s="37"/>
      <c r="B87" s="38">
        <f t="shared" si="4"/>
        <v>77</v>
      </c>
      <c r="C87" s="11">
        <f t="shared" si="5"/>
        <v>131047.61904761898</v>
      </c>
      <c r="D87" s="11">
        <f t="shared" si="0"/>
        <v>792.17224546908562</v>
      </c>
      <c r="E87" s="11">
        <f t="shared" si="1"/>
        <v>131839.79129308806</v>
      </c>
      <c r="F87" s="11">
        <f t="shared" si="6"/>
        <v>380.95238095238096</v>
      </c>
      <c r="G87" s="11">
        <f t="shared" si="2"/>
        <v>1173.1246264214665</v>
      </c>
      <c r="H87" s="11">
        <f t="shared" si="3"/>
        <v>130666.66666666658</v>
      </c>
      <c r="I87" s="13"/>
      <c r="J87" s="13"/>
      <c r="K87" s="13"/>
      <c r="L87" s="13"/>
      <c r="M87" s="13"/>
      <c r="N87" s="13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75" customHeight="1">
      <c r="A88" s="37"/>
      <c r="B88" s="38">
        <f t="shared" si="4"/>
        <v>78</v>
      </c>
      <c r="C88" s="11">
        <f t="shared" si="5"/>
        <v>130666.66666666658</v>
      </c>
      <c r="D88" s="11">
        <f t="shared" si="0"/>
        <v>789.86941917411718</v>
      </c>
      <c r="E88" s="11">
        <f t="shared" si="1"/>
        <v>131456.53608584069</v>
      </c>
      <c r="F88" s="11">
        <f t="shared" si="6"/>
        <v>380.95238095238096</v>
      </c>
      <c r="G88" s="11">
        <f t="shared" si="2"/>
        <v>1170.8218001264981</v>
      </c>
      <c r="H88" s="11">
        <f t="shared" si="3"/>
        <v>130285.71428571419</v>
      </c>
      <c r="I88" s="13"/>
      <c r="J88" s="13"/>
      <c r="K88" s="13"/>
      <c r="L88" s="13"/>
      <c r="M88" s="13"/>
      <c r="N88" s="13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75" customHeight="1">
      <c r="A89" s="37"/>
      <c r="B89" s="38">
        <f t="shared" si="4"/>
        <v>79</v>
      </c>
      <c r="C89" s="11">
        <f t="shared" si="5"/>
        <v>130285.71428571419</v>
      </c>
      <c r="D89" s="11">
        <f t="shared" si="0"/>
        <v>787.56659287914886</v>
      </c>
      <c r="E89" s="11">
        <f t="shared" si="1"/>
        <v>131073.28087859333</v>
      </c>
      <c r="F89" s="11">
        <f t="shared" si="6"/>
        <v>380.95238095238096</v>
      </c>
      <c r="G89" s="11">
        <f t="shared" si="2"/>
        <v>1168.5189738315298</v>
      </c>
      <c r="H89" s="11">
        <f t="shared" si="3"/>
        <v>129904.76190476181</v>
      </c>
      <c r="I89" s="13"/>
      <c r="J89" s="13"/>
      <c r="K89" s="13"/>
      <c r="L89" s="13"/>
      <c r="M89" s="13"/>
      <c r="N89" s="13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75" customHeight="1">
      <c r="A90" s="37"/>
      <c r="B90" s="38">
        <f t="shared" si="4"/>
        <v>80</v>
      </c>
      <c r="C90" s="11">
        <f t="shared" si="5"/>
        <v>129904.76190476181</v>
      </c>
      <c r="D90" s="11">
        <f t="shared" si="0"/>
        <v>785.26376658418053</v>
      </c>
      <c r="E90" s="11">
        <f t="shared" si="1"/>
        <v>130690.02567134598</v>
      </c>
      <c r="F90" s="11">
        <f t="shared" si="6"/>
        <v>380.95238095238096</v>
      </c>
      <c r="G90" s="11">
        <f t="shared" si="2"/>
        <v>1166.2161475365615</v>
      </c>
      <c r="H90" s="11">
        <f t="shared" si="3"/>
        <v>129523.80952380942</v>
      </c>
      <c r="I90" s="13"/>
      <c r="J90" s="13"/>
      <c r="K90" s="13"/>
      <c r="L90" s="13"/>
      <c r="M90" s="13"/>
      <c r="N90" s="13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75" customHeight="1">
      <c r="A91" s="37"/>
      <c r="B91" s="38">
        <f t="shared" si="4"/>
        <v>81</v>
      </c>
      <c r="C91" s="11">
        <f t="shared" si="5"/>
        <v>129523.80952380942</v>
      </c>
      <c r="D91" s="11">
        <f t="shared" si="0"/>
        <v>782.96094028921232</v>
      </c>
      <c r="E91" s="11">
        <f t="shared" si="1"/>
        <v>130306.77046409863</v>
      </c>
      <c r="F91" s="11">
        <f t="shared" si="6"/>
        <v>380.95238095238096</v>
      </c>
      <c r="G91" s="11">
        <f t="shared" si="2"/>
        <v>1163.9133212415932</v>
      </c>
      <c r="H91" s="11">
        <f t="shared" si="3"/>
        <v>129142.85714285704</v>
      </c>
      <c r="I91" s="13"/>
      <c r="J91" s="13"/>
      <c r="K91" s="13"/>
      <c r="L91" s="13"/>
      <c r="M91" s="13"/>
      <c r="N91" s="13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75" customHeight="1">
      <c r="A92" s="37"/>
      <c r="B92" s="38">
        <f t="shared" si="4"/>
        <v>82</v>
      </c>
      <c r="C92" s="11">
        <f t="shared" si="5"/>
        <v>129142.85714285704</v>
      </c>
      <c r="D92" s="11">
        <f t="shared" si="0"/>
        <v>780.65811399424399</v>
      </c>
      <c r="E92" s="11">
        <f t="shared" si="1"/>
        <v>129923.51525685129</v>
      </c>
      <c r="F92" s="11">
        <f t="shared" si="6"/>
        <v>380.95238095238096</v>
      </c>
      <c r="G92" s="11">
        <f t="shared" si="2"/>
        <v>1161.6104949466248</v>
      </c>
      <c r="H92" s="11">
        <f t="shared" si="3"/>
        <v>128761.90476190466</v>
      </c>
      <c r="I92" s="13"/>
      <c r="J92" s="13"/>
      <c r="K92" s="13"/>
      <c r="L92" s="13"/>
      <c r="M92" s="13"/>
      <c r="N92" s="13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75" customHeight="1">
      <c r="A93" s="37"/>
      <c r="B93" s="38">
        <f t="shared" si="4"/>
        <v>83</v>
      </c>
      <c r="C93" s="11">
        <f t="shared" si="5"/>
        <v>128761.90476190466</v>
      </c>
      <c r="D93" s="11">
        <f t="shared" si="0"/>
        <v>778.35528769927578</v>
      </c>
      <c r="E93" s="11">
        <f t="shared" si="1"/>
        <v>129540.26004960394</v>
      </c>
      <c r="F93" s="11">
        <f t="shared" si="6"/>
        <v>380.95238095238096</v>
      </c>
      <c r="G93" s="11">
        <f t="shared" si="2"/>
        <v>1159.3076686516567</v>
      </c>
      <c r="H93" s="11">
        <f t="shared" si="3"/>
        <v>128380.95238095228</v>
      </c>
      <c r="I93" s="13"/>
      <c r="J93" s="13"/>
      <c r="K93" s="13"/>
      <c r="L93" s="13"/>
      <c r="M93" s="13"/>
      <c r="N93" s="13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75" customHeight="1">
      <c r="A94" s="37"/>
      <c r="B94" s="38">
        <f t="shared" si="4"/>
        <v>84</v>
      </c>
      <c r="C94" s="11">
        <f t="shared" si="5"/>
        <v>128380.95238095228</v>
      </c>
      <c r="D94" s="11">
        <f t="shared" si="0"/>
        <v>776.05246140430745</v>
      </c>
      <c r="E94" s="11">
        <f t="shared" si="1"/>
        <v>129157.00484235659</v>
      </c>
      <c r="F94" s="11">
        <f t="shared" si="6"/>
        <v>380.95238095238096</v>
      </c>
      <c r="G94" s="11">
        <f t="shared" si="2"/>
        <v>1157.0048423566884</v>
      </c>
      <c r="H94" s="11">
        <f t="shared" si="3"/>
        <v>127999.9999999999</v>
      </c>
      <c r="I94" s="13"/>
      <c r="J94" s="13"/>
      <c r="K94" s="13"/>
      <c r="L94" s="13"/>
      <c r="M94" s="13"/>
      <c r="N94" s="13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75" customHeight="1">
      <c r="A95" s="37"/>
      <c r="B95" s="38">
        <f t="shared" si="4"/>
        <v>85</v>
      </c>
      <c r="C95" s="11">
        <f t="shared" si="5"/>
        <v>127999.9999999999</v>
      </c>
      <c r="D95" s="11">
        <f t="shared" si="0"/>
        <v>773.74963510933924</v>
      </c>
      <c r="E95" s="11">
        <f t="shared" si="1"/>
        <v>128773.74963510924</v>
      </c>
      <c r="F95" s="11">
        <f t="shared" si="6"/>
        <v>380.95238095238096</v>
      </c>
      <c r="G95" s="11">
        <f t="shared" si="2"/>
        <v>1154.7020160617203</v>
      </c>
      <c r="H95" s="11">
        <f t="shared" si="3"/>
        <v>127619.04761904752</v>
      </c>
      <c r="I95" s="13"/>
      <c r="J95" s="13"/>
      <c r="K95" s="13"/>
      <c r="L95" s="13"/>
      <c r="M95" s="13"/>
      <c r="N95" s="13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75" customHeight="1">
      <c r="A96" s="37"/>
      <c r="B96" s="38">
        <f t="shared" si="4"/>
        <v>86</v>
      </c>
      <c r="C96" s="11">
        <f t="shared" si="5"/>
        <v>127619.04761904752</v>
      </c>
      <c r="D96" s="11">
        <f t="shared" si="0"/>
        <v>771.44680881437091</v>
      </c>
      <c r="E96" s="11">
        <f t="shared" si="1"/>
        <v>128390.49442786189</v>
      </c>
      <c r="F96" s="11">
        <f t="shared" si="6"/>
        <v>380.95238095238096</v>
      </c>
      <c r="G96" s="11">
        <f t="shared" si="2"/>
        <v>1152.399189766752</v>
      </c>
      <c r="H96" s="11">
        <f t="shared" si="3"/>
        <v>127238.09523809513</v>
      </c>
      <c r="I96" s="13"/>
      <c r="J96" s="13"/>
      <c r="K96" s="13"/>
      <c r="L96" s="13"/>
      <c r="M96" s="13"/>
      <c r="N96" s="13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75" customHeight="1">
      <c r="A97" s="37"/>
      <c r="B97" s="38">
        <f t="shared" si="4"/>
        <v>87</v>
      </c>
      <c r="C97" s="11">
        <f t="shared" si="5"/>
        <v>127238.09523809513</v>
      </c>
      <c r="D97" s="11">
        <f t="shared" si="0"/>
        <v>769.14398251940258</v>
      </c>
      <c r="E97" s="11">
        <f t="shared" si="1"/>
        <v>128007.23922061453</v>
      </c>
      <c r="F97" s="11">
        <f t="shared" si="6"/>
        <v>380.95238095238096</v>
      </c>
      <c r="G97" s="11">
        <f t="shared" si="2"/>
        <v>1150.0963634717837</v>
      </c>
      <c r="H97" s="11">
        <f t="shared" si="3"/>
        <v>126857.14285714275</v>
      </c>
      <c r="I97" s="13"/>
      <c r="J97" s="13"/>
      <c r="K97" s="13"/>
      <c r="L97" s="13"/>
      <c r="M97" s="13"/>
      <c r="N97" s="13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75" customHeight="1">
      <c r="A98" s="37"/>
      <c r="B98" s="38">
        <f t="shared" si="4"/>
        <v>88</v>
      </c>
      <c r="C98" s="11">
        <f t="shared" si="5"/>
        <v>126857.14285714275</v>
      </c>
      <c r="D98" s="11">
        <f t="shared" si="0"/>
        <v>766.84115622443437</v>
      </c>
      <c r="E98" s="11">
        <f t="shared" si="1"/>
        <v>127623.98401336718</v>
      </c>
      <c r="F98" s="11">
        <f t="shared" si="6"/>
        <v>380.95238095238096</v>
      </c>
      <c r="G98" s="11">
        <f t="shared" si="2"/>
        <v>1147.7935371768153</v>
      </c>
      <c r="H98" s="11">
        <f t="shared" si="3"/>
        <v>126476.19047619037</v>
      </c>
      <c r="I98" s="13"/>
      <c r="J98" s="13"/>
      <c r="K98" s="13"/>
      <c r="L98" s="13"/>
      <c r="M98" s="13"/>
      <c r="N98" s="13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75" customHeight="1">
      <c r="A99" s="37"/>
      <c r="B99" s="38">
        <f t="shared" si="4"/>
        <v>89</v>
      </c>
      <c r="C99" s="11">
        <f t="shared" si="5"/>
        <v>126476.19047619037</v>
      </c>
      <c r="D99" s="11">
        <f t="shared" si="0"/>
        <v>764.53832992946604</v>
      </c>
      <c r="E99" s="11">
        <f t="shared" si="1"/>
        <v>127240.72880611983</v>
      </c>
      <c r="F99" s="11">
        <f t="shared" si="6"/>
        <v>380.95238095238096</v>
      </c>
      <c r="G99" s="11">
        <f t="shared" si="2"/>
        <v>1145.490710881847</v>
      </c>
      <c r="H99" s="11">
        <f t="shared" si="3"/>
        <v>126095.23809523799</v>
      </c>
      <c r="I99" s="13"/>
      <c r="J99" s="13"/>
      <c r="K99" s="13"/>
      <c r="L99" s="13"/>
      <c r="M99" s="13"/>
      <c r="N99" s="13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75" customHeight="1">
      <c r="A100" s="37"/>
      <c r="B100" s="38">
        <f t="shared" si="4"/>
        <v>90</v>
      </c>
      <c r="C100" s="11">
        <f t="shared" si="5"/>
        <v>126095.23809523799</v>
      </c>
      <c r="D100" s="11">
        <f t="shared" si="0"/>
        <v>762.23550363449783</v>
      </c>
      <c r="E100" s="11">
        <f t="shared" si="1"/>
        <v>126857.47359887249</v>
      </c>
      <c r="F100" s="11">
        <f t="shared" si="6"/>
        <v>380.95238095238096</v>
      </c>
      <c r="G100" s="11">
        <f t="shared" si="2"/>
        <v>1143.1878845868787</v>
      </c>
      <c r="H100" s="11">
        <f t="shared" si="3"/>
        <v>125714.28571428561</v>
      </c>
      <c r="I100" s="13"/>
      <c r="J100" s="13"/>
      <c r="K100" s="13"/>
      <c r="L100" s="13"/>
      <c r="M100" s="13"/>
      <c r="N100" s="13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75" customHeight="1">
      <c r="A101" s="37"/>
      <c r="B101" s="38">
        <f t="shared" si="4"/>
        <v>91</v>
      </c>
      <c r="C101" s="11">
        <f t="shared" si="5"/>
        <v>125714.28571428561</v>
      </c>
      <c r="D101" s="11">
        <f t="shared" si="0"/>
        <v>759.9326773395295</v>
      </c>
      <c r="E101" s="11">
        <f t="shared" si="1"/>
        <v>126474.21839162514</v>
      </c>
      <c r="F101" s="11">
        <f t="shared" si="6"/>
        <v>380.95238095238096</v>
      </c>
      <c r="G101" s="11">
        <f t="shared" si="2"/>
        <v>1140.8850582919104</v>
      </c>
      <c r="H101" s="11">
        <f t="shared" si="3"/>
        <v>125333.33333333323</v>
      </c>
      <c r="I101" s="13"/>
      <c r="J101" s="13"/>
      <c r="K101" s="13"/>
      <c r="L101" s="13"/>
      <c r="M101" s="13"/>
      <c r="N101" s="13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75" customHeight="1">
      <c r="A102" s="37"/>
      <c r="B102" s="38">
        <f t="shared" si="4"/>
        <v>92</v>
      </c>
      <c r="C102" s="11">
        <f t="shared" si="5"/>
        <v>125333.33333333323</v>
      </c>
      <c r="D102" s="11">
        <f t="shared" si="0"/>
        <v>757.62985104456129</v>
      </c>
      <c r="E102" s="11">
        <f t="shared" si="1"/>
        <v>126090.96318437779</v>
      </c>
      <c r="F102" s="11">
        <f t="shared" si="6"/>
        <v>380.95238095238096</v>
      </c>
      <c r="G102" s="11">
        <f t="shared" si="2"/>
        <v>1138.5822319969423</v>
      </c>
      <c r="H102" s="11">
        <f t="shared" si="3"/>
        <v>124952.38095238084</v>
      </c>
      <c r="I102" s="13"/>
      <c r="J102" s="13"/>
      <c r="K102" s="13"/>
      <c r="L102" s="13"/>
      <c r="M102" s="13"/>
      <c r="N102" s="13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75" customHeight="1">
      <c r="A103" s="37"/>
      <c r="B103" s="38">
        <f t="shared" si="4"/>
        <v>93</v>
      </c>
      <c r="C103" s="11">
        <f t="shared" si="5"/>
        <v>124952.38095238084</v>
      </c>
      <c r="D103" s="11">
        <f t="shared" si="0"/>
        <v>755.32702474959297</v>
      </c>
      <c r="E103" s="11">
        <f t="shared" si="1"/>
        <v>125707.70797713044</v>
      </c>
      <c r="F103" s="11">
        <f t="shared" si="6"/>
        <v>380.95238095238096</v>
      </c>
      <c r="G103" s="11">
        <f t="shared" si="2"/>
        <v>1136.2794057019739</v>
      </c>
      <c r="H103" s="11">
        <f t="shared" si="3"/>
        <v>124571.42857142846</v>
      </c>
      <c r="I103" s="13"/>
      <c r="J103" s="13"/>
      <c r="K103" s="13"/>
      <c r="L103" s="13"/>
      <c r="M103" s="13"/>
      <c r="N103" s="13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75" customHeight="1">
      <c r="A104" s="37"/>
      <c r="B104" s="38">
        <f t="shared" si="4"/>
        <v>94</v>
      </c>
      <c r="C104" s="11">
        <f t="shared" si="5"/>
        <v>124571.42857142846</v>
      </c>
      <c r="D104" s="11">
        <f t="shared" si="0"/>
        <v>753.02419845462464</v>
      </c>
      <c r="E104" s="11">
        <f t="shared" si="1"/>
        <v>125324.45276988309</v>
      </c>
      <c r="F104" s="11">
        <f t="shared" si="6"/>
        <v>380.95238095238096</v>
      </c>
      <c r="G104" s="11">
        <f t="shared" si="2"/>
        <v>1133.9765794070056</v>
      </c>
      <c r="H104" s="11">
        <f t="shared" si="3"/>
        <v>124190.47619047608</v>
      </c>
      <c r="I104" s="13"/>
      <c r="J104" s="13"/>
      <c r="K104" s="13"/>
      <c r="L104" s="13"/>
      <c r="M104" s="13"/>
      <c r="N104" s="13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75" customHeight="1">
      <c r="A105" s="37"/>
      <c r="B105" s="38">
        <f t="shared" si="4"/>
        <v>95</v>
      </c>
      <c r="C105" s="11">
        <f t="shared" si="5"/>
        <v>124190.47619047608</v>
      </c>
      <c r="D105" s="11">
        <f t="shared" si="0"/>
        <v>750.72137215965643</v>
      </c>
      <c r="E105" s="11">
        <f t="shared" si="1"/>
        <v>124941.19756263575</v>
      </c>
      <c r="F105" s="11">
        <f t="shared" si="6"/>
        <v>380.95238095238096</v>
      </c>
      <c r="G105" s="11">
        <f t="shared" si="2"/>
        <v>1131.6737531120375</v>
      </c>
      <c r="H105" s="11">
        <f t="shared" si="3"/>
        <v>123809.52380952371</v>
      </c>
      <c r="I105" s="13"/>
      <c r="J105" s="13"/>
      <c r="K105" s="13"/>
      <c r="L105" s="13"/>
      <c r="M105" s="13"/>
      <c r="N105" s="13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75" customHeight="1">
      <c r="A106" s="37"/>
      <c r="B106" s="38">
        <f t="shared" si="4"/>
        <v>96</v>
      </c>
      <c r="C106" s="11">
        <f t="shared" si="5"/>
        <v>123809.52380952371</v>
      </c>
      <c r="D106" s="11">
        <f t="shared" si="0"/>
        <v>748.41854586468821</v>
      </c>
      <c r="E106" s="11">
        <f t="shared" si="1"/>
        <v>124557.9423553884</v>
      </c>
      <c r="F106" s="11">
        <f t="shared" si="6"/>
        <v>380.95238095238096</v>
      </c>
      <c r="G106" s="11">
        <f t="shared" si="2"/>
        <v>1129.3709268170692</v>
      </c>
      <c r="H106" s="11">
        <f t="shared" si="3"/>
        <v>123428.57142857133</v>
      </c>
      <c r="I106" s="13"/>
      <c r="J106" s="13"/>
      <c r="K106" s="13"/>
      <c r="L106" s="13"/>
      <c r="M106" s="13"/>
      <c r="N106" s="13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75" customHeight="1">
      <c r="A107" s="37"/>
      <c r="B107" s="38">
        <f t="shared" si="4"/>
        <v>97</v>
      </c>
      <c r="C107" s="11">
        <f t="shared" si="5"/>
        <v>123428.57142857133</v>
      </c>
      <c r="D107" s="11">
        <f t="shared" si="0"/>
        <v>746.11571956972</v>
      </c>
      <c r="E107" s="11">
        <f t="shared" si="1"/>
        <v>124174.68714814105</v>
      </c>
      <c r="F107" s="11">
        <f t="shared" si="6"/>
        <v>380.95238095238096</v>
      </c>
      <c r="G107" s="11">
        <f t="shared" si="2"/>
        <v>1127.0681005221008</v>
      </c>
      <c r="H107" s="11">
        <f t="shared" si="3"/>
        <v>123047.61904761895</v>
      </c>
      <c r="I107" s="13"/>
      <c r="J107" s="13"/>
      <c r="K107" s="13"/>
      <c r="L107" s="13"/>
      <c r="M107" s="13"/>
      <c r="N107" s="13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75" customHeight="1">
      <c r="A108" s="37"/>
      <c r="B108" s="38">
        <f t="shared" si="4"/>
        <v>98</v>
      </c>
      <c r="C108" s="11">
        <f t="shared" si="5"/>
        <v>123047.61904761895</v>
      </c>
      <c r="D108" s="11">
        <f t="shared" si="0"/>
        <v>743.81289327475167</v>
      </c>
      <c r="E108" s="11">
        <f t="shared" si="1"/>
        <v>123791.4319408937</v>
      </c>
      <c r="F108" s="11">
        <f t="shared" si="6"/>
        <v>380.95238095238096</v>
      </c>
      <c r="G108" s="11">
        <f t="shared" si="2"/>
        <v>1124.7652742271325</v>
      </c>
      <c r="H108" s="11">
        <f t="shared" si="3"/>
        <v>122666.66666666657</v>
      </c>
      <c r="I108" s="13"/>
      <c r="J108" s="13"/>
      <c r="K108" s="13"/>
      <c r="L108" s="13"/>
      <c r="M108" s="13"/>
      <c r="N108" s="13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75" customHeight="1">
      <c r="A109" s="37"/>
      <c r="B109" s="38">
        <f t="shared" si="4"/>
        <v>99</v>
      </c>
      <c r="C109" s="11">
        <f t="shared" si="5"/>
        <v>122666.66666666657</v>
      </c>
      <c r="D109" s="11">
        <f t="shared" si="0"/>
        <v>741.51006697978335</v>
      </c>
      <c r="E109" s="11">
        <f t="shared" si="1"/>
        <v>123408.17673364635</v>
      </c>
      <c r="F109" s="11">
        <f t="shared" si="6"/>
        <v>380.95238095238096</v>
      </c>
      <c r="G109" s="11">
        <f t="shared" si="2"/>
        <v>1122.4624479321642</v>
      </c>
      <c r="H109" s="11">
        <f t="shared" si="3"/>
        <v>122285.71428571419</v>
      </c>
      <c r="I109" s="13"/>
      <c r="J109" s="13"/>
      <c r="K109" s="13"/>
      <c r="L109" s="13"/>
      <c r="M109" s="13"/>
      <c r="N109" s="13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75" customHeight="1">
      <c r="A110" s="37"/>
      <c r="B110" s="38">
        <f t="shared" si="4"/>
        <v>100</v>
      </c>
      <c r="C110" s="11">
        <f t="shared" si="5"/>
        <v>122285.71428571419</v>
      </c>
      <c r="D110" s="11">
        <f t="shared" si="0"/>
        <v>739.20724068481513</v>
      </c>
      <c r="E110" s="11">
        <f t="shared" si="1"/>
        <v>123024.921526399</v>
      </c>
      <c r="F110" s="11">
        <f t="shared" si="6"/>
        <v>380.95238095238096</v>
      </c>
      <c r="G110" s="11">
        <f t="shared" si="2"/>
        <v>1120.1596216371961</v>
      </c>
      <c r="H110" s="11">
        <f t="shared" si="3"/>
        <v>121904.76190476181</v>
      </c>
      <c r="I110" s="13"/>
      <c r="J110" s="13"/>
      <c r="K110" s="13"/>
      <c r="L110" s="13"/>
      <c r="M110" s="13"/>
      <c r="N110" s="13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75" customHeight="1">
      <c r="A111" s="37"/>
      <c r="B111" s="38">
        <f t="shared" si="4"/>
        <v>101</v>
      </c>
      <c r="C111" s="11">
        <f t="shared" si="5"/>
        <v>121904.76190476181</v>
      </c>
      <c r="D111" s="11">
        <f t="shared" si="0"/>
        <v>736.90441438984681</v>
      </c>
      <c r="E111" s="11">
        <f t="shared" si="1"/>
        <v>122641.66631915166</v>
      </c>
      <c r="F111" s="11">
        <f t="shared" si="6"/>
        <v>380.95238095238096</v>
      </c>
      <c r="G111" s="11">
        <f t="shared" si="2"/>
        <v>1117.8567953422278</v>
      </c>
      <c r="H111" s="11">
        <f t="shared" si="3"/>
        <v>121523.80952380942</v>
      </c>
      <c r="I111" s="13"/>
      <c r="J111" s="13"/>
      <c r="K111" s="13"/>
      <c r="L111" s="13"/>
      <c r="M111" s="13"/>
      <c r="N111" s="13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75" customHeight="1">
      <c r="A112" s="37"/>
      <c r="B112" s="38">
        <f t="shared" si="4"/>
        <v>102</v>
      </c>
      <c r="C112" s="11">
        <f t="shared" si="5"/>
        <v>121523.80952380942</v>
      </c>
      <c r="D112" s="11">
        <f t="shared" si="0"/>
        <v>734.60158809487859</v>
      </c>
      <c r="E112" s="11">
        <f t="shared" si="1"/>
        <v>122258.41111190431</v>
      </c>
      <c r="F112" s="11">
        <f t="shared" si="6"/>
        <v>380.95238095238096</v>
      </c>
      <c r="G112" s="11">
        <f t="shared" si="2"/>
        <v>1115.5539690472597</v>
      </c>
      <c r="H112" s="11">
        <f t="shared" si="3"/>
        <v>121142.85714285704</v>
      </c>
      <c r="I112" s="13"/>
      <c r="J112" s="13"/>
      <c r="K112" s="13"/>
      <c r="L112" s="13"/>
      <c r="M112" s="13"/>
      <c r="N112" s="13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75" customHeight="1">
      <c r="A113" s="37"/>
      <c r="B113" s="38">
        <f t="shared" si="4"/>
        <v>103</v>
      </c>
      <c r="C113" s="11">
        <f t="shared" si="5"/>
        <v>121142.85714285704</v>
      </c>
      <c r="D113" s="11">
        <f t="shared" si="0"/>
        <v>732.29876179991027</v>
      </c>
      <c r="E113" s="11">
        <f t="shared" si="1"/>
        <v>121875.15590465696</v>
      </c>
      <c r="F113" s="11">
        <f t="shared" si="6"/>
        <v>380.95238095238096</v>
      </c>
      <c r="G113" s="11">
        <f t="shared" si="2"/>
        <v>1113.2511427522913</v>
      </c>
      <c r="H113" s="11">
        <f t="shared" si="3"/>
        <v>120761.90476190468</v>
      </c>
      <c r="I113" s="13"/>
      <c r="J113" s="13"/>
      <c r="K113" s="13"/>
      <c r="L113" s="13"/>
      <c r="M113" s="13"/>
      <c r="N113" s="13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75" customHeight="1">
      <c r="A114" s="37"/>
      <c r="B114" s="38">
        <f t="shared" si="4"/>
        <v>104</v>
      </c>
      <c r="C114" s="11">
        <f t="shared" si="5"/>
        <v>120761.90476190468</v>
      </c>
      <c r="D114" s="11">
        <f t="shared" si="0"/>
        <v>729.99593550494205</v>
      </c>
      <c r="E114" s="11">
        <f t="shared" si="1"/>
        <v>121491.90069740961</v>
      </c>
      <c r="F114" s="11">
        <f t="shared" si="6"/>
        <v>380.95238095238096</v>
      </c>
      <c r="G114" s="11">
        <f t="shared" si="2"/>
        <v>1110.948316457323</v>
      </c>
      <c r="H114" s="11">
        <f t="shared" si="3"/>
        <v>120380.95238095229</v>
      </c>
      <c r="I114" s="13"/>
      <c r="J114" s="13"/>
      <c r="K114" s="13"/>
      <c r="L114" s="13"/>
      <c r="M114" s="13"/>
      <c r="N114" s="13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75" customHeight="1">
      <c r="A115" s="37"/>
      <c r="B115" s="38">
        <f t="shared" si="4"/>
        <v>105</v>
      </c>
      <c r="C115" s="11">
        <f t="shared" si="5"/>
        <v>120380.95238095229</v>
      </c>
      <c r="D115" s="11">
        <f t="shared" si="0"/>
        <v>727.69310920997384</v>
      </c>
      <c r="E115" s="11">
        <f t="shared" si="1"/>
        <v>121108.64549016226</v>
      </c>
      <c r="F115" s="11">
        <f t="shared" si="6"/>
        <v>380.95238095238096</v>
      </c>
      <c r="G115" s="11">
        <f t="shared" si="2"/>
        <v>1108.6454901623547</v>
      </c>
      <c r="H115" s="11">
        <f t="shared" si="3"/>
        <v>119999.99999999991</v>
      </c>
      <c r="I115" s="13"/>
      <c r="J115" s="13"/>
      <c r="K115" s="13"/>
      <c r="L115" s="13"/>
      <c r="M115" s="13"/>
      <c r="N115" s="13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75" customHeight="1">
      <c r="A116" s="37"/>
      <c r="B116" s="38">
        <f t="shared" si="4"/>
        <v>106</v>
      </c>
      <c r="C116" s="11">
        <f t="shared" si="5"/>
        <v>119999.99999999991</v>
      </c>
      <c r="D116" s="11">
        <f t="shared" si="0"/>
        <v>725.39028291500551</v>
      </c>
      <c r="E116" s="11">
        <f t="shared" si="1"/>
        <v>120725.39028291492</v>
      </c>
      <c r="F116" s="11">
        <f t="shared" si="6"/>
        <v>380.95238095238096</v>
      </c>
      <c r="G116" s="11">
        <f t="shared" si="2"/>
        <v>1106.3426638673864</v>
      </c>
      <c r="H116" s="11">
        <f t="shared" si="3"/>
        <v>119619.04761904753</v>
      </c>
      <c r="I116" s="13"/>
      <c r="J116" s="13"/>
      <c r="K116" s="13"/>
      <c r="L116" s="13"/>
      <c r="M116" s="13"/>
      <c r="N116" s="13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75" customHeight="1">
      <c r="A117" s="37"/>
      <c r="B117" s="38">
        <f t="shared" si="4"/>
        <v>107</v>
      </c>
      <c r="C117" s="11">
        <f t="shared" si="5"/>
        <v>119619.04761904753</v>
      </c>
      <c r="D117" s="11">
        <f t="shared" si="0"/>
        <v>723.0874566200373</v>
      </c>
      <c r="E117" s="11">
        <f t="shared" si="1"/>
        <v>120342.13507566757</v>
      </c>
      <c r="F117" s="11">
        <f t="shared" si="6"/>
        <v>380.95238095238096</v>
      </c>
      <c r="G117" s="11">
        <f t="shared" si="2"/>
        <v>1104.0398375724183</v>
      </c>
      <c r="H117" s="11">
        <f t="shared" si="3"/>
        <v>119238.09523809515</v>
      </c>
      <c r="I117" s="13"/>
      <c r="J117" s="13"/>
      <c r="K117" s="13"/>
      <c r="L117" s="13"/>
      <c r="M117" s="13"/>
      <c r="N117" s="13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75" customHeight="1">
      <c r="A118" s="37"/>
      <c r="B118" s="38">
        <f t="shared" si="4"/>
        <v>108</v>
      </c>
      <c r="C118" s="11">
        <f t="shared" si="5"/>
        <v>119238.09523809515</v>
      </c>
      <c r="D118" s="11">
        <f t="shared" si="0"/>
        <v>720.78463032506897</v>
      </c>
      <c r="E118" s="11">
        <f t="shared" si="1"/>
        <v>119958.87986842022</v>
      </c>
      <c r="F118" s="11">
        <f t="shared" si="6"/>
        <v>380.95238095238096</v>
      </c>
      <c r="G118" s="11">
        <f t="shared" si="2"/>
        <v>1101.7370112774499</v>
      </c>
      <c r="H118" s="11">
        <f t="shared" si="3"/>
        <v>118857.14285714277</v>
      </c>
      <c r="I118" s="13"/>
      <c r="J118" s="13"/>
      <c r="K118" s="13"/>
      <c r="L118" s="13"/>
      <c r="M118" s="13"/>
      <c r="N118" s="13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75" customHeight="1">
      <c r="A119" s="37"/>
      <c r="B119" s="38">
        <f t="shared" si="4"/>
        <v>109</v>
      </c>
      <c r="C119" s="11">
        <f t="shared" si="5"/>
        <v>118857.14285714277</v>
      </c>
      <c r="D119" s="11">
        <f t="shared" si="0"/>
        <v>718.48180403010076</v>
      </c>
      <c r="E119" s="11">
        <f t="shared" si="1"/>
        <v>119575.62466117287</v>
      </c>
      <c r="F119" s="11">
        <f t="shared" si="6"/>
        <v>380.95238095238096</v>
      </c>
      <c r="G119" s="11">
        <f t="shared" si="2"/>
        <v>1099.4341849824818</v>
      </c>
      <c r="H119" s="11">
        <f t="shared" si="3"/>
        <v>118476.19047619039</v>
      </c>
      <c r="I119" s="13"/>
      <c r="J119" s="13"/>
      <c r="K119" s="13"/>
      <c r="L119" s="13"/>
      <c r="M119" s="13"/>
      <c r="N119" s="13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75" customHeight="1">
      <c r="A120" s="37"/>
      <c r="B120" s="38">
        <f t="shared" si="4"/>
        <v>110</v>
      </c>
      <c r="C120" s="11">
        <f t="shared" si="5"/>
        <v>118476.19047619039</v>
      </c>
      <c r="D120" s="11">
        <f t="shared" si="0"/>
        <v>716.17897773513243</v>
      </c>
      <c r="E120" s="11">
        <f t="shared" si="1"/>
        <v>119192.36945392552</v>
      </c>
      <c r="F120" s="11">
        <f t="shared" si="6"/>
        <v>380.95238095238096</v>
      </c>
      <c r="G120" s="11">
        <f t="shared" si="2"/>
        <v>1097.1313586875135</v>
      </c>
      <c r="H120" s="11">
        <f t="shared" si="3"/>
        <v>118095.238095238</v>
      </c>
      <c r="I120" s="13"/>
      <c r="J120" s="13"/>
      <c r="K120" s="13"/>
      <c r="L120" s="13"/>
      <c r="M120" s="13"/>
      <c r="N120" s="13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75" customHeight="1">
      <c r="A121" s="37"/>
      <c r="B121" s="38">
        <f t="shared" si="4"/>
        <v>111</v>
      </c>
      <c r="C121" s="11">
        <f t="shared" si="5"/>
        <v>118095.238095238</v>
      </c>
      <c r="D121" s="11">
        <f t="shared" si="0"/>
        <v>713.87615144016411</v>
      </c>
      <c r="E121" s="11">
        <f t="shared" si="1"/>
        <v>118809.11424667817</v>
      </c>
      <c r="F121" s="11">
        <f t="shared" si="6"/>
        <v>380.95238095238096</v>
      </c>
      <c r="G121" s="11">
        <f t="shared" si="2"/>
        <v>1094.8285323925452</v>
      </c>
      <c r="H121" s="11">
        <f t="shared" si="3"/>
        <v>117714.28571428562</v>
      </c>
      <c r="I121" s="13"/>
      <c r="J121" s="13"/>
      <c r="K121" s="13"/>
      <c r="L121" s="13"/>
      <c r="M121" s="13"/>
      <c r="N121" s="13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75" customHeight="1">
      <c r="A122" s="37"/>
      <c r="B122" s="38">
        <f t="shared" si="4"/>
        <v>112</v>
      </c>
      <c r="C122" s="11">
        <f t="shared" si="5"/>
        <v>117714.28571428562</v>
      </c>
      <c r="D122" s="11">
        <f t="shared" si="0"/>
        <v>711.57332514519589</v>
      </c>
      <c r="E122" s="11">
        <f t="shared" si="1"/>
        <v>118425.85903943081</v>
      </c>
      <c r="F122" s="11">
        <f t="shared" si="6"/>
        <v>380.95238095238096</v>
      </c>
      <c r="G122" s="11">
        <f t="shared" si="2"/>
        <v>1092.5257060975769</v>
      </c>
      <c r="H122" s="11">
        <f t="shared" si="3"/>
        <v>117333.33333333324</v>
      </c>
      <c r="I122" s="13"/>
      <c r="J122" s="13"/>
      <c r="K122" s="13"/>
      <c r="L122" s="13"/>
      <c r="M122" s="13"/>
      <c r="N122" s="13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75" customHeight="1">
      <c r="A123" s="37"/>
      <c r="B123" s="38">
        <f t="shared" si="4"/>
        <v>113</v>
      </c>
      <c r="C123" s="11">
        <f t="shared" si="5"/>
        <v>117333.33333333324</v>
      </c>
      <c r="D123" s="11">
        <f t="shared" si="0"/>
        <v>709.27049885022757</v>
      </c>
      <c r="E123" s="11">
        <f t="shared" si="1"/>
        <v>118042.60383218346</v>
      </c>
      <c r="F123" s="11">
        <f t="shared" si="6"/>
        <v>380.95238095238096</v>
      </c>
      <c r="G123" s="11">
        <f t="shared" si="2"/>
        <v>1090.2228798026085</v>
      </c>
      <c r="H123" s="11">
        <f t="shared" si="3"/>
        <v>116952.38095238086</v>
      </c>
      <c r="I123" s="13"/>
      <c r="J123" s="13"/>
      <c r="K123" s="13"/>
      <c r="L123" s="13"/>
      <c r="M123" s="13"/>
      <c r="N123" s="13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75" customHeight="1">
      <c r="A124" s="37"/>
      <c r="B124" s="38">
        <f t="shared" si="4"/>
        <v>114</v>
      </c>
      <c r="C124" s="11">
        <f t="shared" si="5"/>
        <v>116952.38095238086</v>
      </c>
      <c r="D124" s="11">
        <f t="shared" si="0"/>
        <v>706.96767255525936</v>
      </c>
      <c r="E124" s="11">
        <f t="shared" si="1"/>
        <v>117659.34862493612</v>
      </c>
      <c r="F124" s="11">
        <f t="shared" si="6"/>
        <v>380.95238095238096</v>
      </c>
      <c r="G124" s="11">
        <f t="shared" si="2"/>
        <v>1087.9200535076402</v>
      </c>
      <c r="H124" s="11">
        <f t="shared" si="3"/>
        <v>116571.42857142848</v>
      </c>
      <c r="I124" s="13"/>
      <c r="J124" s="13"/>
      <c r="K124" s="13"/>
      <c r="L124" s="13"/>
      <c r="M124" s="13"/>
      <c r="N124" s="13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75" customHeight="1">
      <c r="A125" s="37"/>
      <c r="B125" s="38">
        <f t="shared" si="4"/>
        <v>115</v>
      </c>
      <c r="C125" s="11">
        <f t="shared" si="5"/>
        <v>116571.42857142848</v>
      </c>
      <c r="D125" s="11">
        <f t="shared" si="0"/>
        <v>704.66484626029103</v>
      </c>
      <c r="E125" s="11">
        <f t="shared" si="1"/>
        <v>117276.09341768877</v>
      </c>
      <c r="F125" s="11">
        <f t="shared" si="6"/>
        <v>380.95238095238096</v>
      </c>
      <c r="G125" s="11">
        <f t="shared" si="2"/>
        <v>1085.6172272126719</v>
      </c>
      <c r="H125" s="11">
        <f t="shared" si="3"/>
        <v>116190.4761904761</v>
      </c>
      <c r="I125" s="13"/>
      <c r="J125" s="13"/>
      <c r="K125" s="13"/>
      <c r="L125" s="13"/>
      <c r="M125" s="13"/>
      <c r="N125" s="13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75" customHeight="1">
      <c r="A126" s="37"/>
      <c r="B126" s="38">
        <f t="shared" si="4"/>
        <v>116</v>
      </c>
      <c r="C126" s="11">
        <f t="shared" si="5"/>
        <v>116190.4761904761</v>
      </c>
      <c r="D126" s="11">
        <f t="shared" si="0"/>
        <v>702.36201996532282</v>
      </c>
      <c r="E126" s="11">
        <f t="shared" si="1"/>
        <v>116892.83821044142</v>
      </c>
      <c r="F126" s="11">
        <f t="shared" si="6"/>
        <v>380.95238095238096</v>
      </c>
      <c r="G126" s="11">
        <f t="shared" si="2"/>
        <v>1083.3144009177038</v>
      </c>
      <c r="H126" s="11">
        <f t="shared" si="3"/>
        <v>115809.52380952371</v>
      </c>
      <c r="I126" s="13"/>
      <c r="J126" s="13"/>
      <c r="K126" s="13"/>
      <c r="L126" s="13"/>
      <c r="M126" s="13"/>
      <c r="N126" s="13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75" customHeight="1">
      <c r="A127" s="37"/>
      <c r="B127" s="38">
        <f t="shared" si="4"/>
        <v>117</v>
      </c>
      <c r="C127" s="11">
        <f t="shared" si="5"/>
        <v>115809.52380952371</v>
      </c>
      <c r="D127" s="11">
        <f t="shared" si="0"/>
        <v>700.05919367035449</v>
      </c>
      <c r="E127" s="11">
        <f t="shared" si="1"/>
        <v>116509.58300319407</v>
      </c>
      <c r="F127" s="11">
        <f t="shared" si="6"/>
        <v>380.95238095238096</v>
      </c>
      <c r="G127" s="11">
        <f t="shared" si="2"/>
        <v>1081.0115746227355</v>
      </c>
      <c r="H127" s="11">
        <f t="shared" si="3"/>
        <v>115428.57142857133</v>
      </c>
      <c r="I127" s="13"/>
      <c r="J127" s="13"/>
      <c r="K127" s="13"/>
      <c r="L127" s="13"/>
      <c r="M127" s="13"/>
      <c r="N127" s="13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75" customHeight="1">
      <c r="A128" s="37"/>
      <c r="B128" s="38">
        <f t="shared" si="4"/>
        <v>118</v>
      </c>
      <c r="C128" s="11">
        <f t="shared" si="5"/>
        <v>115428.57142857133</v>
      </c>
      <c r="D128" s="11">
        <f t="shared" si="0"/>
        <v>697.75636737538616</v>
      </c>
      <c r="E128" s="11">
        <f t="shared" si="1"/>
        <v>116126.32779594672</v>
      </c>
      <c r="F128" s="11">
        <f t="shared" si="6"/>
        <v>380.95238095238096</v>
      </c>
      <c r="G128" s="11">
        <f t="shared" si="2"/>
        <v>1078.7087483277671</v>
      </c>
      <c r="H128" s="11">
        <f t="shared" si="3"/>
        <v>115047.61904761895</v>
      </c>
      <c r="I128" s="13"/>
      <c r="J128" s="13"/>
      <c r="K128" s="13"/>
      <c r="L128" s="13"/>
      <c r="M128" s="13"/>
      <c r="N128" s="13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75" customHeight="1">
      <c r="A129" s="37"/>
      <c r="B129" s="38">
        <f t="shared" si="4"/>
        <v>119</v>
      </c>
      <c r="C129" s="11">
        <f t="shared" si="5"/>
        <v>115047.61904761895</v>
      </c>
      <c r="D129" s="11">
        <f t="shared" si="0"/>
        <v>695.45354108041795</v>
      </c>
      <c r="E129" s="11">
        <f t="shared" si="1"/>
        <v>115743.07258869938</v>
      </c>
      <c r="F129" s="11">
        <f t="shared" si="6"/>
        <v>380.95238095238096</v>
      </c>
      <c r="G129" s="11">
        <f t="shared" si="2"/>
        <v>1076.405922032799</v>
      </c>
      <c r="H129" s="11">
        <f t="shared" si="3"/>
        <v>114666.66666666657</v>
      </c>
      <c r="I129" s="13"/>
      <c r="J129" s="13"/>
      <c r="K129" s="13"/>
      <c r="L129" s="13"/>
      <c r="M129" s="13"/>
      <c r="N129" s="13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75" customHeight="1">
      <c r="A130" s="37"/>
      <c r="B130" s="38">
        <f t="shared" si="4"/>
        <v>120</v>
      </c>
      <c r="C130" s="11">
        <f t="shared" si="5"/>
        <v>114666.66666666657</v>
      </c>
      <c r="D130" s="11">
        <f t="shared" si="0"/>
        <v>693.15071478544962</v>
      </c>
      <c r="E130" s="11">
        <f t="shared" si="1"/>
        <v>115359.81738145201</v>
      </c>
      <c r="F130" s="11">
        <f t="shared" si="6"/>
        <v>380.95238095238096</v>
      </c>
      <c r="G130" s="11">
        <f t="shared" si="2"/>
        <v>1074.1030957378307</v>
      </c>
      <c r="H130" s="11">
        <f t="shared" si="3"/>
        <v>114285.71428571419</v>
      </c>
      <c r="I130" s="13"/>
      <c r="J130" s="13"/>
      <c r="K130" s="13"/>
      <c r="L130" s="13"/>
      <c r="M130" s="13"/>
      <c r="N130" s="13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75" customHeight="1">
      <c r="A131" s="37"/>
      <c r="B131" s="38">
        <f t="shared" si="4"/>
        <v>121</v>
      </c>
      <c r="C131" s="11">
        <f t="shared" si="5"/>
        <v>114285.71428571419</v>
      </c>
      <c r="D131" s="11">
        <f t="shared" si="0"/>
        <v>690.84788849048141</v>
      </c>
      <c r="E131" s="11">
        <f t="shared" si="1"/>
        <v>114976.56217420466</v>
      </c>
      <c r="F131" s="11">
        <f t="shared" si="6"/>
        <v>380.95238095238096</v>
      </c>
      <c r="G131" s="11">
        <f t="shared" si="2"/>
        <v>1071.8002694428624</v>
      </c>
      <c r="H131" s="11">
        <f t="shared" si="3"/>
        <v>113904.76190476181</v>
      </c>
      <c r="I131" s="13"/>
      <c r="J131" s="13"/>
      <c r="K131" s="13"/>
      <c r="L131" s="13"/>
      <c r="M131" s="13"/>
      <c r="N131" s="13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75" customHeight="1">
      <c r="A132" s="37"/>
      <c r="B132" s="38">
        <f t="shared" si="4"/>
        <v>122</v>
      </c>
      <c r="C132" s="11">
        <f t="shared" si="5"/>
        <v>113904.76190476181</v>
      </c>
      <c r="D132" s="11">
        <f t="shared" si="0"/>
        <v>688.54506219551308</v>
      </c>
      <c r="E132" s="11">
        <f t="shared" si="1"/>
        <v>114593.30696695732</v>
      </c>
      <c r="F132" s="11">
        <f t="shared" si="6"/>
        <v>380.95238095238096</v>
      </c>
      <c r="G132" s="11">
        <f t="shared" si="2"/>
        <v>1069.497443147894</v>
      </c>
      <c r="H132" s="11">
        <f t="shared" si="3"/>
        <v>113523.80952380942</v>
      </c>
      <c r="I132" s="13"/>
      <c r="J132" s="13"/>
      <c r="K132" s="13"/>
      <c r="L132" s="13"/>
      <c r="M132" s="13"/>
      <c r="N132" s="13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75" customHeight="1">
      <c r="A133" s="37"/>
      <c r="B133" s="38">
        <f t="shared" si="4"/>
        <v>123</v>
      </c>
      <c r="C133" s="11">
        <f t="shared" si="5"/>
        <v>113523.80952380942</v>
      </c>
      <c r="D133" s="11">
        <f t="shared" si="0"/>
        <v>686.24223590054487</v>
      </c>
      <c r="E133" s="11">
        <f t="shared" si="1"/>
        <v>114210.05175970997</v>
      </c>
      <c r="F133" s="11">
        <f t="shared" si="6"/>
        <v>380.95238095238096</v>
      </c>
      <c r="G133" s="11">
        <f t="shared" si="2"/>
        <v>1067.1946168529257</v>
      </c>
      <c r="H133" s="11">
        <f t="shared" si="3"/>
        <v>113142.85714285704</v>
      </c>
      <c r="I133" s="13"/>
      <c r="J133" s="13"/>
      <c r="K133" s="13"/>
      <c r="L133" s="13"/>
      <c r="M133" s="13"/>
      <c r="N133" s="13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75" customHeight="1">
      <c r="A134" s="37"/>
      <c r="B134" s="38">
        <f t="shared" si="4"/>
        <v>124</v>
      </c>
      <c r="C134" s="11">
        <f t="shared" si="5"/>
        <v>113142.85714285704</v>
      </c>
      <c r="D134" s="11">
        <f t="shared" si="0"/>
        <v>683.93940960557654</v>
      </c>
      <c r="E134" s="11">
        <f t="shared" si="1"/>
        <v>113826.79655246262</v>
      </c>
      <c r="F134" s="11">
        <f t="shared" si="6"/>
        <v>380.95238095238096</v>
      </c>
      <c r="G134" s="11">
        <f t="shared" si="2"/>
        <v>1064.8917905579574</v>
      </c>
      <c r="H134" s="11">
        <f t="shared" si="3"/>
        <v>112761.90476190466</v>
      </c>
      <c r="I134" s="13"/>
      <c r="J134" s="13"/>
      <c r="K134" s="13"/>
      <c r="L134" s="13"/>
      <c r="M134" s="13"/>
      <c r="N134" s="13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75" customHeight="1">
      <c r="A135" s="37"/>
      <c r="B135" s="38">
        <f t="shared" si="4"/>
        <v>125</v>
      </c>
      <c r="C135" s="11">
        <f t="shared" si="5"/>
        <v>112761.90476190466</v>
      </c>
      <c r="D135" s="11">
        <f t="shared" si="0"/>
        <v>681.63658331060822</v>
      </c>
      <c r="E135" s="11">
        <f t="shared" si="1"/>
        <v>113443.54134521527</v>
      </c>
      <c r="F135" s="11">
        <f t="shared" si="6"/>
        <v>380.95238095238096</v>
      </c>
      <c r="G135" s="11">
        <f t="shared" si="2"/>
        <v>1062.5889642629891</v>
      </c>
      <c r="H135" s="11">
        <f t="shared" si="3"/>
        <v>112380.95238095228</v>
      </c>
      <c r="I135" s="13"/>
      <c r="J135" s="13"/>
      <c r="K135" s="13"/>
      <c r="L135" s="13"/>
      <c r="M135" s="13"/>
      <c r="N135" s="13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75" customHeight="1">
      <c r="A136" s="37"/>
      <c r="B136" s="38">
        <f t="shared" si="4"/>
        <v>126</v>
      </c>
      <c r="C136" s="11">
        <f t="shared" si="5"/>
        <v>112380.95238095228</v>
      </c>
      <c r="D136" s="11">
        <f t="shared" si="0"/>
        <v>679.33375701564</v>
      </c>
      <c r="E136" s="11">
        <f t="shared" si="1"/>
        <v>113060.28613796792</v>
      </c>
      <c r="F136" s="11">
        <f t="shared" si="6"/>
        <v>380.95238095238096</v>
      </c>
      <c r="G136" s="11">
        <f t="shared" si="2"/>
        <v>1060.286137968021</v>
      </c>
      <c r="H136" s="11">
        <f t="shared" si="3"/>
        <v>111999.9999999999</v>
      </c>
      <c r="I136" s="13"/>
      <c r="J136" s="13"/>
      <c r="K136" s="13"/>
      <c r="L136" s="13"/>
      <c r="M136" s="13"/>
      <c r="N136" s="13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75" customHeight="1">
      <c r="A137" s="37"/>
      <c r="B137" s="38">
        <f t="shared" si="4"/>
        <v>127</v>
      </c>
      <c r="C137" s="11">
        <f t="shared" si="5"/>
        <v>111999.9999999999</v>
      </c>
      <c r="D137" s="11">
        <f t="shared" si="0"/>
        <v>677.03093072067168</v>
      </c>
      <c r="E137" s="11">
        <f t="shared" si="1"/>
        <v>112677.03093072058</v>
      </c>
      <c r="F137" s="11">
        <f t="shared" si="6"/>
        <v>380.95238095238096</v>
      </c>
      <c r="G137" s="11">
        <f t="shared" si="2"/>
        <v>1057.9833116730526</v>
      </c>
      <c r="H137" s="11">
        <f t="shared" si="3"/>
        <v>111619.04761904752</v>
      </c>
      <c r="I137" s="13"/>
      <c r="J137" s="13"/>
      <c r="K137" s="13"/>
      <c r="L137" s="13"/>
      <c r="M137" s="13"/>
      <c r="N137" s="13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75" customHeight="1">
      <c r="A138" s="37"/>
      <c r="B138" s="38">
        <f t="shared" si="4"/>
        <v>128</v>
      </c>
      <c r="C138" s="11">
        <f t="shared" si="5"/>
        <v>111619.04761904752</v>
      </c>
      <c r="D138" s="11">
        <f t="shared" si="0"/>
        <v>674.72810442570346</v>
      </c>
      <c r="E138" s="11">
        <f t="shared" si="1"/>
        <v>112293.77572347323</v>
      </c>
      <c r="F138" s="11">
        <f t="shared" si="6"/>
        <v>380.95238095238096</v>
      </c>
      <c r="G138" s="11">
        <f t="shared" si="2"/>
        <v>1055.6804853780845</v>
      </c>
      <c r="H138" s="11">
        <f t="shared" si="3"/>
        <v>111238.09523809515</v>
      </c>
      <c r="I138" s="13"/>
      <c r="J138" s="13"/>
      <c r="K138" s="13"/>
      <c r="L138" s="13"/>
      <c r="M138" s="13"/>
      <c r="N138" s="13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75" customHeight="1">
      <c r="A139" s="37"/>
      <c r="B139" s="38">
        <f t="shared" si="4"/>
        <v>129</v>
      </c>
      <c r="C139" s="11">
        <f t="shared" si="5"/>
        <v>111238.09523809515</v>
      </c>
      <c r="D139" s="11">
        <f t="shared" si="0"/>
        <v>672.42527813073525</v>
      </c>
      <c r="E139" s="11">
        <f t="shared" si="1"/>
        <v>111910.52051622588</v>
      </c>
      <c r="F139" s="11">
        <f t="shared" si="6"/>
        <v>380.95238095238096</v>
      </c>
      <c r="G139" s="11">
        <f t="shared" si="2"/>
        <v>1053.3776590831162</v>
      </c>
      <c r="H139" s="11">
        <f t="shared" si="3"/>
        <v>110857.14285714277</v>
      </c>
      <c r="I139" s="13"/>
      <c r="J139" s="13"/>
      <c r="K139" s="13"/>
      <c r="L139" s="13"/>
      <c r="M139" s="13"/>
      <c r="N139" s="13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75" customHeight="1">
      <c r="A140" s="37"/>
      <c r="B140" s="38">
        <f t="shared" si="4"/>
        <v>130</v>
      </c>
      <c r="C140" s="11">
        <f t="shared" si="5"/>
        <v>110857.14285714277</v>
      </c>
      <c r="D140" s="11">
        <f t="shared" si="0"/>
        <v>670.12245183576692</v>
      </c>
      <c r="E140" s="11">
        <f t="shared" si="1"/>
        <v>111527.26530897853</v>
      </c>
      <c r="F140" s="11">
        <f t="shared" si="6"/>
        <v>380.95238095238096</v>
      </c>
      <c r="G140" s="11">
        <f t="shared" si="2"/>
        <v>1051.0748327881479</v>
      </c>
      <c r="H140" s="11">
        <f t="shared" si="3"/>
        <v>110476.19047619039</v>
      </c>
      <c r="I140" s="13"/>
      <c r="J140" s="13"/>
      <c r="K140" s="13"/>
      <c r="L140" s="13"/>
      <c r="M140" s="13"/>
      <c r="N140" s="13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75" customHeight="1">
      <c r="A141" s="37"/>
      <c r="B141" s="38">
        <f t="shared" si="4"/>
        <v>131</v>
      </c>
      <c r="C141" s="11">
        <f t="shared" si="5"/>
        <v>110476.19047619039</v>
      </c>
      <c r="D141" s="11">
        <f t="shared" si="0"/>
        <v>667.81962554079871</v>
      </c>
      <c r="E141" s="11">
        <f t="shared" si="1"/>
        <v>111144.01010173118</v>
      </c>
      <c r="F141" s="11">
        <f t="shared" si="6"/>
        <v>380.95238095238096</v>
      </c>
      <c r="G141" s="11">
        <f t="shared" si="2"/>
        <v>1048.7720064931796</v>
      </c>
      <c r="H141" s="11">
        <f t="shared" si="3"/>
        <v>110095.238095238</v>
      </c>
      <c r="I141" s="13"/>
      <c r="J141" s="13"/>
      <c r="K141" s="13"/>
      <c r="L141" s="13"/>
      <c r="M141" s="13"/>
      <c r="N141" s="13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75" customHeight="1">
      <c r="A142" s="37"/>
      <c r="B142" s="38">
        <f t="shared" si="4"/>
        <v>132</v>
      </c>
      <c r="C142" s="11">
        <f t="shared" si="5"/>
        <v>110095.238095238</v>
      </c>
      <c r="D142" s="11">
        <f t="shared" si="0"/>
        <v>665.51679924583038</v>
      </c>
      <c r="E142" s="11">
        <f t="shared" si="1"/>
        <v>110760.75489448383</v>
      </c>
      <c r="F142" s="11">
        <f t="shared" si="6"/>
        <v>380.95238095238096</v>
      </c>
      <c r="G142" s="11">
        <f t="shared" si="2"/>
        <v>1046.4691801982112</v>
      </c>
      <c r="H142" s="11">
        <f t="shared" si="3"/>
        <v>109714.28571428562</v>
      </c>
      <c r="I142" s="13"/>
      <c r="J142" s="13"/>
      <c r="K142" s="13"/>
      <c r="L142" s="13"/>
      <c r="M142" s="13"/>
      <c r="N142" s="13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75" customHeight="1">
      <c r="A143" s="37"/>
      <c r="B143" s="38">
        <f t="shared" si="4"/>
        <v>133</v>
      </c>
      <c r="C143" s="11">
        <f t="shared" si="5"/>
        <v>109714.28571428562</v>
      </c>
      <c r="D143" s="11">
        <f t="shared" si="0"/>
        <v>663.21397295086217</v>
      </c>
      <c r="E143" s="11">
        <f t="shared" si="1"/>
        <v>110377.49968723649</v>
      </c>
      <c r="F143" s="11">
        <f t="shared" si="6"/>
        <v>380.95238095238096</v>
      </c>
      <c r="G143" s="11">
        <f t="shared" si="2"/>
        <v>1044.1663539032431</v>
      </c>
      <c r="H143" s="11">
        <f t="shared" si="3"/>
        <v>109333.33333333324</v>
      </c>
      <c r="I143" s="13"/>
      <c r="J143" s="13"/>
      <c r="K143" s="13"/>
      <c r="L143" s="13"/>
      <c r="M143" s="13"/>
      <c r="N143" s="13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75" customHeight="1">
      <c r="A144" s="37"/>
      <c r="B144" s="38">
        <f t="shared" si="4"/>
        <v>134</v>
      </c>
      <c r="C144" s="11">
        <f t="shared" si="5"/>
        <v>109333.33333333324</v>
      </c>
      <c r="D144" s="11">
        <f t="shared" si="0"/>
        <v>660.91114665589384</v>
      </c>
      <c r="E144" s="11">
        <f t="shared" si="1"/>
        <v>109994.24447998914</v>
      </c>
      <c r="F144" s="11">
        <f t="shared" si="6"/>
        <v>380.95238095238096</v>
      </c>
      <c r="G144" s="11">
        <f t="shared" si="2"/>
        <v>1041.8635276082748</v>
      </c>
      <c r="H144" s="11">
        <f t="shared" si="3"/>
        <v>108952.38095238086</v>
      </c>
      <c r="I144" s="13"/>
      <c r="J144" s="13"/>
      <c r="K144" s="13"/>
      <c r="L144" s="13"/>
      <c r="M144" s="13"/>
      <c r="N144" s="13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75" customHeight="1">
      <c r="A145" s="37"/>
      <c r="B145" s="38">
        <f t="shared" si="4"/>
        <v>135</v>
      </c>
      <c r="C145" s="11">
        <f t="shared" si="5"/>
        <v>108952.38095238086</v>
      </c>
      <c r="D145" s="11">
        <f t="shared" si="0"/>
        <v>658.60832036092563</v>
      </c>
      <c r="E145" s="11">
        <f t="shared" si="1"/>
        <v>109610.98927274179</v>
      </c>
      <c r="F145" s="11">
        <f t="shared" si="6"/>
        <v>380.95238095238096</v>
      </c>
      <c r="G145" s="11">
        <f t="shared" si="2"/>
        <v>1039.5607013133067</v>
      </c>
      <c r="H145" s="11">
        <f t="shared" si="3"/>
        <v>108571.42857142848</v>
      </c>
      <c r="I145" s="13"/>
      <c r="J145" s="13"/>
      <c r="K145" s="13"/>
      <c r="L145" s="13"/>
      <c r="M145" s="13"/>
      <c r="N145" s="13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75" customHeight="1">
      <c r="A146" s="37"/>
      <c r="B146" s="38">
        <f t="shared" si="4"/>
        <v>136</v>
      </c>
      <c r="C146" s="11">
        <f t="shared" si="5"/>
        <v>108571.42857142848</v>
      </c>
      <c r="D146" s="11">
        <f t="shared" si="0"/>
        <v>656.3054940659573</v>
      </c>
      <c r="E146" s="11">
        <f t="shared" si="1"/>
        <v>109227.73406549444</v>
      </c>
      <c r="F146" s="11">
        <f t="shared" si="6"/>
        <v>380.95238095238096</v>
      </c>
      <c r="G146" s="11">
        <f t="shared" si="2"/>
        <v>1037.2578750183384</v>
      </c>
      <c r="H146" s="11">
        <f t="shared" si="3"/>
        <v>108190.4761904761</v>
      </c>
      <c r="I146" s="13"/>
      <c r="J146" s="13"/>
      <c r="K146" s="13"/>
      <c r="L146" s="13"/>
      <c r="M146" s="13"/>
      <c r="N146" s="13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75" customHeight="1">
      <c r="A147" s="37"/>
      <c r="B147" s="38">
        <f t="shared" si="4"/>
        <v>137</v>
      </c>
      <c r="C147" s="11">
        <f t="shared" si="5"/>
        <v>108190.4761904761</v>
      </c>
      <c r="D147" s="11">
        <f t="shared" si="0"/>
        <v>654.00266777098898</v>
      </c>
      <c r="E147" s="11">
        <f t="shared" si="1"/>
        <v>108844.47885824708</v>
      </c>
      <c r="F147" s="11">
        <f t="shared" si="6"/>
        <v>380.95238095238096</v>
      </c>
      <c r="G147" s="11">
        <f t="shared" si="2"/>
        <v>1034.9550487233701</v>
      </c>
      <c r="H147" s="11">
        <f t="shared" si="3"/>
        <v>107809.52380952371</v>
      </c>
      <c r="I147" s="13"/>
      <c r="J147" s="13"/>
      <c r="K147" s="13"/>
      <c r="L147" s="13"/>
      <c r="M147" s="13"/>
      <c r="N147" s="13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75" customHeight="1">
      <c r="A148" s="37"/>
      <c r="B148" s="38">
        <f t="shared" si="4"/>
        <v>138</v>
      </c>
      <c r="C148" s="11">
        <f t="shared" si="5"/>
        <v>107809.52380952371</v>
      </c>
      <c r="D148" s="11">
        <f t="shared" si="0"/>
        <v>651.69984147602077</v>
      </c>
      <c r="E148" s="11">
        <f t="shared" si="1"/>
        <v>108461.22365099973</v>
      </c>
      <c r="F148" s="11">
        <f t="shared" si="6"/>
        <v>380.95238095238096</v>
      </c>
      <c r="G148" s="11">
        <f t="shared" si="2"/>
        <v>1032.6522224284017</v>
      </c>
      <c r="H148" s="11">
        <f t="shared" si="3"/>
        <v>107428.57142857133</v>
      </c>
      <c r="I148" s="13"/>
      <c r="J148" s="13"/>
      <c r="K148" s="13"/>
      <c r="L148" s="13"/>
      <c r="M148" s="13"/>
      <c r="N148" s="13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75" customHeight="1">
      <c r="A149" s="37"/>
      <c r="B149" s="38">
        <f t="shared" si="4"/>
        <v>139</v>
      </c>
      <c r="C149" s="11">
        <f t="shared" si="5"/>
        <v>107428.57142857133</v>
      </c>
      <c r="D149" s="11">
        <f t="shared" si="0"/>
        <v>649.39701518105244</v>
      </c>
      <c r="E149" s="11">
        <f t="shared" si="1"/>
        <v>108077.96844375238</v>
      </c>
      <c r="F149" s="11">
        <f t="shared" si="6"/>
        <v>380.95238095238096</v>
      </c>
      <c r="G149" s="11">
        <f t="shared" si="2"/>
        <v>1030.3493961334334</v>
      </c>
      <c r="H149" s="11">
        <f t="shared" si="3"/>
        <v>107047.61904761895</v>
      </c>
      <c r="I149" s="13"/>
      <c r="J149" s="13"/>
      <c r="K149" s="13"/>
      <c r="L149" s="13"/>
      <c r="M149" s="13"/>
      <c r="N149" s="13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75" customHeight="1">
      <c r="A150" s="37"/>
      <c r="B150" s="38">
        <f t="shared" si="4"/>
        <v>140</v>
      </c>
      <c r="C150" s="11">
        <f t="shared" si="5"/>
        <v>107047.61904761895</v>
      </c>
      <c r="D150" s="11">
        <f t="shared" si="0"/>
        <v>647.09418888608423</v>
      </c>
      <c r="E150" s="11">
        <f t="shared" si="1"/>
        <v>107694.71323650503</v>
      </c>
      <c r="F150" s="11">
        <f t="shared" si="6"/>
        <v>380.95238095238096</v>
      </c>
      <c r="G150" s="11">
        <f t="shared" si="2"/>
        <v>1028.0465698384651</v>
      </c>
      <c r="H150" s="11">
        <f t="shared" si="3"/>
        <v>106666.66666666657</v>
      </c>
      <c r="I150" s="13"/>
      <c r="J150" s="13"/>
      <c r="K150" s="13"/>
      <c r="L150" s="13"/>
      <c r="M150" s="13"/>
      <c r="N150" s="13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75" customHeight="1">
      <c r="A151" s="37"/>
      <c r="B151" s="38">
        <f t="shared" si="4"/>
        <v>141</v>
      </c>
      <c r="C151" s="11">
        <f t="shared" si="5"/>
        <v>106666.66666666657</v>
      </c>
      <c r="D151" s="11">
        <f t="shared" si="0"/>
        <v>644.7913625911159</v>
      </c>
      <c r="E151" s="11">
        <f t="shared" si="1"/>
        <v>107311.45802925769</v>
      </c>
      <c r="F151" s="11">
        <f t="shared" si="6"/>
        <v>380.95238095238096</v>
      </c>
      <c r="G151" s="11">
        <f t="shared" si="2"/>
        <v>1025.7437435434967</v>
      </c>
      <c r="H151" s="11">
        <f t="shared" si="3"/>
        <v>106285.71428571419</v>
      </c>
      <c r="I151" s="13"/>
      <c r="J151" s="13"/>
      <c r="K151" s="13"/>
      <c r="L151" s="13"/>
      <c r="M151" s="13"/>
      <c r="N151" s="13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75" customHeight="1">
      <c r="A152" s="37"/>
      <c r="B152" s="38">
        <f t="shared" si="4"/>
        <v>142</v>
      </c>
      <c r="C152" s="11">
        <f t="shared" si="5"/>
        <v>106285.71428571419</v>
      </c>
      <c r="D152" s="11">
        <f t="shared" si="0"/>
        <v>642.48853629614769</v>
      </c>
      <c r="E152" s="11">
        <f t="shared" si="1"/>
        <v>106928.20282201034</v>
      </c>
      <c r="F152" s="11">
        <f t="shared" si="6"/>
        <v>380.95238095238096</v>
      </c>
      <c r="G152" s="11">
        <f t="shared" si="2"/>
        <v>1023.4409172485286</v>
      </c>
      <c r="H152" s="11">
        <f t="shared" si="3"/>
        <v>105904.76190476181</v>
      </c>
      <c r="I152" s="13"/>
      <c r="J152" s="13"/>
      <c r="K152" s="13"/>
      <c r="L152" s="13"/>
      <c r="M152" s="13"/>
      <c r="N152" s="13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75" customHeight="1">
      <c r="A153" s="37"/>
      <c r="B153" s="38">
        <f t="shared" si="4"/>
        <v>143</v>
      </c>
      <c r="C153" s="11">
        <f t="shared" si="5"/>
        <v>105904.76190476181</v>
      </c>
      <c r="D153" s="11">
        <f t="shared" si="0"/>
        <v>640.18571000117936</v>
      </c>
      <c r="E153" s="11">
        <f t="shared" si="1"/>
        <v>106544.94761476299</v>
      </c>
      <c r="F153" s="11">
        <f t="shared" si="6"/>
        <v>380.95238095238096</v>
      </c>
      <c r="G153" s="11">
        <f t="shared" si="2"/>
        <v>1021.1380909535603</v>
      </c>
      <c r="H153" s="11">
        <f t="shared" si="3"/>
        <v>105523.80952380942</v>
      </c>
      <c r="I153" s="13"/>
      <c r="J153" s="13"/>
      <c r="K153" s="13"/>
      <c r="L153" s="13"/>
      <c r="M153" s="13"/>
      <c r="N153" s="13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75" customHeight="1">
      <c r="A154" s="37"/>
      <c r="B154" s="38">
        <f t="shared" si="4"/>
        <v>144</v>
      </c>
      <c r="C154" s="11">
        <f t="shared" si="5"/>
        <v>105523.80952380942</v>
      </c>
      <c r="D154" s="11">
        <f t="shared" si="0"/>
        <v>637.88288370621103</v>
      </c>
      <c r="E154" s="11">
        <f t="shared" si="1"/>
        <v>106161.69240751564</v>
      </c>
      <c r="F154" s="11">
        <f t="shared" si="6"/>
        <v>380.95238095238096</v>
      </c>
      <c r="G154" s="11">
        <f t="shared" si="2"/>
        <v>1018.835264658592</v>
      </c>
      <c r="H154" s="11">
        <f t="shared" si="3"/>
        <v>105142.85714285704</v>
      </c>
      <c r="I154" s="13"/>
      <c r="J154" s="13"/>
      <c r="K154" s="13"/>
      <c r="L154" s="13"/>
      <c r="M154" s="13"/>
      <c r="N154" s="13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75" customHeight="1">
      <c r="A155" s="37"/>
      <c r="B155" s="38">
        <f t="shared" si="4"/>
        <v>145</v>
      </c>
      <c r="C155" s="11">
        <f t="shared" si="5"/>
        <v>105142.85714285704</v>
      </c>
      <c r="D155" s="11">
        <f t="shared" si="0"/>
        <v>635.58005741124282</v>
      </c>
      <c r="E155" s="11">
        <f t="shared" si="1"/>
        <v>105778.43720026828</v>
      </c>
      <c r="F155" s="11">
        <f t="shared" si="6"/>
        <v>380.95238095238096</v>
      </c>
      <c r="G155" s="11">
        <f t="shared" si="2"/>
        <v>1016.5324383636238</v>
      </c>
      <c r="H155" s="11">
        <f t="shared" si="3"/>
        <v>104761.90476190466</v>
      </c>
      <c r="I155" s="13"/>
      <c r="J155" s="13"/>
      <c r="K155" s="13"/>
      <c r="L155" s="13"/>
      <c r="M155" s="13"/>
      <c r="N155" s="13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75" customHeight="1">
      <c r="A156" s="37"/>
      <c r="B156" s="38">
        <f t="shared" si="4"/>
        <v>146</v>
      </c>
      <c r="C156" s="11">
        <f t="shared" si="5"/>
        <v>104761.90476190466</v>
      </c>
      <c r="D156" s="11">
        <f t="shared" si="0"/>
        <v>633.27723111627449</v>
      </c>
      <c r="E156" s="11">
        <f t="shared" si="1"/>
        <v>105395.18199302093</v>
      </c>
      <c r="F156" s="11">
        <f t="shared" si="6"/>
        <v>380.95238095238096</v>
      </c>
      <c r="G156" s="11">
        <f t="shared" si="2"/>
        <v>1014.2296120686555</v>
      </c>
      <c r="H156" s="11">
        <f t="shared" si="3"/>
        <v>104380.95238095228</v>
      </c>
      <c r="I156" s="13"/>
      <c r="J156" s="13"/>
      <c r="K156" s="13"/>
      <c r="L156" s="13"/>
      <c r="M156" s="13"/>
      <c r="N156" s="13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75" customHeight="1">
      <c r="A157" s="37"/>
      <c r="B157" s="38">
        <f t="shared" si="4"/>
        <v>147</v>
      </c>
      <c r="C157" s="11">
        <f t="shared" si="5"/>
        <v>104380.95238095228</v>
      </c>
      <c r="D157" s="11">
        <f t="shared" si="0"/>
        <v>630.97440482130628</v>
      </c>
      <c r="E157" s="11">
        <f t="shared" si="1"/>
        <v>105011.92678577358</v>
      </c>
      <c r="F157" s="11">
        <f t="shared" si="6"/>
        <v>380.95238095238096</v>
      </c>
      <c r="G157" s="11">
        <f t="shared" si="2"/>
        <v>1011.9267857736872</v>
      </c>
      <c r="H157" s="11">
        <f t="shared" si="3"/>
        <v>103999.9999999999</v>
      </c>
      <c r="I157" s="13"/>
      <c r="J157" s="13"/>
      <c r="K157" s="13"/>
      <c r="L157" s="13"/>
      <c r="M157" s="13"/>
      <c r="N157" s="13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75" customHeight="1">
      <c r="A158" s="37"/>
      <c r="B158" s="38">
        <f t="shared" si="4"/>
        <v>148</v>
      </c>
      <c r="C158" s="11">
        <f t="shared" si="5"/>
        <v>103999.9999999999</v>
      </c>
      <c r="D158" s="11">
        <f t="shared" si="0"/>
        <v>628.67157852633795</v>
      </c>
      <c r="E158" s="11">
        <f t="shared" si="1"/>
        <v>104628.67157852623</v>
      </c>
      <c r="F158" s="11">
        <f t="shared" si="6"/>
        <v>380.95238095238096</v>
      </c>
      <c r="G158" s="11">
        <f t="shared" si="2"/>
        <v>1009.6239594787189</v>
      </c>
      <c r="H158" s="11">
        <f t="shared" si="3"/>
        <v>103619.04761904752</v>
      </c>
      <c r="I158" s="13"/>
      <c r="J158" s="13"/>
      <c r="K158" s="13"/>
      <c r="L158" s="13"/>
      <c r="M158" s="13"/>
      <c r="N158" s="13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75" customHeight="1">
      <c r="A159" s="37"/>
      <c r="B159" s="38">
        <f t="shared" si="4"/>
        <v>149</v>
      </c>
      <c r="C159" s="11">
        <f t="shared" si="5"/>
        <v>103619.04761904752</v>
      </c>
      <c r="D159" s="11">
        <f t="shared" si="0"/>
        <v>626.36875223136974</v>
      </c>
      <c r="E159" s="11">
        <f t="shared" si="1"/>
        <v>104245.41637127889</v>
      </c>
      <c r="F159" s="11">
        <f t="shared" si="6"/>
        <v>380.95238095238096</v>
      </c>
      <c r="G159" s="11">
        <f t="shared" si="2"/>
        <v>1007.3211331837507</v>
      </c>
      <c r="H159" s="11">
        <f t="shared" si="3"/>
        <v>103238.09523809513</v>
      </c>
      <c r="I159" s="13"/>
      <c r="J159" s="13"/>
      <c r="K159" s="13"/>
      <c r="L159" s="13"/>
      <c r="M159" s="13"/>
      <c r="N159" s="13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75" customHeight="1">
      <c r="A160" s="37"/>
      <c r="B160" s="38">
        <f t="shared" si="4"/>
        <v>150</v>
      </c>
      <c r="C160" s="11">
        <f t="shared" si="5"/>
        <v>103238.09523809513</v>
      </c>
      <c r="D160" s="11">
        <f t="shared" si="0"/>
        <v>624.06592593640141</v>
      </c>
      <c r="E160" s="11">
        <f t="shared" si="1"/>
        <v>103862.16116403154</v>
      </c>
      <c r="F160" s="11">
        <f t="shared" si="6"/>
        <v>380.95238095238096</v>
      </c>
      <c r="G160" s="11">
        <f t="shared" si="2"/>
        <v>1005.0183068887824</v>
      </c>
      <c r="H160" s="11">
        <f t="shared" si="3"/>
        <v>102857.14285714275</v>
      </c>
      <c r="I160" s="13"/>
      <c r="J160" s="13"/>
      <c r="K160" s="13"/>
      <c r="L160" s="13"/>
      <c r="M160" s="13"/>
      <c r="N160" s="13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75" customHeight="1">
      <c r="A161" s="37"/>
      <c r="B161" s="38">
        <f t="shared" si="4"/>
        <v>151</v>
      </c>
      <c r="C161" s="11">
        <f t="shared" si="5"/>
        <v>102857.14285714275</v>
      </c>
      <c r="D161" s="11">
        <f t="shared" si="0"/>
        <v>621.7630996414332</v>
      </c>
      <c r="E161" s="11">
        <f t="shared" si="1"/>
        <v>103478.90595678419</v>
      </c>
      <c r="F161" s="11">
        <f t="shared" si="6"/>
        <v>380.95238095238096</v>
      </c>
      <c r="G161" s="11">
        <f t="shared" si="2"/>
        <v>1002.7154805938142</v>
      </c>
      <c r="H161" s="11">
        <f t="shared" si="3"/>
        <v>102476.19047619037</v>
      </c>
      <c r="I161" s="13"/>
      <c r="J161" s="13"/>
      <c r="K161" s="13"/>
      <c r="L161" s="13"/>
      <c r="M161" s="13"/>
      <c r="N161" s="13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75" customHeight="1">
      <c r="A162" s="37"/>
      <c r="B162" s="38">
        <f t="shared" si="4"/>
        <v>152</v>
      </c>
      <c r="C162" s="11">
        <f t="shared" si="5"/>
        <v>102476.19047619037</v>
      </c>
      <c r="D162" s="11">
        <f t="shared" si="0"/>
        <v>619.46027334646487</v>
      </c>
      <c r="E162" s="11">
        <f t="shared" si="1"/>
        <v>103095.65074953684</v>
      </c>
      <c r="F162" s="11">
        <f t="shared" si="6"/>
        <v>380.95238095238096</v>
      </c>
      <c r="G162" s="11">
        <f t="shared" si="2"/>
        <v>1000.4126542988458</v>
      </c>
      <c r="H162" s="11">
        <f t="shared" si="3"/>
        <v>102095.23809523799</v>
      </c>
      <c r="I162" s="13"/>
      <c r="J162" s="13"/>
      <c r="K162" s="13"/>
      <c r="L162" s="13"/>
      <c r="M162" s="13"/>
      <c r="N162" s="13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75" customHeight="1">
      <c r="A163" s="37"/>
      <c r="B163" s="38">
        <f t="shared" si="4"/>
        <v>153</v>
      </c>
      <c r="C163" s="11">
        <f t="shared" si="5"/>
        <v>102095.23809523799</v>
      </c>
      <c r="D163" s="11">
        <f t="shared" si="0"/>
        <v>617.15744705149655</v>
      </c>
      <c r="E163" s="11">
        <f t="shared" si="1"/>
        <v>102712.39554228948</v>
      </c>
      <c r="F163" s="11">
        <f t="shared" si="6"/>
        <v>380.95238095238096</v>
      </c>
      <c r="G163" s="11">
        <f t="shared" si="2"/>
        <v>998.10982800387751</v>
      </c>
      <c r="H163" s="11">
        <f t="shared" si="3"/>
        <v>101714.28571428561</v>
      </c>
      <c r="I163" s="13"/>
      <c r="J163" s="13"/>
      <c r="K163" s="13"/>
      <c r="L163" s="13"/>
      <c r="M163" s="13"/>
      <c r="N163" s="13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75" customHeight="1">
      <c r="A164" s="37"/>
      <c r="B164" s="38">
        <f t="shared" si="4"/>
        <v>154</v>
      </c>
      <c r="C164" s="11">
        <f t="shared" si="5"/>
        <v>101714.28571428561</v>
      </c>
      <c r="D164" s="11">
        <f t="shared" si="0"/>
        <v>614.85462075652833</v>
      </c>
      <c r="E164" s="11">
        <f t="shared" si="1"/>
        <v>102329.14033504213</v>
      </c>
      <c r="F164" s="11">
        <f t="shared" si="6"/>
        <v>380.95238095238096</v>
      </c>
      <c r="G164" s="11">
        <f t="shared" si="2"/>
        <v>995.8070017089093</v>
      </c>
      <c r="H164" s="11">
        <f t="shared" si="3"/>
        <v>101333.33333333323</v>
      </c>
      <c r="I164" s="13"/>
      <c r="J164" s="13"/>
      <c r="K164" s="13"/>
      <c r="L164" s="13"/>
      <c r="M164" s="13"/>
      <c r="N164" s="13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75" customHeight="1">
      <c r="A165" s="37"/>
      <c r="B165" s="38">
        <f t="shared" si="4"/>
        <v>155</v>
      </c>
      <c r="C165" s="11">
        <f t="shared" si="5"/>
        <v>101333.33333333323</v>
      </c>
      <c r="D165" s="11">
        <f t="shared" si="0"/>
        <v>612.55179446156001</v>
      </c>
      <c r="E165" s="11">
        <f t="shared" si="1"/>
        <v>101945.88512779478</v>
      </c>
      <c r="F165" s="11">
        <f t="shared" si="6"/>
        <v>380.95238095238096</v>
      </c>
      <c r="G165" s="11">
        <f t="shared" si="2"/>
        <v>993.50417541394097</v>
      </c>
      <c r="H165" s="11">
        <f t="shared" si="3"/>
        <v>100952.38095238084</v>
      </c>
      <c r="I165" s="13"/>
      <c r="J165" s="13"/>
      <c r="K165" s="13"/>
      <c r="L165" s="13"/>
      <c r="M165" s="13"/>
      <c r="N165" s="13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75" customHeight="1">
      <c r="A166" s="37"/>
      <c r="B166" s="38">
        <f t="shared" si="4"/>
        <v>156</v>
      </c>
      <c r="C166" s="11">
        <f t="shared" si="5"/>
        <v>100952.38095238084</v>
      </c>
      <c r="D166" s="11">
        <f t="shared" si="0"/>
        <v>610.24896816659179</v>
      </c>
      <c r="E166" s="11">
        <f t="shared" si="1"/>
        <v>101562.62992054744</v>
      </c>
      <c r="F166" s="11">
        <f t="shared" si="6"/>
        <v>380.95238095238096</v>
      </c>
      <c r="G166" s="11">
        <f t="shared" si="2"/>
        <v>991.20134911897276</v>
      </c>
      <c r="H166" s="11">
        <f t="shared" si="3"/>
        <v>100571.42857142846</v>
      </c>
      <c r="I166" s="13"/>
      <c r="J166" s="13"/>
      <c r="K166" s="13"/>
      <c r="L166" s="13"/>
      <c r="M166" s="13"/>
      <c r="N166" s="13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75" customHeight="1">
      <c r="A167" s="37"/>
      <c r="B167" s="38">
        <f t="shared" si="4"/>
        <v>157</v>
      </c>
      <c r="C167" s="11">
        <f t="shared" si="5"/>
        <v>100571.42857142846</v>
      </c>
      <c r="D167" s="11">
        <f t="shared" si="0"/>
        <v>607.94614187162347</v>
      </c>
      <c r="E167" s="11">
        <f t="shared" si="1"/>
        <v>101179.37471330009</v>
      </c>
      <c r="F167" s="11">
        <f t="shared" si="6"/>
        <v>380.95238095238096</v>
      </c>
      <c r="G167" s="11">
        <f t="shared" si="2"/>
        <v>988.89852282400443</v>
      </c>
      <c r="H167" s="11">
        <f t="shared" si="3"/>
        <v>100190.47619047608</v>
      </c>
      <c r="I167" s="13"/>
      <c r="J167" s="13"/>
      <c r="K167" s="13"/>
      <c r="L167" s="13"/>
      <c r="M167" s="13"/>
      <c r="N167" s="13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75" customHeight="1">
      <c r="A168" s="37"/>
      <c r="B168" s="38">
        <f t="shared" si="4"/>
        <v>158</v>
      </c>
      <c r="C168" s="11">
        <f t="shared" si="5"/>
        <v>100190.47619047608</v>
      </c>
      <c r="D168" s="11">
        <f t="shared" si="0"/>
        <v>605.64331557665525</v>
      </c>
      <c r="E168" s="11">
        <f t="shared" si="1"/>
        <v>100796.11950605274</v>
      </c>
      <c r="F168" s="11">
        <f t="shared" si="6"/>
        <v>380.95238095238096</v>
      </c>
      <c r="G168" s="11">
        <f t="shared" si="2"/>
        <v>986.59569652903622</v>
      </c>
      <c r="H168" s="11">
        <f t="shared" si="3"/>
        <v>99809.5238095237</v>
      </c>
      <c r="I168" s="13"/>
      <c r="J168" s="13"/>
      <c r="K168" s="13"/>
      <c r="L168" s="13"/>
      <c r="M168" s="13"/>
      <c r="N168" s="13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75" customHeight="1">
      <c r="A169" s="37"/>
      <c r="B169" s="38">
        <f t="shared" si="4"/>
        <v>159</v>
      </c>
      <c r="C169" s="11">
        <f t="shared" si="5"/>
        <v>99809.5238095237</v>
      </c>
      <c r="D169" s="11">
        <f t="shared" si="0"/>
        <v>603.34048928168693</v>
      </c>
      <c r="E169" s="11">
        <f t="shared" si="1"/>
        <v>100412.86429880539</v>
      </c>
      <c r="F169" s="11">
        <f t="shared" si="6"/>
        <v>380.95238095238096</v>
      </c>
      <c r="G169" s="11">
        <f t="shared" si="2"/>
        <v>984.29287023406789</v>
      </c>
      <c r="H169" s="11">
        <f t="shared" si="3"/>
        <v>99428.571428571318</v>
      </c>
      <c r="I169" s="13"/>
      <c r="J169" s="13"/>
      <c r="K169" s="13"/>
      <c r="L169" s="13"/>
      <c r="M169" s="13"/>
      <c r="N169" s="13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75" customHeight="1">
      <c r="A170" s="37"/>
      <c r="B170" s="38">
        <f t="shared" si="4"/>
        <v>160</v>
      </c>
      <c r="C170" s="11">
        <f t="shared" si="5"/>
        <v>99428.571428571318</v>
      </c>
      <c r="D170" s="11">
        <f t="shared" si="0"/>
        <v>601.0376629867186</v>
      </c>
      <c r="E170" s="11">
        <f t="shared" si="1"/>
        <v>100029.60909155804</v>
      </c>
      <c r="F170" s="11">
        <f t="shared" si="6"/>
        <v>380.95238095238096</v>
      </c>
      <c r="G170" s="11">
        <f t="shared" si="2"/>
        <v>981.99004393909956</v>
      </c>
      <c r="H170" s="11">
        <f t="shared" si="3"/>
        <v>99047.619047618937</v>
      </c>
      <c r="I170" s="13"/>
      <c r="J170" s="13"/>
      <c r="K170" s="13"/>
      <c r="L170" s="13"/>
      <c r="M170" s="13"/>
      <c r="N170" s="13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75" customHeight="1">
      <c r="A171" s="37"/>
      <c r="B171" s="38">
        <f t="shared" si="4"/>
        <v>161</v>
      </c>
      <c r="C171" s="11">
        <f t="shared" si="5"/>
        <v>99047.619047618937</v>
      </c>
      <c r="D171" s="11">
        <f t="shared" si="0"/>
        <v>598.73483669175039</v>
      </c>
      <c r="E171" s="11">
        <f t="shared" si="1"/>
        <v>99646.353884310694</v>
      </c>
      <c r="F171" s="11">
        <f t="shared" si="6"/>
        <v>380.95238095238096</v>
      </c>
      <c r="G171" s="11">
        <f t="shared" si="2"/>
        <v>979.68721764413135</v>
      </c>
      <c r="H171" s="11">
        <f t="shared" si="3"/>
        <v>98666.66666666657</v>
      </c>
      <c r="I171" s="13"/>
      <c r="J171" s="13"/>
      <c r="K171" s="13"/>
      <c r="L171" s="13"/>
      <c r="M171" s="13"/>
      <c r="N171" s="13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75" customHeight="1">
      <c r="A172" s="37"/>
      <c r="B172" s="38">
        <f t="shared" si="4"/>
        <v>162</v>
      </c>
      <c r="C172" s="11">
        <f t="shared" si="5"/>
        <v>98666.66666666657</v>
      </c>
      <c r="D172" s="11">
        <f t="shared" si="0"/>
        <v>596.43201039678218</v>
      </c>
      <c r="E172" s="11">
        <f t="shared" si="1"/>
        <v>99263.098677063346</v>
      </c>
      <c r="F172" s="11">
        <f t="shared" si="6"/>
        <v>380.95238095238096</v>
      </c>
      <c r="G172" s="11">
        <f t="shared" si="2"/>
        <v>977.38439134916314</v>
      </c>
      <c r="H172" s="11">
        <f t="shared" si="3"/>
        <v>98285.714285714188</v>
      </c>
      <c r="I172" s="13"/>
      <c r="J172" s="13"/>
      <c r="K172" s="13"/>
      <c r="L172" s="13"/>
      <c r="M172" s="13"/>
      <c r="N172" s="13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75" customHeight="1">
      <c r="A173" s="37"/>
      <c r="B173" s="38">
        <f t="shared" si="4"/>
        <v>163</v>
      </c>
      <c r="C173" s="11">
        <f t="shared" si="5"/>
        <v>98285.714285714188</v>
      </c>
      <c r="D173" s="11">
        <f t="shared" si="0"/>
        <v>594.12918410181385</v>
      </c>
      <c r="E173" s="11">
        <f t="shared" si="1"/>
        <v>98879.843469815998</v>
      </c>
      <c r="F173" s="11">
        <f t="shared" si="6"/>
        <v>380.95238095238096</v>
      </c>
      <c r="G173" s="11">
        <f t="shared" si="2"/>
        <v>975.08156505419481</v>
      </c>
      <c r="H173" s="11">
        <f t="shared" si="3"/>
        <v>97904.761904761806</v>
      </c>
      <c r="I173" s="13"/>
      <c r="J173" s="13"/>
      <c r="K173" s="13"/>
      <c r="L173" s="13"/>
      <c r="M173" s="13"/>
      <c r="N173" s="13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75" customHeight="1">
      <c r="A174" s="37"/>
      <c r="B174" s="38">
        <f t="shared" si="4"/>
        <v>164</v>
      </c>
      <c r="C174" s="11">
        <f t="shared" si="5"/>
        <v>97904.761904761806</v>
      </c>
      <c r="D174" s="11">
        <f t="shared" si="0"/>
        <v>591.82635780684564</v>
      </c>
      <c r="E174" s="11">
        <f t="shared" si="1"/>
        <v>98496.58826256865</v>
      </c>
      <c r="F174" s="11">
        <f t="shared" si="6"/>
        <v>380.95238095238096</v>
      </c>
      <c r="G174" s="11">
        <f t="shared" si="2"/>
        <v>972.7787387592266</v>
      </c>
      <c r="H174" s="11">
        <f t="shared" si="3"/>
        <v>97523.809523809425</v>
      </c>
      <c r="I174" s="13"/>
      <c r="J174" s="13"/>
      <c r="K174" s="13"/>
      <c r="L174" s="13"/>
      <c r="M174" s="13"/>
      <c r="N174" s="13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75" customHeight="1">
      <c r="A175" s="37"/>
      <c r="B175" s="38">
        <f t="shared" si="4"/>
        <v>165</v>
      </c>
      <c r="C175" s="11">
        <f t="shared" si="5"/>
        <v>97523.809523809425</v>
      </c>
      <c r="D175" s="11">
        <f t="shared" si="0"/>
        <v>589.52353151187731</v>
      </c>
      <c r="E175" s="11">
        <f t="shared" si="1"/>
        <v>98113.333055321302</v>
      </c>
      <c r="F175" s="11">
        <f t="shared" si="6"/>
        <v>380.95238095238096</v>
      </c>
      <c r="G175" s="11">
        <f t="shared" si="2"/>
        <v>970.47591246425827</v>
      </c>
      <c r="H175" s="11">
        <f t="shared" si="3"/>
        <v>97142.857142857043</v>
      </c>
      <c r="I175" s="13"/>
      <c r="J175" s="13"/>
      <c r="K175" s="13"/>
      <c r="L175" s="13"/>
      <c r="M175" s="13"/>
      <c r="N175" s="13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75" customHeight="1">
      <c r="A176" s="37"/>
      <c r="B176" s="38">
        <f t="shared" si="4"/>
        <v>166</v>
      </c>
      <c r="C176" s="11">
        <f t="shared" si="5"/>
        <v>97142.857142857043</v>
      </c>
      <c r="D176" s="11">
        <f t="shared" si="0"/>
        <v>587.2207052169091</v>
      </c>
      <c r="E176" s="11">
        <f t="shared" si="1"/>
        <v>97730.077848073954</v>
      </c>
      <c r="F176" s="11">
        <f t="shared" si="6"/>
        <v>380.95238095238096</v>
      </c>
      <c r="G176" s="11">
        <f t="shared" si="2"/>
        <v>968.17308616929006</v>
      </c>
      <c r="H176" s="11">
        <f t="shared" si="3"/>
        <v>96761.904761904661</v>
      </c>
      <c r="I176" s="13"/>
      <c r="J176" s="13"/>
      <c r="K176" s="13"/>
      <c r="L176" s="13"/>
      <c r="M176" s="13"/>
      <c r="N176" s="13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75" customHeight="1">
      <c r="A177" s="37"/>
      <c r="B177" s="38">
        <f t="shared" si="4"/>
        <v>167</v>
      </c>
      <c r="C177" s="11">
        <f t="shared" si="5"/>
        <v>96761.904761904661</v>
      </c>
      <c r="D177" s="11">
        <f t="shared" si="0"/>
        <v>584.91787892194077</v>
      </c>
      <c r="E177" s="11">
        <f t="shared" si="1"/>
        <v>97346.822640826605</v>
      </c>
      <c r="F177" s="11">
        <f t="shared" si="6"/>
        <v>380.95238095238096</v>
      </c>
      <c r="G177" s="11">
        <f t="shared" si="2"/>
        <v>965.87025987432173</v>
      </c>
      <c r="H177" s="11">
        <f t="shared" si="3"/>
        <v>96380.95238095228</v>
      </c>
      <c r="I177" s="13"/>
      <c r="J177" s="13"/>
      <c r="K177" s="13"/>
      <c r="L177" s="13"/>
      <c r="M177" s="13"/>
      <c r="N177" s="13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75" customHeight="1">
      <c r="A178" s="37"/>
      <c r="B178" s="38">
        <f t="shared" si="4"/>
        <v>168</v>
      </c>
      <c r="C178" s="11">
        <f t="shared" si="5"/>
        <v>96380.95238095228</v>
      </c>
      <c r="D178" s="11">
        <f t="shared" si="0"/>
        <v>582.61505262697256</v>
      </c>
      <c r="E178" s="11">
        <f t="shared" si="1"/>
        <v>96963.567433579257</v>
      </c>
      <c r="F178" s="11">
        <f t="shared" si="6"/>
        <v>380.95238095238096</v>
      </c>
      <c r="G178" s="11">
        <f t="shared" si="2"/>
        <v>963.56743357935352</v>
      </c>
      <c r="H178" s="11">
        <f t="shared" si="3"/>
        <v>95999.999999999898</v>
      </c>
      <c r="I178" s="13"/>
      <c r="J178" s="13"/>
      <c r="K178" s="13"/>
      <c r="L178" s="13"/>
      <c r="M178" s="13"/>
      <c r="N178" s="13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75" customHeight="1">
      <c r="A179" s="37"/>
      <c r="B179" s="38">
        <f t="shared" si="4"/>
        <v>169</v>
      </c>
      <c r="C179" s="11">
        <f t="shared" si="5"/>
        <v>95999.999999999898</v>
      </c>
      <c r="D179" s="11">
        <f t="shared" si="0"/>
        <v>580.31222633200423</v>
      </c>
      <c r="E179" s="11">
        <f t="shared" si="1"/>
        <v>96580.312226331909</v>
      </c>
      <c r="F179" s="11">
        <f t="shared" si="6"/>
        <v>380.95238095238096</v>
      </c>
      <c r="G179" s="11">
        <f t="shared" si="2"/>
        <v>961.26460728438519</v>
      </c>
      <c r="H179" s="11">
        <f t="shared" si="3"/>
        <v>95619.047619047531</v>
      </c>
      <c r="I179" s="13"/>
      <c r="J179" s="13"/>
      <c r="K179" s="13"/>
      <c r="L179" s="13"/>
      <c r="M179" s="13"/>
      <c r="N179" s="13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75" customHeight="1">
      <c r="A180" s="37"/>
      <c r="B180" s="38">
        <f t="shared" si="4"/>
        <v>170</v>
      </c>
      <c r="C180" s="11">
        <f t="shared" si="5"/>
        <v>95619.047619047531</v>
      </c>
      <c r="D180" s="11">
        <f t="shared" si="0"/>
        <v>578.00940003703602</v>
      </c>
      <c r="E180" s="11">
        <f t="shared" si="1"/>
        <v>96197.057019084561</v>
      </c>
      <c r="F180" s="11">
        <f t="shared" si="6"/>
        <v>380.95238095238096</v>
      </c>
      <c r="G180" s="11">
        <f t="shared" si="2"/>
        <v>958.96178098941698</v>
      </c>
      <c r="H180" s="11">
        <f t="shared" si="3"/>
        <v>95238.095238095149</v>
      </c>
      <c r="I180" s="13"/>
      <c r="J180" s="13"/>
      <c r="K180" s="13"/>
      <c r="L180" s="13"/>
      <c r="M180" s="13"/>
      <c r="N180" s="13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75" customHeight="1">
      <c r="A181" s="37"/>
      <c r="B181" s="38">
        <f t="shared" si="4"/>
        <v>171</v>
      </c>
      <c r="C181" s="11">
        <f t="shared" si="5"/>
        <v>95238.095238095149</v>
      </c>
      <c r="D181" s="11">
        <f t="shared" si="0"/>
        <v>575.7065737420678</v>
      </c>
      <c r="E181" s="11">
        <f t="shared" si="1"/>
        <v>95813.801811837213</v>
      </c>
      <c r="F181" s="11">
        <f t="shared" si="6"/>
        <v>380.95238095238096</v>
      </c>
      <c r="G181" s="11">
        <f t="shared" si="2"/>
        <v>956.65895469444877</v>
      </c>
      <c r="H181" s="11">
        <f t="shared" si="3"/>
        <v>94857.142857142768</v>
      </c>
      <c r="I181" s="13"/>
      <c r="J181" s="13"/>
      <c r="K181" s="13"/>
      <c r="L181" s="13"/>
      <c r="M181" s="13"/>
      <c r="N181" s="13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75" customHeight="1">
      <c r="A182" s="37"/>
      <c r="B182" s="38">
        <f t="shared" si="4"/>
        <v>172</v>
      </c>
      <c r="C182" s="11">
        <f t="shared" si="5"/>
        <v>94857.142857142768</v>
      </c>
      <c r="D182" s="11">
        <f t="shared" si="0"/>
        <v>573.40374744709948</v>
      </c>
      <c r="E182" s="11">
        <f t="shared" si="1"/>
        <v>95430.546604589865</v>
      </c>
      <c r="F182" s="11">
        <f t="shared" si="6"/>
        <v>380.95238095238096</v>
      </c>
      <c r="G182" s="11">
        <f t="shared" si="2"/>
        <v>954.35612839948044</v>
      </c>
      <c r="H182" s="11">
        <f t="shared" si="3"/>
        <v>94476.190476190386</v>
      </c>
      <c r="I182" s="13"/>
      <c r="J182" s="13"/>
      <c r="K182" s="13"/>
      <c r="L182" s="13"/>
      <c r="M182" s="13"/>
      <c r="N182" s="13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75" customHeight="1">
      <c r="A183" s="37"/>
      <c r="B183" s="38">
        <f t="shared" si="4"/>
        <v>173</v>
      </c>
      <c r="C183" s="11">
        <f t="shared" si="5"/>
        <v>94476.190476190386</v>
      </c>
      <c r="D183" s="11">
        <f t="shared" si="0"/>
        <v>571.10092115213126</v>
      </c>
      <c r="E183" s="11">
        <f t="shared" si="1"/>
        <v>95047.291397342517</v>
      </c>
      <c r="F183" s="11">
        <f t="shared" si="6"/>
        <v>380.95238095238096</v>
      </c>
      <c r="G183" s="11">
        <f t="shared" si="2"/>
        <v>952.05330210451223</v>
      </c>
      <c r="H183" s="11">
        <f t="shared" si="3"/>
        <v>94095.238095238004</v>
      </c>
      <c r="I183" s="13"/>
      <c r="J183" s="13"/>
      <c r="K183" s="13"/>
      <c r="L183" s="13"/>
      <c r="M183" s="13"/>
      <c r="N183" s="13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75" customHeight="1">
      <c r="A184" s="37"/>
      <c r="B184" s="38">
        <f t="shared" si="4"/>
        <v>174</v>
      </c>
      <c r="C184" s="11">
        <f t="shared" si="5"/>
        <v>94095.238095238004</v>
      </c>
      <c r="D184" s="11">
        <f t="shared" si="0"/>
        <v>568.79809485716294</v>
      </c>
      <c r="E184" s="11">
        <f t="shared" si="1"/>
        <v>94664.036190095168</v>
      </c>
      <c r="F184" s="11">
        <f t="shared" si="6"/>
        <v>380.95238095238096</v>
      </c>
      <c r="G184" s="11">
        <f t="shared" si="2"/>
        <v>949.7504758095439</v>
      </c>
      <c r="H184" s="11">
        <f t="shared" si="3"/>
        <v>93714.285714285623</v>
      </c>
      <c r="I184" s="13"/>
      <c r="J184" s="13"/>
      <c r="K184" s="13"/>
      <c r="L184" s="13"/>
      <c r="M184" s="13"/>
      <c r="N184" s="13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75" customHeight="1">
      <c r="A185" s="37"/>
      <c r="B185" s="38">
        <f t="shared" si="4"/>
        <v>175</v>
      </c>
      <c r="C185" s="11">
        <f t="shared" si="5"/>
        <v>93714.285714285623</v>
      </c>
      <c r="D185" s="11">
        <f t="shared" si="0"/>
        <v>566.49526856219461</v>
      </c>
      <c r="E185" s="11">
        <f t="shared" si="1"/>
        <v>94280.78098284782</v>
      </c>
      <c r="F185" s="11">
        <f t="shared" si="6"/>
        <v>380.95238095238096</v>
      </c>
      <c r="G185" s="11">
        <f t="shared" si="2"/>
        <v>947.44764951457557</v>
      </c>
      <c r="H185" s="11">
        <f t="shared" si="3"/>
        <v>93333.333333333241</v>
      </c>
      <c r="I185" s="13"/>
      <c r="J185" s="13"/>
      <c r="K185" s="13"/>
      <c r="L185" s="13"/>
      <c r="M185" s="13"/>
      <c r="N185" s="13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75" customHeight="1">
      <c r="A186" s="37"/>
      <c r="B186" s="38">
        <f t="shared" si="4"/>
        <v>176</v>
      </c>
      <c r="C186" s="11">
        <f t="shared" si="5"/>
        <v>93333.333333333241</v>
      </c>
      <c r="D186" s="11">
        <f t="shared" si="0"/>
        <v>564.1924422672264</v>
      </c>
      <c r="E186" s="11">
        <f t="shared" si="1"/>
        <v>93897.525775600472</v>
      </c>
      <c r="F186" s="11">
        <f t="shared" si="6"/>
        <v>380.95238095238096</v>
      </c>
      <c r="G186" s="11">
        <f t="shared" si="2"/>
        <v>945.14482321960736</v>
      </c>
      <c r="H186" s="11">
        <f t="shared" si="3"/>
        <v>92952.38095238086</v>
      </c>
      <c r="I186" s="13"/>
      <c r="J186" s="13"/>
      <c r="K186" s="13"/>
      <c r="L186" s="13"/>
      <c r="M186" s="13"/>
      <c r="N186" s="13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75" customHeight="1">
      <c r="A187" s="37"/>
      <c r="B187" s="38">
        <f t="shared" si="4"/>
        <v>177</v>
      </c>
      <c r="C187" s="11">
        <f t="shared" si="5"/>
        <v>92952.38095238086</v>
      </c>
      <c r="D187" s="11">
        <f t="shared" si="0"/>
        <v>561.88961597225807</v>
      </c>
      <c r="E187" s="11">
        <f t="shared" si="1"/>
        <v>93514.270568353124</v>
      </c>
      <c r="F187" s="11">
        <f t="shared" si="6"/>
        <v>380.95238095238096</v>
      </c>
      <c r="G187" s="11">
        <f t="shared" si="2"/>
        <v>942.84199692463903</v>
      </c>
      <c r="H187" s="11">
        <f t="shared" si="3"/>
        <v>92571.428571428478</v>
      </c>
      <c r="I187" s="13"/>
      <c r="J187" s="13"/>
      <c r="K187" s="13"/>
      <c r="L187" s="13"/>
      <c r="M187" s="13"/>
      <c r="N187" s="13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75" customHeight="1">
      <c r="A188" s="37"/>
      <c r="B188" s="38">
        <f t="shared" si="4"/>
        <v>178</v>
      </c>
      <c r="C188" s="11">
        <f t="shared" si="5"/>
        <v>92571.428571428478</v>
      </c>
      <c r="D188" s="11">
        <f t="shared" si="0"/>
        <v>559.58678967728986</v>
      </c>
      <c r="E188" s="11">
        <f t="shared" si="1"/>
        <v>93131.015361105761</v>
      </c>
      <c r="F188" s="11">
        <f t="shared" si="6"/>
        <v>380.95238095238096</v>
      </c>
      <c r="G188" s="11">
        <f t="shared" si="2"/>
        <v>940.53917062967082</v>
      </c>
      <c r="H188" s="11">
        <f t="shared" si="3"/>
        <v>92190.476190476096</v>
      </c>
      <c r="I188" s="13"/>
      <c r="J188" s="13"/>
      <c r="K188" s="13"/>
      <c r="L188" s="13"/>
      <c r="M188" s="13"/>
      <c r="N188" s="13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75" customHeight="1">
      <c r="A189" s="37"/>
      <c r="B189" s="38">
        <f t="shared" si="4"/>
        <v>179</v>
      </c>
      <c r="C189" s="11">
        <f t="shared" si="5"/>
        <v>92190.476190476096</v>
      </c>
      <c r="D189" s="11">
        <f t="shared" si="0"/>
        <v>557.28396338232153</v>
      </c>
      <c r="E189" s="11">
        <f t="shared" si="1"/>
        <v>92747.760153858413</v>
      </c>
      <c r="F189" s="11">
        <f t="shared" si="6"/>
        <v>380.95238095238096</v>
      </c>
      <c r="G189" s="11">
        <f t="shared" si="2"/>
        <v>938.23634433470249</v>
      </c>
      <c r="H189" s="11">
        <f t="shared" si="3"/>
        <v>91809.523809523715</v>
      </c>
      <c r="I189" s="13"/>
      <c r="J189" s="13"/>
      <c r="K189" s="13"/>
      <c r="L189" s="13"/>
      <c r="M189" s="13"/>
      <c r="N189" s="13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75" customHeight="1">
      <c r="A190" s="37"/>
      <c r="B190" s="38">
        <f t="shared" si="4"/>
        <v>180</v>
      </c>
      <c r="C190" s="11">
        <f t="shared" si="5"/>
        <v>91809.523809523715</v>
      </c>
      <c r="D190" s="11">
        <f t="shared" si="0"/>
        <v>554.98113708735332</v>
      </c>
      <c r="E190" s="11">
        <f t="shared" si="1"/>
        <v>92364.504946611065</v>
      </c>
      <c r="F190" s="11">
        <f t="shared" si="6"/>
        <v>380.95238095238096</v>
      </c>
      <c r="G190" s="11">
        <f t="shared" si="2"/>
        <v>935.93351803973428</v>
      </c>
      <c r="H190" s="11">
        <f t="shared" si="3"/>
        <v>91428.571428571333</v>
      </c>
      <c r="I190" s="13"/>
      <c r="J190" s="13"/>
      <c r="K190" s="13"/>
      <c r="L190" s="13"/>
      <c r="M190" s="13"/>
      <c r="N190" s="13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75" customHeight="1">
      <c r="A191" s="37"/>
      <c r="B191" s="38">
        <f t="shared" si="4"/>
        <v>181</v>
      </c>
      <c r="C191" s="11">
        <f t="shared" si="5"/>
        <v>91428.571428571333</v>
      </c>
      <c r="D191" s="11">
        <f t="shared" si="0"/>
        <v>552.67831079238499</v>
      </c>
      <c r="E191" s="11">
        <f t="shared" si="1"/>
        <v>91981.249739363717</v>
      </c>
      <c r="F191" s="11">
        <f t="shared" si="6"/>
        <v>380.95238095238096</v>
      </c>
      <c r="G191" s="11">
        <f t="shared" si="2"/>
        <v>933.63069174476595</v>
      </c>
      <c r="H191" s="11">
        <f t="shared" si="3"/>
        <v>91047.619047618951</v>
      </c>
      <c r="I191" s="13"/>
      <c r="J191" s="13"/>
      <c r="K191" s="13"/>
      <c r="L191" s="13"/>
      <c r="M191" s="13"/>
      <c r="N191" s="13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75" customHeight="1">
      <c r="A192" s="37"/>
      <c r="B192" s="38">
        <f t="shared" si="4"/>
        <v>182</v>
      </c>
      <c r="C192" s="11">
        <f t="shared" si="5"/>
        <v>91047.619047618951</v>
      </c>
      <c r="D192" s="11">
        <f t="shared" si="0"/>
        <v>550.37548449741666</v>
      </c>
      <c r="E192" s="11">
        <f t="shared" si="1"/>
        <v>91597.994532116369</v>
      </c>
      <c r="F192" s="11">
        <f t="shared" si="6"/>
        <v>380.95238095238096</v>
      </c>
      <c r="G192" s="11">
        <f t="shared" si="2"/>
        <v>931.32786544979763</v>
      </c>
      <c r="H192" s="11">
        <f t="shared" si="3"/>
        <v>90666.66666666657</v>
      </c>
      <c r="I192" s="13"/>
      <c r="J192" s="13"/>
      <c r="K192" s="13"/>
      <c r="L192" s="13"/>
      <c r="M192" s="13"/>
      <c r="N192" s="13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75" customHeight="1">
      <c r="A193" s="37"/>
      <c r="B193" s="38">
        <f t="shared" si="4"/>
        <v>183</v>
      </c>
      <c r="C193" s="11">
        <f t="shared" si="5"/>
        <v>90666.66666666657</v>
      </c>
      <c r="D193" s="11">
        <f t="shared" si="0"/>
        <v>548.07265820244845</v>
      </c>
      <c r="E193" s="11">
        <f t="shared" si="1"/>
        <v>91214.73932486902</v>
      </c>
      <c r="F193" s="11">
        <f t="shared" si="6"/>
        <v>380.95238095238096</v>
      </c>
      <c r="G193" s="11">
        <f t="shared" si="2"/>
        <v>929.02503915482941</v>
      </c>
      <c r="H193" s="11">
        <f t="shared" si="3"/>
        <v>90285.714285714188</v>
      </c>
      <c r="I193" s="13"/>
      <c r="J193" s="13"/>
      <c r="K193" s="13"/>
      <c r="L193" s="13"/>
      <c r="M193" s="13"/>
      <c r="N193" s="13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75" customHeight="1">
      <c r="A194" s="37"/>
      <c r="B194" s="38">
        <f t="shared" si="4"/>
        <v>184</v>
      </c>
      <c r="C194" s="11">
        <f t="shared" si="5"/>
        <v>90285.714285714188</v>
      </c>
      <c r="D194" s="11">
        <f t="shared" si="0"/>
        <v>545.76983190748012</v>
      </c>
      <c r="E194" s="11">
        <f t="shared" si="1"/>
        <v>90831.484117621672</v>
      </c>
      <c r="F194" s="11">
        <f t="shared" si="6"/>
        <v>380.95238095238096</v>
      </c>
      <c r="G194" s="11">
        <f t="shared" si="2"/>
        <v>926.72221285986109</v>
      </c>
      <c r="H194" s="11">
        <f t="shared" si="3"/>
        <v>89904.761904761806</v>
      </c>
      <c r="I194" s="13"/>
      <c r="J194" s="13"/>
      <c r="K194" s="13"/>
      <c r="L194" s="13"/>
      <c r="M194" s="13"/>
      <c r="N194" s="13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75" customHeight="1">
      <c r="A195" s="37"/>
      <c r="B195" s="38">
        <f t="shared" si="4"/>
        <v>185</v>
      </c>
      <c r="C195" s="11">
        <f t="shared" si="5"/>
        <v>89904.761904761806</v>
      </c>
      <c r="D195" s="11">
        <f t="shared" si="0"/>
        <v>543.46700561251191</v>
      </c>
      <c r="E195" s="11">
        <f t="shared" si="1"/>
        <v>90448.228910374324</v>
      </c>
      <c r="F195" s="11">
        <f t="shared" si="6"/>
        <v>380.95238095238096</v>
      </c>
      <c r="G195" s="11">
        <f t="shared" si="2"/>
        <v>924.41938656489287</v>
      </c>
      <c r="H195" s="11">
        <f t="shared" si="3"/>
        <v>89523.809523809425</v>
      </c>
      <c r="I195" s="13"/>
      <c r="J195" s="13"/>
      <c r="K195" s="13"/>
      <c r="L195" s="13"/>
      <c r="M195" s="13"/>
      <c r="N195" s="13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75" customHeight="1">
      <c r="A196" s="37"/>
      <c r="B196" s="38">
        <f t="shared" si="4"/>
        <v>186</v>
      </c>
      <c r="C196" s="11">
        <f t="shared" si="5"/>
        <v>89523.809523809425</v>
      </c>
      <c r="D196" s="11">
        <f t="shared" si="0"/>
        <v>541.16417931754359</v>
      </c>
      <c r="E196" s="11">
        <f t="shared" si="1"/>
        <v>90064.973703126961</v>
      </c>
      <c r="F196" s="11">
        <f t="shared" si="6"/>
        <v>380.95238095238096</v>
      </c>
      <c r="G196" s="11">
        <f t="shared" si="2"/>
        <v>922.11656026992455</v>
      </c>
      <c r="H196" s="11">
        <f t="shared" si="3"/>
        <v>89142.857142857043</v>
      </c>
      <c r="I196" s="13"/>
      <c r="J196" s="13"/>
      <c r="K196" s="13"/>
      <c r="L196" s="13"/>
      <c r="M196" s="13"/>
      <c r="N196" s="13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75" customHeight="1">
      <c r="A197" s="37"/>
      <c r="B197" s="38">
        <f t="shared" si="4"/>
        <v>187</v>
      </c>
      <c r="C197" s="11">
        <f t="shared" si="5"/>
        <v>89142.857142857043</v>
      </c>
      <c r="D197" s="11">
        <f t="shared" si="0"/>
        <v>538.86135302257537</v>
      </c>
      <c r="E197" s="11">
        <f t="shared" si="1"/>
        <v>89681.718495879613</v>
      </c>
      <c r="F197" s="11">
        <f t="shared" si="6"/>
        <v>380.95238095238096</v>
      </c>
      <c r="G197" s="11">
        <f t="shared" si="2"/>
        <v>919.81373397495634</v>
      </c>
      <c r="H197" s="11">
        <f t="shared" si="3"/>
        <v>88761.904761904661</v>
      </c>
      <c r="I197" s="13"/>
      <c r="J197" s="13"/>
      <c r="K197" s="13"/>
      <c r="L197" s="13"/>
      <c r="M197" s="13"/>
      <c r="N197" s="13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75" customHeight="1">
      <c r="A198" s="37"/>
      <c r="B198" s="38">
        <f t="shared" si="4"/>
        <v>188</v>
      </c>
      <c r="C198" s="11">
        <f t="shared" si="5"/>
        <v>88761.904761904661</v>
      </c>
      <c r="D198" s="11">
        <f t="shared" si="0"/>
        <v>536.55852672760705</v>
      </c>
      <c r="E198" s="11">
        <f t="shared" si="1"/>
        <v>89298.463288632265</v>
      </c>
      <c r="F198" s="11">
        <f t="shared" si="6"/>
        <v>380.95238095238096</v>
      </c>
      <c r="G198" s="11">
        <f t="shared" si="2"/>
        <v>917.51090767998801</v>
      </c>
      <c r="H198" s="11">
        <f t="shared" si="3"/>
        <v>88380.95238095228</v>
      </c>
      <c r="I198" s="13"/>
      <c r="J198" s="13"/>
      <c r="K198" s="13"/>
      <c r="L198" s="13"/>
      <c r="M198" s="13"/>
      <c r="N198" s="13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75" customHeight="1">
      <c r="A199" s="37"/>
      <c r="B199" s="38">
        <f t="shared" si="4"/>
        <v>189</v>
      </c>
      <c r="C199" s="11">
        <f t="shared" si="5"/>
        <v>88380.95238095228</v>
      </c>
      <c r="D199" s="11">
        <f t="shared" si="0"/>
        <v>534.25570043263883</v>
      </c>
      <c r="E199" s="11">
        <f t="shared" si="1"/>
        <v>88915.208081384917</v>
      </c>
      <c r="F199" s="11">
        <f t="shared" si="6"/>
        <v>380.95238095238096</v>
      </c>
      <c r="G199" s="11">
        <f t="shared" si="2"/>
        <v>915.2080813850198</v>
      </c>
      <c r="H199" s="11">
        <f t="shared" si="3"/>
        <v>87999.999999999898</v>
      </c>
      <c r="I199" s="13"/>
      <c r="J199" s="13"/>
      <c r="K199" s="13"/>
      <c r="L199" s="13"/>
      <c r="M199" s="13"/>
      <c r="N199" s="13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75" customHeight="1">
      <c r="A200" s="37"/>
      <c r="B200" s="38">
        <f t="shared" si="4"/>
        <v>190</v>
      </c>
      <c r="C200" s="11">
        <f t="shared" si="5"/>
        <v>87999.999999999898</v>
      </c>
      <c r="D200" s="11">
        <f t="shared" si="0"/>
        <v>531.95287413767051</v>
      </c>
      <c r="E200" s="11">
        <f t="shared" si="1"/>
        <v>88531.952874137569</v>
      </c>
      <c r="F200" s="11">
        <f t="shared" si="6"/>
        <v>380.95238095238096</v>
      </c>
      <c r="G200" s="11">
        <f t="shared" si="2"/>
        <v>912.90525509005147</v>
      </c>
      <c r="H200" s="11">
        <f t="shared" si="3"/>
        <v>87619.047619047516</v>
      </c>
      <c r="I200" s="13"/>
      <c r="J200" s="13"/>
      <c r="K200" s="13"/>
      <c r="L200" s="13"/>
      <c r="M200" s="13"/>
      <c r="N200" s="13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75" customHeight="1">
      <c r="A201" s="37"/>
      <c r="B201" s="38">
        <f t="shared" si="4"/>
        <v>191</v>
      </c>
      <c r="C201" s="11">
        <f t="shared" si="5"/>
        <v>87619.047619047516</v>
      </c>
      <c r="D201" s="11">
        <f t="shared" si="0"/>
        <v>529.65004784270218</v>
      </c>
      <c r="E201" s="11">
        <f t="shared" si="1"/>
        <v>88148.697666890221</v>
      </c>
      <c r="F201" s="11">
        <f t="shared" si="6"/>
        <v>380.95238095238096</v>
      </c>
      <c r="G201" s="11">
        <f t="shared" si="2"/>
        <v>910.60242879508314</v>
      </c>
      <c r="H201" s="11">
        <f t="shared" si="3"/>
        <v>87238.095238095135</v>
      </c>
      <c r="I201" s="13"/>
      <c r="J201" s="13"/>
      <c r="K201" s="13"/>
      <c r="L201" s="13"/>
      <c r="M201" s="13"/>
      <c r="N201" s="13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75" customHeight="1">
      <c r="A202" s="37"/>
      <c r="B202" s="38">
        <f t="shared" si="4"/>
        <v>192</v>
      </c>
      <c r="C202" s="11">
        <f t="shared" si="5"/>
        <v>87238.095238095135</v>
      </c>
      <c r="D202" s="11">
        <f t="shared" si="0"/>
        <v>527.34722154773397</v>
      </c>
      <c r="E202" s="11">
        <f t="shared" si="1"/>
        <v>87765.442459642873</v>
      </c>
      <c r="F202" s="11">
        <f t="shared" si="6"/>
        <v>380.95238095238096</v>
      </c>
      <c r="G202" s="11">
        <f t="shared" si="2"/>
        <v>908.29960250011493</v>
      </c>
      <c r="H202" s="11">
        <f t="shared" si="3"/>
        <v>86857.142857142753</v>
      </c>
      <c r="I202" s="13"/>
      <c r="J202" s="13"/>
      <c r="K202" s="13"/>
      <c r="L202" s="13"/>
      <c r="M202" s="13"/>
      <c r="N202" s="13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75" customHeight="1">
      <c r="A203" s="37"/>
      <c r="B203" s="38">
        <f t="shared" si="4"/>
        <v>193</v>
      </c>
      <c r="C203" s="11">
        <f t="shared" si="5"/>
        <v>86857.142857142753</v>
      </c>
      <c r="D203" s="11">
        <f t="shared" si="0"/>
        <v>525.04439525276564</v>
      </c>
      <c r="E203" s="11">
        <f t="shared" si="1"/>
        <v>87382.187252395524</v>
      </c>
      <c r="F203" s="11">
        <f t="shared" si="6"/>
        <v>380.95238095238096</v>
      </c>
      <c r="G203" s="11">
        <f t="shared" si="2"/>
        <v>905.9967762051466</v>
      </c>
      <c r="H203" s="11">
        <f t="shared" si="3"/>
        <v>86476.190476190372</v>
      </c>
      <c r="I203" s="13"/>
      <c r="J203" s="13"/>
      <c r="K203" s="13"/>
      <c r="L203" s="13"/>
      <c r="M203" s="13"/>
      <c r="N203" s="13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75" customHeight="1">
      <c r="A204" s="37"/>
      <c r="B204" s="38">
        <f t="shared" si="4"/>
        <v>194</v>
      </c>
      <c r="C204" s="11">
        <f t="shared" si="5"/>
        <v>86476.190476190372</v>
      </c>
      <c r="D204" s="11">
        <f t="shared" si="0"/>
        <v>522.74156895779743</v>
      </c>
      <c r="E204" s="11">
        <f t="shared" si="1"/>
        <v>86998.932045148162</v>
      </c>
      <c r="F204" s="11">
        <f t="shared" si="6"/>
        <v>380.95238095238096</v>
      </c>
      <c r="G204" s="11">
        <f t="shared" si="2"/>
        <v>903.69394991017839</v>
      </c>
      <c r="H204" s="11">
        <f t="shared" si="3"/>
        <v>86095.23809523799</v>
      </c>
      <c r="I204" s="13"/>
      <c r="J204" s="13"/>
      <c r="K204" s="13"/>
      <c r="L204" s="13"/>
      <c r="M204" s="13"/>
      <c r="N204" s="13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75" customHeight="1">
      <c r="A205" s="37"/>
      <c r="B205" s="38">
        <f t="shared" si="4"/>
        <v>195</v>
      </c>
      <c r="C205" s="11">
        <f t="shared" si="5"/>
        <v>86095.23809523799</v>
      </c>
      <c r="D205" s="11">
        <f t="shared" si="0"/>
        <v>520.4387426628291</v>
      </c>
      <c r="E205" s="11">
        <f t="shared" si="1"/>
        <v>86615.676837900814</v>
      </c>
      <c r="F205" s="11">
        <f t="shared" si="6"/>
        <v>380.95238095238096</v>
      </c>
      <c r="G205" s="11">
        <f t="shared" si="2"/>
        <v>901.39112361521006</v>
      </c>
      <c r="H205" s="11">
        <f t="shared" si="3"/>
        <v>85714.285714285608</v>
      </c>
      <c r="I205" s="13"/>
      <c r="J205" s="13"/>
      <c r="K205" s="13"/>
      <c r="L205" s="13"/>
      <c r="M205" s="13"/>
      <c r="N205" s="13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75" customHeight="1">
      <c r="A206" s="37"/>
      <c r="B206" s="38">
        <f t="shared" si="4"/>
        <v>196</v>
      </c>
      <c r="C206" s="11">
        <f t="shared" si="5"/>
        <v>85714.285714285608</v>
      </c>
      <c r="D206" s="11">
        <f t="shared" si="0"/>
        <v>518.13591636786089</v>
      </c>
      <c r="E206" s="11">
        <f t="shared" si="1"/>
        <v>86232.421630653465</v>
      </c>
      <c r="F206" s="11">
        <f t="shared" si="6"/>
        <v>380.95238095238096</v>
      </c>
      <c r="G206" s="11">
        <f t="shared" si="2"/>
        <v>899.08829732024185</v>
      </c>
      <c r="H206" s="11">
        <f t="shared" si="3"/>
        <v>85333.333333333227</v>
      </c>
      <c r="I206" s="13"/>
      <c r="J206" s="13"/>
      <c r="K206" s="13"/>
      <c r="L206" s="13"/>
      <c r="M206" s="13"/>
      <c r="N206" s="13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75" customHeight="1">
      <c r="A207" s="37"/>
      <c r="B207" s="38">
        <f t="shared" si="4"/>
        <v>197</v>
      </c>
      <c r="C207" s="11">
        <f t="shared" si="5"/>
        <v>85333.333333333227</v>
      </c>
      <c r="D207" s="11">
        <f t="shared" si="0"/>
        <v>515.83309007289256</v>
      </c>
      <c r="E207" s="11">
        <f t="shared" si="1"/>
        <v>85849.166423406117</v>
      </c>
      <c r="F207" s="11">
        <f t="shared" si="6"/>
        <v>380.95238095238096</v>
      </c>
      <c r="G207" s="11">
        <f t="shared" si="2"/>
        <v>896.78547102527352</v>
      </c>
      <c r="H207" s="11">
        <f t="shared" si="3"/>
        <v>84952.380952380845</v>
      </c>
      <c r="I207" s="13"/>
      <c r="J207" s="13"/>
      <c r="K207" s="13"/>
      <c r="L207" s="13"/>
      <c r="M207" s="13"/>
      <c r="N207" s="13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75" customHeight="1">
      <c r="A208" s="37"/>
      <c r="B208" s="38">
        <f t="shared" si="4"/>
        <v>198</v>
      </c>
      <c r="C208" s="11">
        <f t="shared" si="5"/>
        <v>84952.380952380845</v>
      </c>
      <c r="D208" s="11">
        <f t="shared" si="0"/>
        <v>513.53026377792423</v>
      </c>
      <c r="E208" s="11">
        <f t="shared" si="1"/>
        <v>85465.911216158769</v>
      </c>
      <c r="F208" s="11">
        <f t="shared" si="6"/>
        <v>380.95238095238096</v>
      </c>
      <c r="G208" s="11">
        <f t="shared" si="2"/>
        <v>894.4826447303052</v>
      </c>
      <c r="H208" s="11">
        <f t="shared" si="3"/>
        <v>84571.428571428463</v>
      </c>
      <c r="I208" s="13"/>
      <c r="J208" s="13"/>
      <c r="K208" s="13"/>
      <c r="L208" s="13"/>
      <c r="M208" s="13"/>
      <c r="N208" s="13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75" customHeight="1">
      <c r="A209" s="37"/>
      <c r="B209" s="38">
        <f t="shared" si="4"/>
        <v>199</v>
      </c>
      <c r="C209" s="11">
        <f t="shared" si="5"/>
        <v>84571.428571428463</v>
      </c>
      <c r="D209" s="11">
        <f t="shared" si="0"/>
        <v>511.22743748295602</v>
      </c>
      <c r="E209" s="11">
        <f t="shared" si="1"/>
        <v>85082.656008911421</v>
      </c>
      <c r="F209" s="11">
        <f t="shared" si="6"/>
        <v>380.95238095238096</v>
      </c>
      <c r="G209" s="11">
        <f t="shared" si="2"/>
        <v>892.17981843533698</v>
      </c>
      <c r="H209" s="11">
        <f t="shared" si="3"/>
        <v>84190.476190476082</v>
      </c>
      <c r="I209" s="13"/>
      <c r="J209" s="13"/>
      <c r="K209" s="13"/>
      <c r="L209" s="13"/>
      <c r="M209" s="13"/>
      <c r="N209" s="13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75" customHeight="1">
      <c r="A210" s="37"/>
      <c r="B210" s="38">
        <f t="shared" si="4"/>
        <v>200</v>
      </c>
      <c r="C210" s="11">
        <f t="shared" si="5"/>
        <v>84190.476190476082</v>
      </c>
      <c r="D210" s="11">
        <f t="shared" si="0"/>
        <v>508.92461118798775</v>
      </c>
      <c r="E210" s="11">
        <f t="shared" si="1"/>
        <v>84699.400801664073</v>
      </c>
      <c r="F210" s="11">
        <f t="shared" si="6"/>
        <v>380.95238095238096</v>
      </c>
      <c r="G210" s="11">
        <f t="shared" si="2"/>
        <v>889.87699214036866</v>
      </c>
      <c r="H210" s="11">
        <f t="shared" si="3"/>
        <v>83809.5238095237</v>
      </c>
      <c r="I210" s="13"/>
      <c r="J210" s="13"/>
      <c r="K210" s="13"/>
      <c r="L210" s="13"/>
      <c r="M210" s="13"/>
      <c r="N210" s="13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75" customHeight="1">
      <c r="A211" s="37"/>
      <c r="B211" s="38">
        <f t="shared" si="4"/>
        <v>201</v>
      </c>
      <c r="C211" s="11">
        <f t="shared" si="5"/>
        <v>83809.5238095237</v>
      </c>
      <c r="D211" s="11">
        <f t="shared" si="0"/>
        <v>506.62178489301942</v>
      </c>
      <c r="E211" s="11">
        <f t="shared" si="1"/>
        <v>84316.145594416725</v>
      </c>
      <c r="F211" s="11">
        <f t="shared" si="6"/>
        <v>380.95238095238096</v>
      </c>
      <c r="G211" s="11">
        <f t="shared" si="2"/>
        <v>887.57416584540033</v>
      </c>
      <c r="H211" s="11">
        <f t="shared" si="3"/>
        <v>83428.571428571318</v>
      </c>
      <c r="I211" s="13"/>
      <c r="J211" s="13"/>
      <c r="K211" s="13"/>
      <c r="L211" s="13"/>
      <c r="M211" s="13"/>
      <c r="N211" s="13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75" customHeight="1">
      <c r="A212" s="37"/>
      <c r="B212" s="38">
        <f t="shared" si="4"/>
        <v>202</v>
      </c>
      <c r="C212" s="11">
        <f t="shared" si="5"/>
        <v>83428.571428571318</v>
      </c>
      <c r="D212" s="11">
        <f t="shared" si="0"/>
        <v>504.31895859805115</v>
      </c>
      <c r="E212" s="11">
        <f t="shared" si="1"/>
        <v>83932.890387169376</v>
      </c>
      <c r="F212" s="11">
        <f t="shared" si="6"/>
        <v>380.95238095238096</v>
      </c>
      <c r="G212" s="11">
        <f t="shared" si="2"/>
        <v>885.27133955043212</v>
      </c>
      <c r="H212" s="11">
        <f t="shared" si="3"/>
        <v>83047.619047618951</v>
      </c>
      <c r="I212" s="13"/>
      <c r="J212" s="13"/>
      <c r="K212" s="13"/>
      <c r="L212" s="13"/>
      <c r="M212" s="13"/>
      <c r="N212" s="13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75" customHeight="1">
      <c r="A213" s="37"/>
      <c r="B213" s="38">
        <f t="shared" si="4"/>
        <v>203</v>
      </c>
      <c r="C213" s="11">
        <f t="shared" si="5"/>
        <v>83047.619047618951</v>
      </c>
      <c r="D213" s="11">
        <f t="shared" si="0"/>
        <v>502.016132303083</v>
      </c>
      <c r="E213" s="11">
        <f t="shared" si="1"/>
        <v>83549.635179922028</v>
      </c>
      <c r="F213" s="11">
        <f t="shared" si="6"/>
        <v>380.95238095238096</v>
      </c>
      <c r="G213" s="11">
        <f t="shared" si="2"/>
        <v>882.9685132554639</v>
      </c>
      <c r="H213" s="11">
        <f t="shared" si="3"/>
        <v>82666.66666666657</v>
      </c>
      <c r="I213" s="13"/>
      <c r="J213" s="13"/>
      <c r="K213" s="13"/>
      <c r="L213" s="13"/>
      <c r="M213" s="13"/>
      <c r="N213" s="13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75" customHeight="1">
      <c r="A214" s="37"/>
      <c r="B214" s="38">
        <f t="shared" si="4"/>
        <v>204</v>
      </c>
      <c r="C214" s="11">
        <f t="shared" si="5"/>
        <v>82666.66666666657</v>
      </c>
      <c r="D214" s="11">
        <f t="shared" si="0"/>
        <v>499.71330600811473</v>
      </c>
      <c r="E214" s="11">
        <f t="shared" si="1"/>
        <v>83166.37997267468</v>
      </c>
      <c r="F214" s="11">
        <f t="shared" si="6"/>
        <v>380.95238095238096</v>
      </c>
      <c r="G214" s="11">
        <f t="shared" si="2"/>
        <v>880.66568696049569</v>
      </c>
      <c r="H214" s="11">
        <f t="shared" si="3"/>
        <v>82285.714285714188</v>
      </c>
      <c r="I214" s="13"/>
      <c r="J214" s="13"/>
      <c r="K214" s="13"/>
      <c r="L214" s="13"/>
      <c r="M214" s="13"/>
      <c r="N214" s="13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75" customHeight="1">
      <c r="A215" s="37"/>
      <c r="B215" s="38">
        <f t="shared" si="4"/>
        <v>205</v>
      </c>
      <c r="C215" s="11">
        <f t="shared" si="5"/>
        <v>82285.714285714188</v>
      </c>
      <c r="D215" s="11">
        <f t="shared" si="0"/>
        <v>497.4104797131464</v>
      </c>
      <c r="E215" s="11">
        <f t="shared" si="1"/>
        <v>82783.124765427332</v>
      </c>
      <c r="F215" s="11">
        <f t="shared" si="6"/>
        <v>380.95238095238096</v>
      </c>
      <c r="G215" s="11">
        <f t="shared" si="2"/>
        <v>878.36286066552736</v>
      </c>
      <c r="H215" s="11">
        <f t="shared" si="3"/>
        <v>81904.761904761806</v>
      </c>
      <c r="I215" s="13"/>
      <c r="J215" s="13"/>
      <c r="K215" s="13"/>
      <c r="L215" s="13"/>
      <c r="M215" s="13"/>
      <c r="N215" s="13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75" customHeight="1">
      <c r="A216" s="37"/>
      <c r="B216" s="38">
        <f t="shared" si="4"/>
        <v>206</v>
      </c>
      <c r="C216" s="11">
        <f t="shared" si="5"/>
        <v>81904.761904761806</v>
      </c>
      <c r="D216" s="11">
        <f t="shared" si="0"/>
        <v>495.10765341817813</v>
      </c>
      <c r="E216" s="11">
        <f t="shared" si="1"/>
        <v>82399.869558179984</v>
      </c>
      <c r="F216" s="11">
        <f t="shared" si="6"/>
        <v>380.95238095238096</v>
      </c>
      <c r="G216" s="11">
        <f t="shared" si="2"/>
        <v>876.06003437055915</v>
      </c>
      <c r="H216" s="11">
        <f t="shared" si="3"/>
        <v>81523.809523809425</v>
      </c>
      <c r="I216" s="13"/>
      <c r="J216" s="13"/>
      <c r="K216" s="13"/>
      <c r="L216" s="13"/>
      <c r="M216" s="13"/>
      <c r="N216" s="13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75" customHeight="1">
      <c r="A217" s="37"/>
      <c r="B217" s="38">
        <f t="shared" si="4"/>
        <v>207</v>
      </c>
      <c r="C217" s="11">
        <f t="shared" si="5"/>
        <v>81523.809523809425</v>
      </c>
      <c r="D217" s="11">
        <f t="shared" si="0"/>
        <v>492.80482712320986</v>
      </c>
      <c r="E217" s="11">
        <f t="shared" si="1"/>
        <v>82016.614350932636</v>
      </c>
      <c r="F217" s="11">
        <f t="shared" si="6"/>
        <v>380.95238095238096</v>
      </c>
      <c r="G217" s="11">
        <f t="shared" si="2"/>
        <v>873.75720807559082</v>
      </c>
      <c r="H217" s="11">
        <f t="shared" si="3"/>
        <v>81142.857142857043</v>
      </c>
      <c r="I217" s="13"/>
      <c r="J217" s="13"/>
      <c r="K217" s="13"/>
      <c r="L217" s="13"/>
      <c r="M217" s="13"/>
      <c r="N217" s="13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75" customHeight="1">
      <c r="A218" s="37"/>
      <c r="B218" s="38">
        <f t="shared" si="4"/>
        <v>208</v>
      </c>
      <c r="C218" s="11">
        <f t="shared" si="5"/>
        <v>81142.857142857043</v>
      </c>
      <c r="D218" s="11">
        <f t="shared" si="0"/>
        <v>490.50200082824159</v>
      </c>
      <c r="E218" s="11">
        <f t="shared" si="1"/>
        <v>81633.359143685288</v>
      </c>
      <c r="F218" s="11">
        <f t="shared" si="6"/>
        <v>380.95238095238096</v>
      </c>
      <c r="G218" s="11">
        <f t="shared" si="2"/>
        <v>871.4543817806225</v>
      </c>
      <c r="H218" s="11">
        <f t="shared" si="3"/>
        <v>80761.904761904661</v>
      </c>
      <c r="I218" s="13"/>
      <c r="J218" s="13"/>
      <c r="K218" s="13"/>
      <c r="L218" s="13"/>
      <c r="M218" s="13"/>
      <c r="N218" s="13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75" customHeight="1">
      <c r="A219" s="37"/>
      <c r="B219" s="38">
        <f t="shared" si="4"/>
        <v>209</v>
      </c>
      <c r="C219" s="11">
        <f t="shared" si="5"/>
        <v>80761.904761904661</v>
      </c>
      <c r="D219" s="11">
        <f t="shared" si="0"/>
        <v>488.19917453327332</v>
      </c>
      <c r="E219" s="11">
        <f t="shared" si="1"/>
        <v>81250.103936437939</v>
      </c>
      <c r="F219" s="11">
        <f t="shared" si="6"/>
        <v>380.95238095238096</v>
      </c>
      <c r="G219" s="11">
        <f t="shared" si="2"/>
        <v>869.15155548565428</v>
      </c>
      <c r="H219" s="11">
        <f t="shared" si="3"/>
        <v>80380.95238095228</v>
      </c>
      <c r="I219" s="13"/>
      <c r="J219" s="13"/>
      <c r="K219" s="13"/>
      <c r="L219" s="13"/>
      <c r="M219" s="13"/>
      <c r="N219" s="13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75" customHeight="1">
      <c r="A220" s="37"/>
      <c r="B220" s="38">
        <f t="shared" si="4"/>
        <v>210</v>
      </c>
      <c r="C220" s="11">
        <f t="shared" si="5"/>
        <v>80380.95238095228</v>
      </c>
      <c r="D220" s="11">
        <f t="shared" si="0"/>
        <v>485.89634823830505</v>
      </c>
      <c r="E220" s="11">
        <f t="shared" si="1"/>
        <v>80866.848729190591</v>
      </c>
      <c r="F220" s="11">
        <f t="shared" si="6"/>
        <v>380.95238095238096</v>
      </c>
      <c r="G220" s="11">
        <f t="shared" si="2"/>
        <v>866.84872919068607</v>
      </c>
      <c r="H220" s="11">
        <f t="shared" si="3"/>
        <v>79999.999999999898</v>
      </c>
      <c r="I220" s="13"/>
      <c r="J220" s="13"/>
      <c r="K220" s="13"/>
      <c r="L220" s="13"/>
      <c r="M220" s="13"/>
      <c r="N220" s="13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75" customHeight="1">
      <c r="A221" s="37"/>
      <c r="B221" s="38">
        <f t="shared" si="4"/>
        <v>211</v>
      </c>
      <c r="C221" s="11">
        <f t="shared" si="5"/>
        <v>79999.999999999898</v>
      </c>
      <c r="D221" s="11">
        <f t="shared" si="0"/>
        <v>483.59352194333678</v>
      </c>
      <c r="E221" s="11">
        <f t="shared" si="1"/>
        <v>80483.593521943229</v>
      </c>
      <c r="F221" s="11">
        <f t="shared" si="6"/>
        <v>380.95238095238096</v>
      </c>
      <c r="G221" s="11">
        <f t="shared" si="2"/>
        <v>864.54590289571775</v>
      </c>
      <c r="H221" s="11">
        <f t="shared" si="3"/>
        <v>79619.047619047516</v>
      </c>
      <c r="I221" s="13"/>
      <c r="J221" s="13"/>
      <c r="K221" s="13"/>
      <c r="L221" s="13"/>
      <c r="M221" s="13"/>
      <c r="N221" s="13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75" customHeight="1">
      <c r="A222" s="37"/>
      <c r="B222" s="38">
        <f t="shared" si="4"/>
        <v>212</v>
      </c>
      <c r="C222" s="11">
        <f t="shared" si="5"/>
        <v>79619.047619047516</v>
      </c>
      <c r="D222" s="11">
        <f t="shared" si="0"/>
        <v>481.29069564836851</v>
      </c>
      <c r="E222" s="11">
        <f t="shared" si="1"/>
        <v>80100.33831469588</v>
      </c>
      <c r="F222" s="11">
        <f t="shared" si="6"/>
        <v>380.95238095238096</v>
      </c>
      <c r="G222" s="11">
        <f t="shared" si="2"/>
        <v>862.24307660074942</v>
      </c>
      <c r="H222" s="11">
        <f t="shared" si="3"/>
        <v>79238.095238095135</v>
      </c>
      <c r="I222" s="13"/>
      <c r="J222" s="13"/>
      <c r="K222" s="13"/>
      <c r="L222" s="13"/>
      <c r="M222" s="13"/>
      <c r="N222" s="13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75" customHeight="1">
      <c r="A223" s="37"/>
      <c r="B223" s="38">
        <f t="shared" si="4"/>
        <v>213</v>
      </c>
      <c r="C223" s="11">
        <f t="shared" si="5"/>
        <v>79238.095238095135</v>
      </c>
      <c r="D223" s="11">
        <f t="shared" si="0"/>
        <v>478.98786935340019</v>
      </c>
      <c r="E223" s="11">
        <f t="shared" si="1"/>
        <v>79717.083107448532</v>
      </c>
      <c r="F223" s="11">
        <f t="shared" si="6"/>
        <v>380.95238095238096</v>
      </c>
      <c r="G223" s="11">
        <f t="shared" si="2"/>
        <v>859.94025030578109</v>
      </c>
      <c r="H223" s="11">
        <f t="shared" si="3"/>
        <v>78857.142857142753</v>
      </c>
      <c r="I223" s="13"/>
      <c r="J223" s="13"/>
      <c r="K223" s="13"/>
      <c r="L223" s="13"/>
      <c r="M223" s="13"/>
      <c r="N223" s="13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75" customHeight="1">
      <c r="A224" s="37"/>
      <c r="B224" s="38">
        <f t="shared" si="4"/>
        <v>214</v>
      </c>
      <c r="C224" s="11">
        <f t="shared" si="5"/>
        <v>78857.142857142753</v>
      </c>
      <c r="D224" s="11">
        <f t="shared" si="0"/>
        <v>476.68504305843192</v>
      </c>
      <c r="E224" s="11">
        <f t="shared" si="1"/>
        <v>79333.827900201184</v>
      </c>
      <c r="F224" s="11">
        <f t="shared" si="6"/>
        <v>380.95238095238096</v>
      </c>
      <c r="G224" s="11">
        <f t="shared" si="2"/>
        <v>857.63742401081288</v>
      </c>
      <c r="H224" s="11">
        <f t="shared" si="3"/>
        <v>78476.190476190372</v>
      </c>
      <c r="I224" s="13"/>
      <c r="J224" s="13"/>
      <c r="K224" s="13"/>
      <c r="L224" s="13"/>
      <c r="M224" s="13"/>
      <c r="N224" s="13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75" customHeight="1">
      <c r="A225" s="37"/>
      <c r="B225" s="38">
        <f t="shared" si="4"/>
        <v>215</v>
      </c>
      <c r="C225" s="11">
        <f t="shared" si="5"/>
        <v>78476.190476190372</v>
      </c>
      <c r="D225" s="11">
        <f t="shared" si="0"/>
        <v>474.38221676346365</v>
      </c>
      <c r="E225" s="11">
        <f t="shared" si="1"/>
        <v>78950.572692953836</v>
      </c>
      <c r="F225" s="11">
        <f t="shared" si="6"/>
        <v>380.95238095238096</v>
      </c>
      <c r="G225" s="11">
        <f t="shared" si="2"/>
        <v>855.33459771584467</v>
      </c>
      <c r="H225" s="11">
        <f t="shared" si="3"/>
        <v>78095.23809523799</v>
      </c>
      <c r="I225" s="13"/>
      <c r="J225" s="13"/>
      <c r="K225" s="13"/>
      <c r="L225" s="13"/>
      <c r="M225" s="13"/>
      <c r="N225" s="13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>
      <c r="A226" s="37"/>
      <c r="B226" s="38">
        <f t="shared" si="4"/>
        <v>216</v>
      </c>
      <c r="C226" s="11">
        <f t="shared" si="5"/>
        <v>78095.23809523799</v>
      </c>
      <c r="D226" s="11">
        <f t="shared" si="0"/>
        <v>472.07939046849538</v>
      </c>
      <c r="E226" s="11">
        <f t="shared" si="1"/>
        <v>78567.317485706488</v>
      </c>
      <c r="F226" s="11">
        <f t="shared" si="6"/>
        <v>380.95238095238096</v>
      </c>
      <c r="G226" s="11">
        <f t="shared" si="2"/>
        <v>853.03177142087634</v>
      </c>
      <c r="H226" s="11">
        <f t="shared" si="3"/>
        <v>77714.285714285608</v>
      </c>
      <c r="I226" s="13"/>
      <c r="J226" s="13"/>
      <c r="K226" s="13"/>
      <c r="L226" s="13"/>
      <c r="M226" s="13"/>
      <c r="N226" s="13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75" customHeight="1">
      <c r="A227" s="37"/>
      <c r="B227" s="38">
        <f t="shared" si="4"/>
        <v>217</v>
      </c>
      <c r="C227" s="11">
        <f t="shared" si="5"/>
        <v>77714.285714285608</v>
      </c>
      <c r="D227" s="11">
        <f t="shared" si="0"/>
        <v>469.77656417352711</v>
      </c>
      <c r="E227" s="11">
        <f t="shared" si="1"/>
        <v>78184.06227845914</v>
      </c>
      <c r="F227" s="11">
        <f t="shared" si="6"/>
        <v>380.95238095238096</v>
      </c>
      <c r="G227" s="11">
        <f t="shared" si="2"/>
        <v>850.72894512590801</v>
      </c>
      <c r="H227" s="11">
        <f t="shared" si="3"/>
        <v>77333.333333333227</v>
      </c>
      <c r="I227" s="13"/>
      <c r="J227" s="13"/>
      <c r="K227" s="13"/>
      <c r="L227" s="13"/>
      <c r="M227" s="13"/>
      <c r="N227" s="13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75" customHeight="1">
      <c r="A228" s="37"/>
      <c r="B228" s="38">
        <f t="shared" si="4"/>
        <v>218</v>
      </c>
      <c r="C228" s="11">
        <f t="shared" si="5"/>
        <v>77333.333333333227</v>
      </c>
      <c r="D228" s="11">
        <f t="shared" si="0"/>
        <v>467.47373787855884</v>
      </c>
      <c r="E228" s="11">
        <f t="shared" si="1"/>
        <v>77800.807071211791</v>
      </c>
      <c r="F228" s="11">
        <f t="shared" si="6"/>
        <v>380.95238095238096</v>
      </c>
      <c r="G228" s="11">
        <f t="shared" si="2"/>
        <v>848.4261188309398</v>
      </c>
      <c r="H228" s="11">
        <f t="shared" si="3"/>
        <v>76952.380952380845</v>
      </c>
      <c r="I228" s="13"/>
      <c r="J228" s="13"/>
      <c r="K228" s="13"/>
      <c r="L228" s="13"/>
      <c r="M228" s="13"/>
      <c r="N228" s="13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75" customHeight="1">
      <c r="A229" s="37"/>
      <c r="B229" s="38">
        <f t="shared" si="4"/>
        <v>219</v>
      </c>
      <c r="C229" s="11">
        <f t="shared" si="5"/>
        <v>76952.380952380845</v>
      </c>
      <c r="D229" s="11">
        <f t="shared" si="0"/>
        <v>465.17091158359057</v>
      </c>
      <c r="E229" s="11">
        <f t="shared" si="1"/>
        <v>77417.551863964429</v>
      </c>
      <c r="F229" s="11">
        <f t="shared" si="6"/>
        <v>380.95238095238096</v>
      </c>
      <c r="G229" s="11">
        <f t="shared" si="2"/>
        <v>846.12329253597159</v>
      </c>
      <c r="H229" s="11">
        <f t="shared" si="3"/>
        <v>76571.428571428463</v>
      </c>
      <c r="I229" s="13"/>
      <c r="J229" s="13"/>
      <c r="K229" s="13"/>
      <c r="L229" s="13"/>
      <c r="M229" s="13"/>
      <c r="N229" s="13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75" customHeight="1">
      <c r="A230" s="37"/>
      <c r="B230" s="38">
        <f t="shared" si="4"/>
        <v>220</v>
      </c>
      <c r="C230" s="11">
        <f t="shared" si="5"/>
        <v>76571.428571428463</v>
      </c>
      <c r="D230" s="11">
        <f t="shared" si="0"/>
        <v>462.86808528862224</v>
      </c>
      <c r="E230" s="11">
        <f t="shared" si="1"/>
        <v>77034.296656717081</v>
      </c>
      <c r="F230" s="11">
        <f t="shared" si="6"/>
        <v>380.95238095238096</v>
      </c>
      <c r="G230" s="11">
        <f t="shared" si="2"/>
        <v>843.82046624100326</v>
      </c>
      <c r="H230" s="11">
        <f t="shared" si="3"/>
        <v>76190.476190476082</v>
      </c>
      <c r="I230" s="13"/>
      <c r="J230" s="13"/>
      <c r="K230" s="13"/>
      <c r="L230" s="13"/>
      <c r="M230" s="13"/>
      <c r="N230" s="13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75" customHeight="1">
      <c r="A231" s="37"/>
      <c r="B231" s="38">
        <f t="shared" si="4"/>
        <v>221</v>
      </c>
      <c r="C231" s="11">
        <f t="shared" si="5"/>
        <v>76190.476190476082</v>
      </c>
      <c r="D231" s="11">
        <f t="shared" si="0"/>
        <v>460.56525899365397</v>
      </c>
      <c r="E231" s="11">
        <f t="shared" si="1"/>
        <v>76651.041449469732</v>
      </c>
      <c r="F231" s="11">
        <f t="shared" si="6"/>
        <v>380.95238095238096</v>
      </c>
      <c r="G231" s="11">
        <f t="shared" si="2"/>
        <v>841.51763994603493</v>
      </c>
      <c r="H231" s="11">
        <f t="shared" si="3"/>
        <v>75809.5238095237</v>
      </c>
      <c r="I231" s="13"/>
      <c r="J231" s="13"/>
      <c r="K231" s="13"/>
      <c r="L231" s="13"/>
      <c r="M231" s="13"/>
      <c r="N231" s="13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75" customHeight="1">
      <c r="A232" s="37"/>
      <c r="B232" s="38">
        <f t="shared" si="4"/>
        <v>222</v>
      </c>
      <c r="C232" s="11">
        <f t="shared" si="5"/>
        <v>75809.5238095237</v>
      </c>
      <c r="D232" s="11">
        <f t="shared" si="0"/>
        <v>458.2624326986857</v>
      </c>
      <c r="E232" s="11">
        <f t="shared" si="1"/>
        <v>76267.786242222384</v>
      </c>
      <c r="F232" s="11">
        <f t="shared" si="6"/>
        <v>380.95238095238096</v>
      </c>
      <c r="G232" s="11">
        <f t="shared" si="2"/>
        <v>839.21481365106661</v>
      </c>
      <c r="H232" s="11">
        <f t="shared" si="3"/>
        <v>75428.571428571318</v>
      </c>
      <c r="I232" s="13"/>
      <c r="J232" s="13"/>
      <c r="K232" s="13"/>
      <c r="L232" s="13"/>
      <c r="M232" s="13"/>
      <c r="N232" s="13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75" customHeight="1">
      <c r="A233" s="37"/>
      <c r="B233" s="38">
        <f t="shared" si="4"/>
        <v>223</v>
      </c>
      <c r="C233" s="11">
        <f t="shared" si="5"/>
        <v>75428.571428571318</v>
      </c>
      <c r="D233" s="11">
        <f t="shared" si="0"/>
        <v>455.95960640371743</v>
      </c>
      <c r="E233" s="11">
        <f t="shared" si="1"/>
        <v>75884.531034975036</v>
      </c>
      <c r="F233" s="11">
        <f t="shared" si="6"/>
        <v>380.95238095238096</v>
      </c>
      <c r="G233" s="11">
        <f t="shared" si="2"/>
        <v>836.91198735609839</v>
      </c>
      <c r="H233" s="11">
        <f t="shared" si="3"/>
        <v>75047.619047618937</v>
      </c>
      <c r="I233" s="13"/>
      <c r="J233" s="13"/>
      <c r="K233" s="13"/>
      <c r="L233" s="13"/>
      <c r="M233" s="13"/>
      <c r="N233" s="13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75" customHeight="1">
      <c r="A234" s="37"/>
      <c r="B234" s="38">
        <f t="shared" si="4"/>
        <v>224</v>
      </c>
      <c r="C234" s="11">
        <f t="shared" si="5"/>
        <v>75047.619047618937</v>
      </c>
      <c r="D234" s="11">
        <f t="shared" si="0"/>
        <v>453.65678010874916</v>
      </c>
      <c r="E234" s="11">
        <f t="shared" si="1"/>
        <v>75501.275827727688</v>
      </c>
      <c r="F234" s="11">
        <f t="shared" si="6"/>
        <v>380.95238095238096</v>
      </c>
      <c r="G234" s="11">
        <f t="shared" si="2"/>
        <v>834.60916106113018</v>
      </c>
      <c r="H234" s="11">
        <f t="shared" si="3"/>
        <v>74666.666666666555</v>
      </c>
      <c r="I234" s="13"/>
      <c r="J234" s="13"/>
      <c r="K234" s="13"/>
      <c r="L234" s="13"/>
      <c r="M234" s="13"/>
      <c r="N234" s="13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75" customHeight="1">
      <c r="A235" s="37"/>
      <c r="B235" s="38">
        <f t="shared" si="4"/>
        <v>225</v>
      </c>
      <c r="C235" s="11">
        <f t="shared" si="5"/>
        <v>74666.666666666555</v>
      </c>
      <c r="D235" s="11">
        <f t="shared" si="0"/>
        <v>451.35395381378089</v>
      </c>
      <c r="E235" s="11">
        <f t="shared" si="1"/>
        <v>75118.02062048034</v>
      </c>
      <c r="F235" s="11">
        <f t="shared" si="6"/>
        <v>380.95238095238096</v>
      </c>
      <c r="G235" s="11">
        <f t="shared" si="2"/>
        <v>832.30633476616185</v>
      </c>
      <c r="H235" s="11">
        <f t="shared" si="3"/>
        <v>74285.714285714173</v>
      </c>
      <c r="I235" s="13"/>
      <c r="J235" s="13"/>
      <c r="K235" s="13"/>
      <c r="L235" s="13"/>
      <c r="M235" s="13"/>
      <c r="N235" s="13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75" customHeight="1">
      <c r="A236" s="37"/>
      <c r="B236" s="38">
        <f t="shared" si="4"/>
        <v>226</v>
      </c>
      <c r="C236" s="11">
        <f t="shared" si="5"/>
        <v>74285.714285714173</v>
      </c>
      <c r="D236" s="11">
        <f t="shared" si="0"/>
        <v>449.05112751881262</v>
      </c>
      <c r="E236" s="11">
        <f t="shared" si="1"/>
        <v>74734.765413232992</v>
      </c>
      <c r="F236" s="11">
        <f t="shared" si="6"/>
        <v>380.95238095238096</v>
      </c>
      <c r="G236" s="11">
        <f t="shared" si="2"/>
        <v>830.00350847119353</v>
      </c>
      <c r="H236" s="11">
        <f t="shared" si="3"/>
        <v>73904.761904761792</v>
      </c>
      <c r="I236" s="13"/>
      <c r="J236" s="13"/>
      <c r="K236" s="13"/>
      <c r="L236" s="13"/>
      <c r="M236" s="13"/>
      <c r="N236" s="13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75" customHeight="1">
      <c r="A237" s="37"/>
      <c r="B237" s="38">
        <f t="shared" si="4"/>
        <v>227</v>
      </c>
      <c r="C237" s="11">
        <f t="shared" si="5"/>
        <v>73904.761904761792</v>
      </c>
      <c r="D237" s="11">
        <f t="shared" si="0"/>
        <v>446.74830122384435</v>
      </c>
      <c r="E237" s="11">
        <f t="shared" si="1"/>
        <v>74351.510205985629</v>
      </c>
      <c r="F237" s="11">
        <f t="shared" si="6"/>
        <v>380.95238095238096</v>
      </c>
      <c r="G237" s="11">
        <f t="shared" si="2"/>
        <v>827.70068217622531</v>
      </c>
      <c r="H237" s="11">
        <f t="shared" si="3"/>
        <v>73523.80952380941</v>
      </c>
      <c r="I237" s="13"/>
      <c r="J237" s="13"/>
      <c r="K237" s="13"/>
      <c r="L237" s="13"/>
      <c r="M237" s="13"/>
      <c r="N237" s="13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>
      <c r="A238" s="37"/>
      <c r="B238" s="38">
        <f t="shared" si="4"/>
        <v>228</v>
      </c>
      <c r="C238" s="11">
        <f t="shared" si="5"/>
        <v>73523.80952380941</v>
      </c>
      <c r="D238" s="11">
        <f t="shared" si="0"/>
        <v>444.44547492887602</v>
      </c>
      <c r="E238" s="11">
        <f t="shared" si="1"/>
        <v>73968.254998738281</v>
      </c>
      <c r="F238" s="11">
        <f t="shared" si="6"/>
        <v>380.95238095238096</v>
      </c>
      <c r="G238" s="11">
        <f t="shared" si="2"/>
        <v>825.39785588125699</v>
      </c>
      <c r="H238" s="11">
        <f t="shared" si="3"/>
        <v>73142.857142857029</v>
      </c>
      <c r="I238" s="13"/>
      <c r="J238" s="13"/>
      <c r="K238" s="13"/>
      <c r="L238" s="13"/>
      <c r="M238" s="13"/>
      <c r="N238" s="13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>
      <c r="A239" s="37"/>
      <c r="B239" s="38">
        <f t="shared" si="4"/>
        <v>229</v>
      </c>
      <c r="C239" s="11">
        <f t="shared" si="5"/>
        <v>73142.857142857029</v>
      </c>
      <c r="D239" s="11">
        <f t="shared" si="0"/>
        <v>442.14264863390775</v>
      </c>
      <c r="E239" s="11">
        <f t="shared" si="1"/>
        <v>73584.999791490933</v>
      </c>
      <c r="F239" s="11">
        <f t="shared" si="6"/>
        <v>380.95238095238096</v>
      </c>
      <c r="G239" s="11">
        <f t="shared" si="2"/>
        <v>823.09502958628877</v>
      </c>
      <c r="H239" s="11">
        <f t="shared" si="3"/>
        <v>72761.904761904647</v>
      </c>
      <c r="I239" s="13"/>
      <c r="J239" s="13"/>
      <c r="K239" s="13"/>
      <c r="L239" s="13"/>
      <c r="M239" s="13"/>
      <c r="N239" s="13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75" customHeight="1">
      <c r="A240" s="37"/>
      <c r="B240" s="38">
        <f t="shared" si="4"/>
        <v>230</v>
      </c>
      <c r="C240" s="11">
        <f t="shared" si="5"/>
        <v>72761.904761904647</v>
      </c>
      <c r="D240" s="11">
        <f t="shared" si="0"/>
        <v>439.83982233893948</v>
      </c>
      <c r="E240" s="11">
        <f t="shared" si="1"/>
        <v>73201.744584243585</v>
      </c>
      <c r="F240" s="11">
        <f t="shared" si="6"/>
        <v>380.95238095238096</v>
      </c>
      <c r="G240" s="11">
        <f t="shared" si="2"/>
        <v>820.79220329132045</v>
      </c>
      <c r="H240" s="11">
        <f t="shared" si="3"/>
        <v>72380.952380952265</v>
      </c>
      <c r="I240" s="13"/>
      <c r="J240" s="13"/>
      <c r="K240" s="13"/>
      <c r="L240" s="13"/>
      <c r="M240" s="13"/>
      <c r="N240" s="13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75" customHeight="1">
      <c r="A241" s="37"/>
      <c r="B241" s="38">
        <f t="shared" si="4"/>
        <v>231</v>
      </c>
      <c r="C241" s="11">
        <f t="shared" si="5"/>
        <v>72380.952380952265</v>
      </c>
      <c r="D241" s="11">
        <f t="shared" si="0"/>
        <v>437.53699604397121</v>
      </c>
      <c r="E241" s="11">
        <f t="shared" si="1"/>
        <v>72818.489376996236</v>
      </c>
      <c r="F241" s="11">
        <f t="shared" si="6"/>
        <v>380.95238095238096</v>
      </c>
      <c r="G241" s="11">
        <f t="shared" si="2"/>
        <v>818.48937699635212</v>
      </c>
      <c r="H241" s="11">
        <f t="shared" si="3"/>
        <v>71999.999999999884</v>
      </c>
      <c r="I241" s="13"/>
      <c r="J241" s="13"/>
      <c r="K241" s="13"/>
      <c r="L241" s="13"/>
      <c r="M241" s="13"/>
      <c r="N241" s="13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75" customHeight="1">
      <c r="A242" s="37"/>
      <c r="B242" s="38">
        <f t="shared" si="4"/>
        <v>232</v>
      </c>
      <c r="C242" s="11">
        <f t="shared" si="5"/>
        <v>71999.999999999884</v>
      </c>
      <c r="D242" s="11">
        <f t="shared" si="0"/>
        <v>435.23416974900294</v>
      </c>
      <c r="E242" s="11">
        <f t="shared" si="1"/>
        <v>72435.234169748888</v>
      </c>
      <c r="F242" s="11">
        <f t="shared" si="6"/>
        <v>380.95238095238096</v>
      </c>
      <c r="G242" s="11">
        <f t="shared" si="2"/>
        <v>816.18655070138391</v>
      </c>
      <c r="H242" s="11">
        <f t="shared" si="3"/>
        <v>71619.047619047502</v>
      </c>
      <c r="I242" s="13"/>
      <c r="J242" s="13"/>
      <c r="K242" s="13"/>
      <c r="L242" s="13"/>
      <c r="M242" s="13"/>
      <c r="N242" s="13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75" customHeight="1">
      <c r="A243" s="37"/>
      <c r="B243" s="38">
        <f t="shared" si="4"/>
        <v>233</v>
      </c>
      <c r="C243" s="11">
        <f t="shared" si="5"/>
        <v>71619.047619047502</v>
      </c>
      <c r="D243" s="11">
        <f t="shared" si="0"/>
        <v>432.93134345403467</v>
      </c>
      <c r="E243" s="11">
        <f t="shared" si="1"/>
        <v>72051.97896250154</v>
      </c>
      <c r="F243" s="11">
        <f t="shared" si="6"/>
        <v>380.95238095238096</v>
      </c>
      <c r="G243" s="11">
        <f t="shared" si="2"/>
        <v>813.88372440641569</v>
      </c>
      <c r="H243" s="11">
        <f t="shared" si="3"/>
        <v>71238.09523809512</v>
      </c>
      <c r="I243" s="13"/>
      <c r="J243" s="13"/>
      <c r="K243" s="13"/>
      <c r="L243" s="13"/>
      <c r="M243" s="13"/>
      <c r="N243" s="13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75" customHeight="1">
      <c r="A244" s="37"/>
      <c r="B244" s="38">
        <f t="shared" si="4"/>
        <v>234</v>
      </c>
      <c r="C244" s="11">
        <f t="shared" si="5"/>
        <v>71238.09523809512</v>
      </c>
      <c r="D244" s="11">
        <f t="shared" si="0"/>
        <v>430.6285171590664</v>
      </c>
      <c r="E244" s="11">
        <f t="shared" si="1"/>
        <v>71668.723755254192</v>
      </c>
      <c r="F244" s="11">
        <f t="shared" si="6"/>
        <v>380.95238095238096</v>
      </c>
      <c r="G244" s="11">
        <f t="shared" si="2"/>
        <v>811.58089811144737</v>
      </c>
      <c r="H244" s="11">
        <f t="shared" si="3"/>
        <v>70857.142857142739</v>
      </c>
      <c r="I244" s="13"/>
      <c r="J244" s="13"/>
      <c r="K244" s="13"/>
      <c r="L244" s="13"/>
      <c r="M244" s="13"/>
      <c r="N244" s="13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75" customHeight="1">
      <c r="A245" s="37"/>
      <c r="B245" s="38">
        <f t="shared" si="4"/>
        <v>235</v>
      </c>
      <c r="C245" s="11">
        <f t="shared" si="5"/>
        <v>70857.142857142739</v>
      </c>
      <c r="D245" s="11">
        <f t="shared" si="0"/>
        <v>428.32569086409808</v>
      </c>
      <c r="E245" s="11">
        <f t="shared" si="1"/>
        <v>71285.468548006844</v>
      </c>
      <c r="F245" s="11">
        <f t="shared" si="6"/>
        <v>380.95238095238096</v>
      </c>
      <c r="G245" s="11">
        <f t="shared" si="2"/>
        <v>809.27807181647904</v>
      </c>
      <c r="H245" s="11">
        <f t="shared" si="3"/>
        <v>70476.190476190372</v>
      </c>
      <c r="I245" s="13"/>
      <c r="J245" s="13"/>
      <c r="K245" s="13"/>
      <c r="L245" s="13"/>
      <c r="M245" s="13"/>
      <c r="N245" s="13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75" customHeight="1">
      <c r="A246" s="37"/>
      <c r="B246" s="38">
        <f t="shared" si="4"/>
        <v>236</v>
      </c>
      <c r="C246" s="11">
        <f t="shared" si="5"/>
        <v>70476.190476190372</v>
      </c>
      <c r="D246" s="11">
        <f t="shared" si="0"/>
        <v>426.02286456912992</v>
      </c>
      <c r="E246" s="11">
        <f t="shared" si="1"/>
        <v>70902.213340759496</v>
      </c>
      <c r="F246" s="11">
        <f t="shared" si="6"/>
        <v>380.95238095238096</v>
      </c>
      <c r="G246" s="11">
        <f t="shared" si="2"/>
        <v>806.97524552151094</v>
      </c>
      <c r="H246" s="11">
        <f t="shared" si="3"/>
        <v>70095.23809523799</v>
      </c>
      <c r="I246" s="13"/>
      <c r="J246" s="13"/>
      <c r="K246" s="13"/>
      <c r="L246" s="13"/>
      <c r="M246" s="13"/>
      <c r="N246" s="13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75" customHeight="1">
      <c r="A247" s="37"/>
      <c r="B247" s="38">
        <f t="shared" si="4"/>
        <v>237</v>
      </c>
      <c r="C247" s="11">
        <f t="shared" si="5"/>
        <v>70095.23809523799</v>
      </c>
      <c r="D247" s="11">
        <f t="shared" si="0"/>
        <v>423.72003827416165</v>
      </c>
      <c r="E247" s="11">
        <f t="shared" si="1"/>
        <v>70518.958133512147</v>
      </c>
      <c r="F247" s="11">
        <f t="shared" si="6"/>
        <v>380.95238095238096</v>
      </c>
      <c r="G247" s="11">
        <f t="shared" si="2"/>
        <v>804.67241922654262</v>
      </c>
      <c r="H247" s="11">
        <f t="shared" si="3"/>
        <v>69714.285714285608</v>
      </c>
      <c r="I247" s="13"/>
      <c r="J247" s="13"/>
      <c r="K247" s="13"/>
      <c r="L247" s="13"/>
      <c r="M247" s="13"/>
      <c r="N247" s="13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75" customHeight="1">
      <c r="A248" s="37"/>
      <c r="B248" s="38">
        <f t="shared" si="4"/>
        <v>238</v>
      </c>
      <c r="C248" s="11">
        <f t="shared" si="5"/>
        <v>69714.285714285608</v>
      </c>
      <c r="D248" s="11">
        <f t="shared" si="0"/>
        <v>421.41721197919338</v>
      </c>
      <c r="E248" s="11">
        <f t="shared" si="1"/>
        <v>70135.702926264799</v>
      </c>
      <c r="F248" s="11">
        <f t="shared" si="6"/>
        <v>380.95238095238096</v>
      </c>
      <c r="G248" s="11">
        <f t="shared" si="2"/>
        <v>802.36959293157429</v>
      </c>
      <c r="H248" s="11">
        <f t="shared" si="3"/>
        <v>69333.333333333227</v>
      </c>
      <c r="I248" s="13"/>
      <c r="J248" s="13"/>
      <c r="K248" s="13"/>
      <c r="L248" s="13"/>
      <c r="M248" s="13"/>
      <c r="N248" s="13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75" customHeight="1">
      <c r="A249" s="37"/>
      <c r="B249" s="38">
        <f t="shared" si="4"/>
        <v>239</v>
      </c>
      <c r="C249" s="11">
        <f t="shared" si="5"/>
        <v>69333.333333333227</v>
      </c>
      <c r="D249" s="11">
        <f t="shared" si="0"/>
        <v>419.11438568422506</v>
      </c>
      <c r="E249" s="11">
        <f t="shared" si="1"/>
        <v>69752.447719017451</v>
      </c>
      <c r="F249" s="11">
        <f t="shared" si="6"/>
        <v>380.95238095238096</v>
      </c>
      <c r="G249" s="11">
        <f t="shared" si="2"/>
        <v>800.06676663660596</v>
      </c>
      <c r="H249" s="11">
        <f t="shared" si="3"/>
        <v>68952.380952380845</v>
      </c>
      <c r="I249" s="13"/>
      <c r="J249" s="13"/>
      <c r="K249" s="13"/>
      <c r="L249" s="13"/>
      <c r="M249" s="13"/>
      <c r="N249" s="13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75" customHeight="1">
      <c r="A250" s="37"/>
      <c r="B250" s="38">
        <f t="shared" si="4"/>
        <v>240</v>
      </c>
      <c r="C250" s="11">
        <f t="shared" si="5"/>
        <v>68952.380952380845</v>
      </c>
      <c r="D250" s="11">
        <f t="shared" si="0"/>
        <v>416.81155938925679</v>
      </c>
      <c r="E250" s="11">
        <f t="shared" si="1"/>
        <v>69369.192511770103</v>
      </c>
      <c r="F250" s="11">
        <f t="shared" si="6"/>
        <v>380.95238095238096</v>
      </c>
      <c r="G250" s="11">
        <f t="shared" si="2"/>
        <v>797.76394034163775</v>
      </c>
      <c r="H250" s="11">
        <f t="shared" si="3"/>
        <v>68571.428571428463</v>
      </c>
      <c r="I250" s="13"/>
      <c r="J250" s="13"/>
      <c r="K250" s="13"/>
      <c r="L250" s="13"/>
      <c r="M250" s="13"/>
      <c r="N250" s="13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75" customHeight="1">
      <c r="A251" s="37"/>
      <c r="B251" s="38">
        <f t="shared" si="4"/>
        <v>241</v>
      </c>
      <c r="C251" s="11">
        <f t="shared" si="5"/>
        <v>68571.428571428463</v>
      </c>
      <c r="D251" s="11">
        <f t="shared" si="0"/>
        <v>414.50873309428852</v>
      </c>
      <c r="E251" s="11">
        <f t="shared" si="1"/>
        <v>68985.937304522755</v>
      </c>
      <c r="F251" s="11">
        <f t="shared" si="6"/>
        <v>380.95238095238096</v>
      </c>
      <c r="G251" s="11">
        <f t="shared" si="2"/>
        <v>795.46111404666954</v>
      </c>
      <c r="H251" s="11">
        <f t="shared" si="3"/>
        <v>68190.476190476082</v>
      </c>
      <c r="I251" s="13"/>
      <c r="J251" s="13"/>
      <c r="K251" s="13"/>
      <c r="L251" s="13"/>
      <c r="M251" s="13"/>
      <c r="N251" s="13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75" customHeight="1">
      <c r="A252" s="37"/>
      <c r="B252" s="38">
        <f t="shared" si="4"/>
        <v>242</v>
      </c>
      <c r="C252" s="11">
        <f t="shared" si="5"/>
        <v>68190.476190476082</v>
      </c>
      <c r="D252" s="11">
        <f t="shared" si="0"/>
        <v>412.20590679932025</v>
      </c>
      <c r="E252" s="11">
        <f t="shared" si="1"/>
        <v>68602.682097275407</v>
      </c>
      <c r="F252" s="11">
        <f t="shared" si="6"/>
        <v>380.95238095238096</v>
      </c>
      <c r="G252" s="11">
        <f t="shared" si="2"/>
        <v>793.15828775170121</v>
      </c>
      <c r="H252" s="11">
        <f t="shared" si="3"/>
        <v>67809.5238095237</v>
      </c>
      <c r="I252" s="13"/>
      <c r="J252" s="13"/>
      <c r="K252" s="13"/>
      <c r="L252" s="13"/>
      <c r="M252" s="13"/>
      <c r="N252" s="13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75" customHeight="1">
      <c r="A253" s="37"/>
      <c r="B253" s="38">
        <f t="shared" si="4"/>
        <v>243</v>
      </c>
      <c r="C253" s="11">
        <f t="shared" si="5"/>
        <v>67809.5238095237</v>
      </c>
      <c r="D253" s="11">
        <f t="shared" si="0"/>
        <v>409.90308050435198</v>
      </c>
      <c r="E253" s="11">
        <f t="shared" si="1"/>
        <v>68219.426890028059</v>
      </c>
      <c r="F253" s="11">
        <f t="shared" si="6"/>
        <v>380.95238095238096</v>
      </c>
      <c r="G253" s="11">
        <f t="shared" si="2"/>
        <v>790.85546145673288</v>
      </c>
      <c r="H253" s="11">
        <f t="shared" si="3"/>
        <v>67428.571428571333</v>
      </c>
      <c r="I253" s="13"/>
      <c r="J253" s="13"/>
      <c r="K253" s="13"/>
      <c r="L253" s="13"/>
      <c r="M253" s="13"/>
      <c r="N253" s="13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75" customHeight="1">
      <c r="A254" s="37"/>
      <c r="B254" s="38">
        <f t="shared" si="4"/>
        <v>244</v>
      </c>
      <c r="C254" s="11">
        <f t="shared" si="5"/>
        <v>67428.571428571333</v>
      </c>
      <c r="D254" s="11">
        <f t="shared" si="0"/>
        <v>407.60025420938376</v>
      </c>
      <c r="E254" s="11">
        <f t="shared" si="1"/>
        <v>67836.17168278071</v>
      </c>
      <c r="F254" s="11">
        <f t="shared" si="6"/>
        <v>380.95238095238096</v>
      </c>
      <c r="G254" s="11">
        <f t="shared" si="2"/>
        <v>788.55263516176478</v>
      </c>
      <c r="H254" s="11">
        <f t="shared" si="3"/>
        <v>67047.619047618951</v>
      </c>
      <c r="I254" s="13"/>
      <c r="J254" s="13"/>
      <c r="K254" s="13"/>
      <c r="L254" s="13"/>
      <c r="M254" s="13"/>
      <c r="N254" s="13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75" customHeight="1">
      <c r="A255" s="37"/>
      <c r="B255" s="38">
        <f t="shared" si="4"/>
        <v>245</v>
      </c>
      <c r="C255" s="11">
        <f t="shared" si="5"/>
        <v>67047.619047618951</v>
      </c>
      <c r="D255" s="11">
        <f t="shared" si="0"/>
        <v>405.29742791441549</v>
      </c>
      <c r="E255" s="11">
        <f t="shared" si="1"/>
        <v>67452.916475533362</v>
      </c>
      <c r="F255" s="11">
        <f t="shared" si="6"/>
        <v>380.95238095238096</v>
      </c>
      <c r="G255" s="11">
        <f t="shared" si="2"/>
        <v>786.24980886679646</v>
      </c>
      <c r="H255" s="11">
        <f t="shared" si="3"/>
        <v>66666.66666666657</v>
      </c>
      <c r="I255" s="13"/>
      <c r="J255" s="13"/>
      <c r="K255" s="13"/>
      <c r="L255" s="13"/>
      <c r="M255" s="13"/>
      <c r="N255" s="13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75" customHeight="1">
      <c r="A256" s="37"/>
      <c r="B256" s="38">
        <f t="shared" si="4"/>
        <v>246</v>
      </c>
      <c r="C256" s="11">
        <f t="shared" si="5"/>
        <v>66666.66666666657</v>
      </c>
      <c r="D256" s="11">
        <f t="shared" si="0"/>
        <v>402.99460161944722</v>
      </c>
      <c r="E256" s="11">
        <f t="shared" si="1"/>
        <v>67069.661268286014</v>
      </c>
      <c r="F256" s="11">
        <f t="shared" si="6"/>
        <v>380.95238095238096</v>
      </c>
      <c r="G256" s="11">
        <f t="shared" si="2"/>
        <v>783.94698257182813</v>
      </c>
      <c r="H256" s="11">
        <f t="shared" si="3"/>
        <v>66285.714285714188</v>
      </c>
      <c r="I256" s="13"/>
      <c r="J256" s="13"/>
      <c r="K256" s="13"/>
      <c r="L256" s="13"/>
      <c r="M256" s="13"/>
      <c r="N256" s="13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75" customHeight="1">
      <c r="A257" s="37"/>
      <c r="B257" s="38">
        <f t="shared" si="4"/>
        <v>247</v>
      </c>
      <c r="C257" s="11">
        <f t="shared" si="5"/>
        <v>66285.714285714188</v>
      </c>
      <c r="D257" s="11">
        <f t="shared" si="0"/>
        <v>400.69177532447895</v>
      </c>
      <c r="E257" s="11">
        <f t="shared" si="1"/>
        <v>66686.406061038666</v>
      </c>
      <c r="F257" s="11">
        <f t="shared" si="6"/>
        <v>380.95238095238096</v>
      </c>
      <c r="G257" s="11">
        <f t="shared" si="2"/>
        <v>781.64415627685992</v>
      </c>
      <c r="H257" s="11">
        <f t="shared" si="3"/>
        <v>65904.761904761806</v>
      </c>
      <c r="I257" s="13"/>
      <c r="J257" s="13"/>
      <c r="K257" s="13"/>
      <c r="L257" s="13"/>
      <c r="M257" s="13"/>
      <c r="N257" s="13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75" customHeight="1">
      <c r="A258" s="37"/>
      <c r="B258" s="38">
        <f t="shared" si="4"/>
        <v>248</v>
      </c>
      <c r="C258" s="11">
        <f t="shared" si="5"/>
        <v>65904.761904761806</v>
      </c>
      <c r="D258" s="11">
        <f t="shared" si="0"/>
        <v>398.38894902951068</v>
      </c>
      <c r="E258" s="11">
        <f t="shared" si="1"/>
        <v>66303.150853791318</v>
      </c>
      <c r="F258" s="11">
        <f t="shared" si="6"/>
        <v>380.95238095238096</v>
      </c>
      <c r="G258" s="11">
        <f t="shared" si="2"/>
        <v>779.3413299818917</v>
      </c>
      <c r="H258" s="11">
        <f t="shared" si="3"/>
        <v>65523.809523809425</v>
      </c>
      <c r="I258" s="13"/>
      <c r="J258" s="13"/>
      <c r="K258" s="13"/>
      <c r="L258" s="13"/>
      <c r="M258" s="13"/>
      <c r="N258" s="13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75" customHeight="1">
      <c r="A259" s="37"/>
      <c r="B259" s="38">
        <f t="shared" si="4"/>
        <v>249</v>
      </c>
      <c r="C259" s="11">
        <f t="shared" si="5"/>
        <v>65523.809523809425</v>
      </c>
      <c r="D259" s="11">
        <f t="shared" si="0"/>
        <v>396.08612273454241</v>
      </c>
      <c r="E259" s="11">
        <f t="shared" si="1"/>
        <v>65919.89564654397</v>
      </c>
      <c r="F259" s="11">
        <f t="shared" si="6"/>
        <v>380.95238095238096</v>
      </c>
      <c r="G259" s="11">
        <f t="shared" si="2"/>
        <v>777.03850368692338</v>
      </c>
      <c r="H259" s="11">
        <f t="shared" si="3"/>
        <v>65142.857142857043</v>
      </c>
      <c r="I259" s="13"/>
      <c r="J259" s="13"/>
      <c r="K259" s="13"/>
      <c r="L259" s="13"/>
      <c r="M259" s="13"/>
      <c r="N259" s="13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75" customHeight="1">
      <c r="A260" s="37"/>
      <c r="B260" s="38">
        <f t="shared" si="4"/>
        <v>250</v>
      </c>
      <c r="C260" s="11">
        <f t="shared" si="5"/>
        <v>65142.857142857043</v>
      </c>
      <c r="D260" s="11">
        <f t="shared" si="0"/>
        <v>393.78329643957414</v>
      </c>
      <c r="E260" s="11">
        <f t="shared" si="1"/>
        <v>65536.640439296621</v>
      </c>
      <c r="F260" s="11">
        <f t="shared" si="6"/>
        <v>380.95238095238096</v>
      </c>
      <c r="G260" s="11">
        <f t="shared" si="2"/>
        <v>774.73567739195505</v>
      </c>
      <c r="H260" s="11">
        <f t="shared" si="3"/>
        <v>64761.904761904669</v>
      </c>
      <c r="I260" s="13"/>
      <c r="J260" s="13"/>
      <c r="K260" s="13"/>
      <c r="L260" s="13"/>
      <c r="M260" s="13"/>
      <c r="N260" s="13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75" customHeight="1">
      <c r="A261" s="37"/>
      <c r="B261" s="38">
        <f t="shared" si="4"/>
        <v>251</v>
      </c>
      <c r="C261" s="11">
        <f t="shared" si="5"/>
        <v>64761.904761904669</v>
      </c>
      <c r="D261" s="11">
        <f t="shared" si="0"/>
        <v>391.48047014460587</v>
      </c>
      <c r="E261" s="11">
        <f t="shared" si="1"/>
        <v>65153.385232049273</v>
      </c>
      <c r="F261" s="11">
        <f t="shared" si="6"/>
        <v>380.95238095238096</v>
      </c>
      <c r="G261" s="11">
        <f t="shared" si="2"/>
        <v>772.43285109698684</v>
      </c>
      <c r="H261" s="11">
        <f t="shared" si="3"/>
        <v>64380.952380952287</v>
      </c>
      <c r="I261" s="13"/>
      <c r="J261" s="13"/>
      <c r="K261" s="13"/>
      <c r="L261" s="13"/>
      <c r="M261" s="13"/>
      <c r="N261" s="13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75" customHeight="1">
      <c r="A262" s="37"/>
      <c r="B262" s="38">
        <f t="shared" si="4"/>
        <v>252</v>
      </c>
      <c r="C262" s="11">
        <f t="shared" si="5"/>
        <v>64380.952380952287</v>
      </c>
      <c r="D262" s="11">
        <f t="shared" si="0"/>
        <v>389.1776438496376</v>
      </c>
      <c r="E262" s="11">
        <f t="shared" si="1"/>
        <v>64770.130024801925</v>
      </c>
      <c r="F262" s="11">
        <f t="shared" si="6"/>
        <v>380.95238095238096</v>
      </c>
      <c r="G262" s="11">
        <f t="shared" si="2"/>
        <v>770.13002480201862</v>
      </c>
      <c r="H262" s="11">
        <f t="shared" si="3"/>
        <v>63999.999999999905</v>
      </c>
      <c r="I262" s="13"/>
      <c r="J262" s="13"/>
      <c r="K262" s="13"/>
      <c r="L262" s="13"/>
      <c r="M262" s="13"/>
      <c r="N262" s="13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75" customHeight="1">
      <c r="A263" s="37"/>
      <c r="B263" s="38">
        <f t="shared" si="4"/>
        <v>253</v>
      </c>
      <c r="C263" s="11">
        <f t="shared" si="5"/>
        <v>63999.999999999905</v>
      </c>
      <c r="D263" s="11">
        <f t="shared" si="0"/>
        <v>386.87481755466933</v>
      </c>
      <c r="E263" s="11">
        <f t="shared" si="1"/>
        <v>64386.874817554577</v>
      </c>
      <c r="F263" s="11">
        <f t="shared" si="6"/>
        <v>380.95238095238096</v>
      </c>
      <c r="G263" s="11">
        <f t="shared" si="2"/>
        <v>767.8271985070503</v>
      </c>
      <c r="H263" s="11">
        <f t="shared" si="3"/>
        <v>63619.047619047524</v>
      </c>
      <c r="I263" s="13"/>
      <c r="J263" s="13"/>
      <c r="K263" s="13"/>
      <c r="L263" s="13"/>
      <c r="M263" s="13"/>
      <c r="N263" s="13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75" customHeight="1">
      <c r="A264" s="37"/>
      <c r="B264" s="38">
        <f t="shared" si="4"/>
        <v>254</v>
      </c>
      <c r="C264" s="11">
        <f t="shared" si="5"/>
        <v>63619.047619047524</v>
      </c>
      <c r="D264" s="11">
        <f t="shared" si="0"/>
        <v>384.57199125970106</v>
      </c>
      <c r="E264" s="11">
        <f t="shared" si="1"/>
        <v>64003.619610307222</v>
      </c>
      <c r="F264" s="11">
        <f t="shared" si="6"/>
        <v>380.95238095238096</v>
      </c>
      <c r="G264" s="11">
        <f t="shared" si="2"/>
        <v>765.52437221208197</v>
      </c>
      <c r="H264" s="11">
        <f t="shared" si="3"/>
        <v>63238.095238095142</v>
      </c>
      <c r="I264" s="13"/>
      <c r="J264" s="13"/>
      <c r="K264" s="13"/>
      <c r="L264" s="13"/>
      <c r="M264" s="13"/>
      <c r="N264" s="13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75" customHeight="1">
      <c r="A265" s="37"/>
      <c r="B265" s="38">
        <f t="shared" si="4"/>
        <v>255</v>
      </c>
      <c r="C265" s="11">
        <f t="shared" si="5"/>
        <v>63238.095238095142</v>
      </c>
      <c r="D265" s="11">
        <f t="shared" si="0"/>
        <v>382.26916496473279</v>
      </c>
      <c r="E265" s="11">
        <f t="shared" si="1"/>
        <v>63620.364403059873</v>
      </c>
      <c r="F265" s="11">
        <f t="shared" si="6"/>
        <v>380.95238095238096</v>
      </c>
      <c r="G265" s="11">
        <f t="shared" si="2"/>
        <v>763.22154591711376</v>
      </c>
      <c r="H265" s="11">
        <f t="shared" si="3"/>
        <v>62857.14285714276</v>
      </c>
      <c r="I265" s="13"/>
      <c r="J265" s="13"/>
      <c r="K265" s="13"/>
      <c r="L265" s="13"/>
      <c r="M265" s="13"/>
      <c r="N265" s="13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75" customHeight="1">
      <c r="A266" s="37"/>
      <c r="B266" s="38">
        <f t="shared" si="4"/>
        <v>256</v>
      </c>
      <c r="C266" s="11">
        <f t="shared" si="5"/>
        <v>62857.14285714276</v>
      </c>
      <c r="D266" s="11">
        <f t="shared" ref="D266:D430" si="7">IF(B266&gt;0,C266*$I$8,0)</f>
        <v>379.96633866976453</v>
      </c>
      <c r="E266" s="11">
        <f t="shared" ref="E266:E430" si="8">IF(B266&gt;0,C266+D266,0)</f>
        <v>63237.109195812525</v>
      </c>
      <c r="F266" s="11">
        <f t="shared" si="6"/>
        <v>380.95238095238096</v>
      </c>
      <c r="G266" s="11">
        <f t="shared" ref="G266:G430" si="9">IF(B266&gt;0,D266+F266,0)</f>
        <v>760.91871962214555</v>
      </c>
      <c r="H266" s="11">
        <f t="shared" ref="H266:H430" si="10">IF(B266&gt;0,E266-G266,0)</f>
        <v>62476.190476190379</v>
      </c>
      <c r="I266" s="13"/>
      <c r="J266" s="13"/>
      <c r="K266" s="13"/>
      <c r="L266" s="13"/>
      <c r="M266" s="13"/>
      <c r="N266" s="13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75" customHeight="1">
      <c r="A267" s="37"/>
      <c r="B267" s="38">
        <f t="shared" ref="B267:B430" si="11">IF(AND(B266&gt;0,B266&lt;$E$8),B266+1,0)</f>
        <v>257</v>
      </c>
      <c r="C267" s="11">
        <f t="shared" ref="C267:C430" si="12">IF(B267&gt;0,H266,0)</f>
        <v>62476.190476190379</v>
      </c>
      <c r="D267" s="11">
        <f t="shared" si="7"/>
        <v>377.6635123747962</v>
      </c>
      <c r="E267" s="11">
        <f t="shared" si="8"/>
        <v>62853.853988565177</v>
      </c>
      <c r="F267" s="11">
        <f t="shared" ref="F267:F430" si="13">IF(B267&gt;0,$C$8/$E$8,0)</f>
        <v>380.95238095238096</v>
      </c>
      <c r="G267" s="11">
        <f t="shared" si="9"/>
        <v>758.61589332717722</v>
      </c>
      <c r="H267" s="11">
        <f t="shared" si="10"/>
        <v>62095.238095237997</v>
      </c>
      <c r="I267" s="13"/>
      <c r="J267" s="13"/>
      <c r="K267" s="13"/>
      <c r="L267" s="13"/>
      <c r="M267" s="13"/>
      <c r="N267" s="13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75" customHeight="1">
      <c r="A268" s="37"/>
      <c r="B268" s="38">
        <f t="shared" si="11"/>
        <v>258</v>
      </c>
      <c r="C268" s="11">
        <f t="shared" si="12"/>
        <v>62095.238095237997</v>
      </c>
      <c r="D268" s="11">
        <f t="shared" si="7"/>
        <v>375.36068607982793</v>
      </c>
      <c r="E268" s="11">
        <f t="shared" si="8"/>
        <v>62470.598781317822</v>
      </c>
      <c r="F268" s="11">
        <f t="shared" si="13"/>
        <v>380.95238095238096</v>
      </c>
      <c r="G268" s="11">
        <f t="shared" si="9"/>
        <v>756.31306703220889</v>
      </c>
      <c r="H268" s="11">
        <f t="shared" si="10"/>
        <v>61714.285714285616</v>
      </c>
      <c r="I268" s="13"/>
      <c r="J268" s="13"/>
      <c r="K268" s="13"/>
      <c r="L268" s="13"/>
      <c r="M268" s="13"/>
      <c r="N268" s="13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75" customHeight="1">
      <c r="A269" s="37"/>
      <c r="B269" s="38">
        <f t="shared" si="11"/>
        <v>259</v>
      </c>
      <c r="C269" s="11">
        <f t="shared" si="12"/>
        <v>61714.285714285616</v>
      </c>
      <c r="D269" s="11">
        <f t="shared" si="7"/>
        <v>373.05785978485966</v>
      </c>
      <c r="E269" s="11">
        <f t="shared" si="8"/>
        <v>62087.343574070474</v>
      </c>
      <c r="F269" s="11">
        <f t="shared" si="13"/>
        <v>380.95238095238096</v>
      </c>
      <c r="G269" s="11">
        <f t="shared" si="9"/>
        <v>754.01024073724057</v>
      </c>
      <c r="H269" s="11">
        <f t="shared" si="10"/>
        <v>61333.333333333234</v>
      </c>
      <c r="I269" s="13"/>
      <c r="J269" s="13"/>
      <c r="K269" s="13"/>
      <c r="L269" s="13"/>
      <c r="M269" s="13"/>
      <c r="N269" s="13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75" customHeight="1">
      <c r="A270" s="37"/>
      <c r="B270" s="38">
        <f t="shared" si="11"/>
        <v>260</v>
      </c>
      <c r="C270" s="11">
        <f t="shared" si="12"/>
        <v>61333.333333333234</v>
      </c>
      <c r="D270" s="11">
        <f t="shared" si="7"/>
        <v>370.75503348989139</v>
      </c>
      <c r="E270" s="11">
        <f t="shared" si="8"/>
        <v>61704.088366823125</v>
      </c>
      <c r="F270" s="11">
        <f t="shared" si="13"/>
        <v>380.95238095238096</v>
      </c>
      <c r="G270" s="11">
        <f t="shared" si="9"/>
        <v>751.70741444227235</v>
      </c>
      <c r="H270" s="11">
        <f t="shared" si="10"/>
        <v>60952.380952380852</v>
      </c>
      <c r="I270" s="13"/>
      <c r="J270" s="13"/>
      <c r="K270" s="13"/>
      <c r="L270" s="13"/>
      <c r="M270" s="13"/>
      <c r="N270" s="13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75" customHeight="1">
      <c r="A271" s="37"/>
      <c r="B271" s="38">
        <f t="shared" si="11"/>
        <v>261</v>
      </c>
      <c r="C271" s="11">
        <f t="shared" si="12"/>
        <v>60952.380952380852</v>
      </c>
      <c r="D271" s="11">
        <f t="shared" si="7"/>
        <v>368.45220719492312</v>
      </c>
      <c r="E271" s="11">
        <f t="shared" si="8"/>
        <v>61320.833159575777</v>
      </c>
      <c r="F271" s="11">
        <f t="shared" si="13"/>
        <v>380.95238095238096</v>
      </c>
      <c r="G271" s="11">
        <f t="shared" si="9"/>
        <v>749.40458814730414</v>
      </c>
      <c r="H271" s="11">
        <f t="shared" si="10"/>
        <v>60571.428571428471</v>
      </c>
      <c r="I271" s="13"/>
      <c r="J271" s="13"/>
      <c r="K271" s="13"/>
      <c r="L271" s="13"/>
      <c r="M271" s="13"/>
      <c r="N271" s="13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75" customHeight="1">
      <c r="A272" s="37"/>
      <c r="B272" s="38">
        <f t="shared" si="11"/>
        <v>262</v>
      </c>
      <c r="C272" s="11">
        <f t="shared" si="12"/>
        <v>60571.428571428471</v>
      </c>
      <c r="D272" s="11">
        <f t="shared" si="7"/>
        <v>366.14938089995485</v>
      </c>
      <c r="E272" s="11">
        <f t="shared" si="8"/>
        <v>60937.577952328429</v>
      </c>
      <c r="F272" s="11">
        <f t="shared" si="13"/>
        <v>380.95238095238096</v>
      </c>
      <c r="G272" s="11">
        <f t="shared" si="9"/>
        <v>747.10176185233581</v>
      </c>
      <c r="H272" s="11">
        <f t="shared" si="10"/>
        <v>60190.476190476096</v>
      </c>
      <c r="I272" s="13"/>
      <c r="J272" s="13"/>
      <c r="K272" s="13"/>
      <c r="L272" s="13"/>
      <c r="M272" s="13"/>
      <c r="N272" s="13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75" customHeight="1">
      <c r="A273" s="37"/>
      <c r="B273" s="38">
        <f t="shared" si="11"/>
        <v>263</v>
      </c>
      <c r="C273" s="11">
        <f t="shared" si="12"/>
        <v>60190.476190476096</v>
      </c>
      <c r="D273" s="11">
        <f t="shared" si="7"/>
        <v>363.84655460498658</v>
      </c>
      <c r="E273" s="11">
        <f t="shared" si="8"/>
        <v>60554.322745081081</v>
      </c>
      <c r="F273" s="11">
        <f t="shared" si="13"/>
        <v>380.95238095238096</v>
      </c>
      <c r="G273" s="11">
        <f t="shared" si="9"/>
        <v>744.79893555736749</v>
      </c>
      <c r="H273" s="11">
        <f t="shared" si="10"/>
        <v>59809.523809523715</v>
      </c>
      <c r="I273" s="13"/>
      <c r="J273" s="13"/>
      <c r="K273" s="13"/>
      <c r="L273" s="13"/>
      <c r="M273" s="13"/>
      <c r="N273" s="13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75" customHeight="1">
      <c r="A274" s="37"/>
      <c r="B274" s="38">
        <f t="shared" si="11"/>
        <v>264</v>
      </c>
      <c r="C274" s="11">
        <f t="shared" si="12"/>
        <v>59809.523809523715</v>
      </c>
      <c r="D274" s="11">
        <f t="shared" si="7"/>
        <v>361.54372831001831</v>
      </c>
      <c r="E274" s="11">
        <f t="shared" si="8"/>
        <v>60171.067537833733</v>
      </c>
      <c r="F274" s="11">
        <f t="shared" si="13"/>
        <v>380.95238095238096</v>
      </c>
      <c r="G274" s="11">
        <f t="shared" si="9"/>
        <v>742.49610926239927</v>
      </c>
      <c r="H274" s="11">
        <f t="shared" si="10"/>
        <v>59428.571428571333</v>
      </c>
      <c r="I274" s="13"/>
      <c r="J274" s="13"/>
      <c r="K274" s="13"/>
      <c r="L274" s="13"/>
      <c r="M274" s="13"/>
      <c r="N274" s="13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75" customHeight="1">
      <c r="A275" s="37"/>
      <c r="B275" s="38">
        <f t="shared" si="11"/>
        <v>265</v>
      </c>
      <c r="C275" s="11">
        <f t="shared" si="12"/>
        <v>59428.571428571333</v>
      </c>
      <c r="D275" s="11">
        <f t="shared" si="7"/>
        <v>359.24090201505004</v>
      </c>
      <c r="E275" s="11">
        <f t="shared" si="8"/>
        <v>59787.812330586385</v>
      </c>
      <c r="F275" s="11">
        <f t="shared" si="13"/>
        <v>380.95238095238096</v>
      </c>
      <c r="G275" s="11">
        <f t="shared" si="9"/>
        <v>740.19328296743106</v>
      </c>
      <c r="H275" s="11">
        <f t="shared" si="10"/>
        <v>59047.619047618951</v>
      </c>
      <c r="I275" s="13"/>
      <c r="J275" s="13"/>
      <c r="K275" s="13"/>
      <c r="L275" s="13"/>
      <c r="M275" s="13"/>
      <c r="N275" s="13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75" customHeight="1">
      <c r="A276" s="37"/>
      <c r="B276" s="38">
        <f t="shared" si="11"/>
        <v>266</v>
      </c>
      <c r="C276" s="11">
        <f t="shared" si="12"/>
        <v>59047.619047618951</v>
      </c>
      <c r="D276" s="11">
        <f t="shared" si="7"/>
        <v>356.93807572008177</v>
      </c>
      <c r="E276" s="11">
        <f t="shared" si="8"/>
        <v>59404.557123339036</v>
      </c>
      <c r="F276" s="11">
        <f t="shared" si="13"/>
        <v>380.95238095238096</v>
      </c>
      <c r="G276" s="11">
        <f t="shared" si="9"/>
        <v>737.89045667246273</v>
      </c>
      <c r="H276" s="11">
        <f t="shared" si="10"/>
        <v>58666.666666666577</v>
      </c>
      <c r="I276" s="13"/>
      <c r="J276" s="13"/>
      <c r="K276" s="13"/>
      <c r="L276" s="13"/>
      <c r="M276" s="13"/>
      <c r="N276" s="13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75" customHeight="1">
      <c r="A277" s="37"/>
      <c r="B277" s="38">
        <f t="shared" si="11"/>
        <v>267</v>
      </c>
      <c r="C277" s="11">
        <f t="shared" si="12"/>
        <v>58666.666666666577</v>
      </c>
      <c r="D277" s="11">
        <f t="shared" si="7"/>
        <v>354.63524942511356</v>
      </c>
      <c r="E277" s="11">
        <f t="shared" si="8"/>
        <v>59021.301916091688</v>
      </c>
      <c r="F277" s="11">
        <f t="shared" si="13"/>
        <v>380.95238095238096</v>
      </c>
      <c r="G277" s="11">
        <f t="shared" si="9"/>
        <v>735.58763037749452</v>
      </c>
      <c r="H277" s="11">
        <f t="shared" si="10"/>
        <v>58285.714285714195</v>
      </c>
      <c r="I277" s="13"/>
      <c r="J277" s="13"/>
      <c r="K277" s="13"/>
      <c r="L277" s="13"/>
      <c r="M277" s="13"/>
      <c r="N277" s="13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75" customHeight="1">
      <c r="A278" s="37"/>
      <c r="B278" s="38">
        <f t="shared" si="11"/>
        <v>268</v>
      </c>
      <c r="C278" s="11">
        <f t="shared" si="12"/>
        <v>58285.714285714195</v>
      </c>
      <c r="D278" s="11">
        <f t="shared" si="7"/>
        <v>352.33242313014523</v>
      </c>
      <c r="E278" s="11">
        <f t="shared" si="8"/>
        <v>58638.04670884434</v>
      </c>
      <c r="F278" s="11">
        <f t="shared" si="13"/>
        <v>380.95238095238096</v>
      </c>
      <c r="G278" s="11">
        <f t="shared" si="9"/>
        <v>733.28480408252619</v>
      </c>
      <c r="H278" s="11">
        <f t="shared" si="10"/>
        <v>57904.761904761814</v>
      </c>
      <c r="I278" s="13"/>
      <c r="J278" s="13"/>
      <c r="K278" s="13"/>
      <c r="L278" s="13"/>
      <c r="M278" s="13"/>
      <c r="N278" s="13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75" customHeight="1">
      <c r="A279" s="37"/>
      <c r="B279" s="38">
        <f t="shared" si="11"/>
        <v>269</v>
      </c>
      <c r="C279" s="11">
        <f t="shared" si="12"/>
        <v>57904.761904761814</v>
      </c>
      <c r="D279" s="11">
        <f t="shared" si="7"/>
        <v>350.02959683517696</v>
      </c>
      <c r="E279" s="11">
        <f t="shared" si="8"/>
        <v>58254.791501596992</v>
      </c>
      <c r="F279" s="11">
        <f t="shared" si="13"/>
        <v>380.95238095238096</v>
      </c>
      <c r="G279" s="11">
        <f t="shared" si="9"/>
        <v>730.98197778755798</v>
      </c>
      <c r="H279" s="11">
        <f t="shared" si="10"/>
        <v>57523.809523809432</v>
      </c>
      <c r="I279" s="13"/>
      <c r="J279" s="13"/>
      <c r="K279" s="13"/>
      <c r="L279" s="13"/>
      <c r="M279" s="13"/>
      <c r="N279" s="13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75" customHeight="1">
      <c r="A280" s="37"/>
      <c r="B280" s="38">
        <f t="shared" si="11"/>
        <v>270</v>
      </c>
      <c r="C280" s="11">
        <f t="shared" si="12"/>
        <v>57523.809523809432</v>
      </c>
      <c r="D280" s="11">
        <f t="shared" si="7"/>
        <v>347.72677054020869</v>
      </c>
      <c r="E280" s="11">
        <f t="shared" si="8"/>
        <v>57871.536294349644</v>
      </c>
      <c r="F280" s="11">
        <f t="shared" si="13"/>
        <v>380.95238095238096</v>
      </c>
      <c r="G280" s="11">
        <f t="shared" si="9"/>
        <v>728.67915149258965</v>
      </c>
      <c r="H280" s="11">
        <f t="shared" si="10"/>
        <v>57142.857142857058</v>
      </c>
      <c r="I280" s="13"/>
      <c r="J280" s="13"/>
      <c r="K280" s="13"/>
      <c r="L280" s="13"/>
      <c r="M280" s="13"/>
      <c r="N280" s="13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75" customHeight="1">
      <c r="A281" s="37"/>
      <c r="B281" s="38">
        <f t="shared" si="11"/>
        <v>271</v>
      </c>
      <c r="C281" s="11">
        <f t="shared" si="12"/>
        <v>57142.857142857058</v>
      </c>
      <c r="D281" s="11">
        <f t="shared" si="7"/>
        <v>345.42394424524048</v>
      </c>
      <c r="E281" s="11">
        <f t="shared" si="8"/>
        <v>57488.281087102296</v>
      </c>
      <c r="F281" s="11">
        <f t="shared" si="13"/>
        <v>380.95238095238096</v>
      </c>
      <c r="G281" s="11">
        <f t="shared" si="9"/>
        <v>726.37632519762144</v>
      </c>
      <c r="H281" s="11">
        <f t="shared" si="10"/>
        <v>56761.904761904676</v>
      </c>
      <c r="I281" s="13"/>
      <c r="J281" s="13"/>
      <c r="K281" s="13"/>
      <c r="L281" s="13"/>
      <c r="M281" s="13"/>
      <c r="N281" s="13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75" customHeight="1">
      <c r="A282" s="37"/>
      <c r="B282" s="38">
        <f t="shared" si="11"/>
        <v>272</v>
      </c>
      <c r="C282" s="11">
        <f t="shared" si="12"/>
        <v>56761.904761904676</v>
      </c>
      <c r="D282" s="11">
        <f t="shared" si="7"/>
        <v>343.12111795027221</v>
      </c>
      <c r="E282" s="11">
        <f t="shared" si="8"/>
        <v>57105.025879854948</v>
      </c>
      <c r="F282" s="11">
        <f t="shared" si="13"/>
        <v>380.95238095238096</v>
      </c>
      <c r="G282" s="11">
        <f t="shared" si="9"/>
        <v>724.07349890265323</v>
      </c>
      <c r="H282" s="11">
        <f t="shared" si="10"/>
        <v>56380.952380952294</v>
      </c>
      <c r="I282" s="13"/>
      <c r="J282" s="13"/>
      <c r="K282" s="13"/>
      <c r="L282" s="13"/>
      <c r="M282" s="13"/>
      <c r="N282" s="13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75" customHeight="1">
      <c r="A283" s="37"/>
      <c r="B283" s="38">
        <f t="shared" si="11"/>
        <v>273</v>
      </c>
      <c r="C283" s="11">
        <f t="shared" si="12"/>
        <v>56380.952380952294</v>
      </c>
      <c r="D283" s="11">
        <f t="shared" si="7"/>
        <v>340.81829165530394</v>
      </c>
      <c r="E283" s="11">
        <f t="shared" si="8"/>
        <v>56721.770672607599</v>
      </c>
      <c r="F283" s="11">
        <f t="shared" si="13"/>
        <v>380.95238095238096</v>
      </c>
      <c r="G283" s="11">
        <f t="shared" si="9"/>
        <v>721.7706726076849</v>
      </c>
      <c r="H283" s="11">
        <f t="shared" si="10"/>
        <v>55999.999999999913</v>
      </c>
      <c r="I283" s="13"/>
      <c r="J283" s="13"/>
      <c r="K283" s="13"/>
      <c r="L283" s="13"/>
      <c r="M283" s="13"/>
      <c r="N283" s="13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75" customHeight="1">
      <c r="A284" s="37"/>
      <c r="B284" s="38">
        <f t="shared" si="11"/>
        <v>274</v>
      </c>
      <c r="C284" s="11">
        <f t="shared" si="12"/>
        <v>55999.999999999913</v>
      </c>
      <c r="D284" s="11">
        <f t="shared" si="7"/>
        <v>338.51546536033561</v>
      </c>
      <c r="E284" s="11">
        <f t="shared" si="8"/>
        <v>56338.515465360251</v>
      </c>
      <c r="F284" s="11">
        <f t="shared" si="13"/>
        <v>380.95238095238096</v>
      </c>
      <c r="G284" s="11">
        <f t="shared" si="9"/>
        <v>719.46784631271657</v>
      </c>
      <c r="H284" s="11">
        <f t="shared" si="10"/>
        <v>55619.047619047531</v>
      </c>
      <c r="I284" s="13"/>
      <c r="J284" s="13"/>
      <c r="K284" s="13"/>
      <c r="L284" s="13"/>
      <c r="M284" s="13"/>
      <c r="N284" s="13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75" customHeight="1">
      <c r="A285" s="37"/>
      <c r="B285" s="38">
        <f t="shared" si="11"/>
        <v>275</v>
      </c>
      <c r="C285" s="11">
        <f t="shared" si="12"/>
        <v>55619.047619047531</v>
      </c>
      <c r="D285" s="11">
        <f t="shared" si="7"/>
        <v>336.21263906536734</v>
      </c>
      <c r="E285" s="11">
        <f t="shared" si="8"/>
        <v>55955.260258112896</v>
      </c>
      <c r="F285" s="11">
        <f t="shared" si="13"/>
        <v>380.95238095238096</v>
      </c>
      <c r="G285" s="11">
        <f t="shared" si="9"/>
        <v>717.16502001774825</v>
      </c>
      <c r="H285" s="11">
        <f t="shared" si="10"/>
        <v>55238.095238095149</v>
      </c>
      <c r="I285" s="13"/>
      <c r="J285" s="13"/>
      <c r="K285" s="13"/>
      <c r="L285" s="13"/>
      <c r="M285" s="13"/>
      <c r="N285" s="13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75" customHeight="1">
      <c r="A286" s="37"/>
      <c r="B286" s="38">
        <f t="shared" si="11"/>
        <v>276</v>
      </c>
      <c r="C286" s="11">
        <f t="shared" si="12"/>
        <v>55238.095238095149</v>
      </c>
      <c r="D286" s="11">
        <f t="shared" si="7"/>
        <v>333.90981277039907</v>
      </c>
      <c r="E286" s="11">
        <f t="shared" si="8"/>
        <v>55572.005050865548</v>
      </c>
      <c r="F286" s="11">
        <f t="shared" si="13"/>
        <v>380.95238095238096</v>
      </c>
      <c r="G286" s="11">
        <f t="shared" si="9"/>
        <v>714.86219372278003</v>
      </c>
      <c r="H286" s="11">
        <f t="shared" si="10"/>
        <v>54857.142857142768</v>
      </c>
      <c r="I286" s="13"/>
      <c r="J286" s="13"/>
      <c r="K286" s="13"/>
      <c r="L286" s="13"/>
      <c r="M286" s="13"/>
      <c r="N286" s="13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75" customHeight="1">
      <c r="A287" s="37"/>
      <c r="B287" s="38">
        <f t="shared" si="11"/>
        <v>277</v>
      </c>
      <c r="C287" s="11">
        <f t="shared" si="12"/>
        <v>54857.142857142768</v>
      </c>
      <c r="D287" s="11">
        <f t="shared" si="7"/>
        <v>331.6069864754308</v>
      </c>
      <c r="E287" s="11">
        <f t="shared" si="8"/>
        <v>55188.7498436182</v>
      </c>
      <c r="F287" s="11">
        <f t="shared" si="13"/>
        <v>380.95238095238096</v>
      </c>
      <c r="G287" s="11">
        <f t="shared" si="9"/>
        <v>712.55936742781182</v>
      </c>
      <c r="H287" s="11">
        <f t="shared" si="10"/>
        <v>54476.190476190386</v>
      </c>
      <c r="I287" s="13"/>
      <c r="J287" s="13"/>
      <c r="K287" s="13"/>
      <c r="L287" s="13"/>
      <c r="M287" s="13"/>
      <c r="N287" s="13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75" customHeight="1">
      <c r="A288" s="37"/>
      <c r="B288" s="38">
        <f t="shared" si="11"/>
        <v>278</v>
      </c>
      <c r="C288" s="11">
        <f t="shared" si="12"/>
        <v>54476.190476190386</v>
      </c>
      <c r="D288" s="11">
        <f t="shared" si="7"/>
        <v>329.30416018046253</v>
      </c>
      <c r="E288" s="11">
        <f t="shared" si="8"/>
        <v>54805.494636370851</v>
      </c>
      <c r="F288" s="11">
        <f t="shared" si="13"/>
        <v>380.95238095238096</v>
      </c>
      <c r="G288" s="11">
        <f t="shared" si="9"/>
        <v>710.25654113284349</v>
      </c>
      <c r="H288" s="11">
        <f t="shared" si="10"/>
        <v>54095.238095238004</v>
      </c>
      <c r="I288" s="13"/>
      <c r="J288" s="13"/>
      <c r="K288" s="13"/>
      <c r="L288" s="13"/>
      <c r="M288" s="13"/>
      <c r="N288" s="13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75" customHeight="1">
      <c r="A289" s="37"/>
      <c r="B289" s="38">
        <f t="shared" si="11"/>
        <v>279</v>
      </c>
      <c r="C289" s="11">
        <f t="shared" si="12"/>
        <v>54095.238095238004</v>
      </c>
      <c r="D289" s="11">
        <f t="shared" si="7"/>
        <v>327.00133388549426</v>
      </c>
      <c r="E289" s="11">
        <f t="shared" si="8"/>
        <v>54422.239429123496</v>
      </c>
      <c r="F289" s="11">
        <f t="shared" si="13"/>
        <v>380.95238095238096</v>
      </c>
      <c r="G289" s="11">
        <f t="shared" si="9"/>
        <v>707.95371483787517</v>
      </c>
      <c r="H289" s="11">
        <f t="shared" si="10"/>
        <v>53714.285714285623</v>
      </c>
      <c r="I289" s="13"/>
      <c r="J289" s="13"/>
      <c r="K289" s="13"/>
      <c r="L289" s="13"/>
      <c r="M289" s="13"/>
      <c r="N289" s="13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75" customHeight="1">
      <c r="A290" s="37"/>
      <c r="B290" s="38">
        <f t="shared" si="11"/>
        <v>280</v>
      </c>
      <c r="C290" s="11">
        <f t="shared" si="12"/>
        <v>53714.285714285623</v>
      </c>
      <c r="D290" s="11">
        <f t="shared" si="7"/>
        <v>324.69850759052599</v>
      </c>
      <c r="E290" s="11">
        <f t="shared" si="8"/>
        <v>54038.984221876148</v>
      </c>
      <c r="F290" s="11">
        <f t="shared" si="13"/>
        <v>380.95238095238096</v>
      </c>
      <c r="G290" s="11">
        <f t="shared" si="9"/>
        <v>705.65088854290696</v>
      </c>
      <c r="H290" s="11">
        <f t="shared" si="10"/>
        <v>53333.333333333241</v>
      </c>
      <c r="I290" s="13"/>
      <c r="J290" s="13"/>
      <c r="K290" s="13"/>
      <c r="L290" s="13"/>
      <c r="M290" s="13"/>
      <c r="N290" s="13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75" customHeight="1">
      <c r="A291" s="37"/>
      <c r="B291" s="38">
        <f t="shared" si="11"/>
        <v>281</v>
      </c>
      <c r="C291" s="11">
        <f t="shared" si="12"/>
        <v>53333.333333333241</v>
      </c>
      <c r="D291" s="11">
        <f t="shared" si="7"/>
        <v>322.39568129555772</v>
      </c>
      <c r="E291" s="11">
        <f t="shared" si="8"/>
        <v>53655.7290146288</v>
      </c>
      <c r="F291" s="11">
        <f t="shared" si="13"/>
        <v>380.95238095238096</v>
      </c>
      <c r="G291" s="11">
        <f t="shared" si="9"/>
        <v>703.34806224793874</v>
      </c>
      <c r="H291" s="11">
        <f t="shared" si="10"/>
        <v>52952.38095238086</v>
      </c>
      <c r="I291" s="13"/>
      <c r="J291" s="13"/>
      <c r="K291" s="13"/>
      <c r="L291" s="13"/>
      <c r="M291" s="13"/>
      <c r="N291" s="13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75" customHeight="1">
      <c r="A292" s="37"/>
      <c r="B292" s="38">
        <f t="shared" si="11"/>
        <v>282</v>
      </c>
      <c r="C292" s="11">
        <f t="shared" si="12"/>
        <v>52952.38095238086</v>
      </c>
      <c r="D292" s="11">
        <f t="shared" si="7"/>
        <v>320.0928550005894</v>
      </c>
      <c r="E292" s="11">
        <f t="shared" si="8"/>
        <v>53272.473807381451</v>
      </c>
      <c r="F292" s="11">
        <f t="shared" si="13"/>
        <v>380.95238095238096</v>
      </c>
      <c r="G292" s="11">
        <f t="shared" si="9"/>
        <v>701.04523595297042</v>
      </c>
      <c r="H292" s="11">
        <f t="shared" si="10"/>
        <v>52571.428571428478</v>
      </c>
      <c r="I292" s="13"/>
      <c r="J292" s="13"/>
      <c r="K292" s="13"/>
      <c r="L292" s="13"/>
      <c r="M292" s="13"/>
      <c r="N292" s="13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75" customHeight="1">
      <c r="A293" s="37"/>
      <c r="B293" s="38">
        <f t="shared" si="11"/>
        <v>283</v>
      </c>
      <c r="C293" s="11">
        <f t="shared" si="12"/>
        <v>52571.428571428478</v>
      </c>
      <c r="D293" s="11">
        <f t="shared" si="7"/>
        <v>317.79002870562113</v>
      </c>
      <c r="E293" s="11">
        <f t="shared" si="8"/>
        <v>52889.218600134096</v>
      </c>
      <c r="F293" s="11">
        <f t="shared" si="13"/>
        <v>380.95238095238096</v>
      </c>
      <c r="G293" s="11">
        <f t="shared" si="9"/>
        <v>698.74240965800209</v>
      </c>
      <c r="H293" s="11">
        <f t="shared" si="10"/>
        <v>52190.476190476096</v>
      </c>
      <c r="I293" s="13"/>
      <c r="J293" s="13"/>
      <c r="K293" s="13"/>
      <c r="L293" s="13"/>
      <c r="M293" s="13"/>
      <c r="N293" s="13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75" customHeight="1">
      <c r="A294" s="37"/>
      <c r="B294" s="38">
        <f t="shared" si="11"/>
        <v>284</v>
      </c>
      <c r="C294" s="11">
        <f t="shared" si="12"/>
        <v>52190.476190476096</v>
      </c>
      <c r="D294" s="11">
        <f t="shared" si="7"/>
        <v>315.48720241065286</v>
      </c>
      <c r="E294" s="11">
        <f t="shared" si="8"/>
        <v>52505.963392886748</v>
      </c>
      <c r="F294" s="11">
        <f t="shared" si="13"/>
        <v>380.95238095238096</v>
      </c>
      <c r="G294" s="11">
        <f t="shared" si="9"/>
        <v>696.43958336303376</v>
      </c>
      <c r="H294" s="11">
        <f t="shared" si="10"/>
        <v>51809.523809523715</v>
      </c>
      <c r="I294" s="13"/>
      <c r="J294" s="13"/>
      <c r="K294" s="13"/>
      <c r="L294" s="13"/>
      <c r="M294" s="13"/>
      <c r="N294" s="13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75" customHeight="1">
      <c r="A295" s="37"/>
      <c r="B295" s="38">
        <f t="shared" si="11"/>
        <v>285</v>
      </c>
      <c r="C295" s="11">
        <f t="shared" si="12"/>
        <v>51809.523809523715</v>
      </c>
      <c r="D295" s="11">
        <f t="shared" si="7"/>
        <v>313.18437611568459</v>
      </c>
      <c r="E295" s="11">
        <f t="shared" si="8"/>
        <v>52122.7081856394</v>
      </c>
      <c r="F295" s="11">
        <f t="shared" si="13"/>
        <v>380.95238095238096</v>
      </c>
      <c r="G295" s="11">
        <f t="shared" si="9"/>
        <v>694.13675706806555</v>
      </c>
      <c r="H295" s="11">
        <f t="shared" si="10"/>
        <v>51428.571428571333</v>
      </c>
      <c r="I295" s="13"/>
      <c r="J295" s="13"/>
      <c r="K295" s="13"/>
      <c r="L295" s="13"/>
      <c r="M295" s="13"/>
      <c r="N295" s="13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75" customHeight="1">
      <c r="A296" s="37"/>
      <c r="B296" s="38">
        <f t="shared" si="11"/>
        <v>286</v>
      </c>
      <c r="C296" s="11">
        <f t="shared" si="12"/>
        <v>51428.571428571333</v>
      </c>
      <c r="D296" s="11">
        <f t="shared" si="7"/>
        <v>310.88154982071632</v>
      </c>
      <c r="E296" s="11">
        <f t="shared" si="8"/>
        <v>51739.452978392052</v>
      </c>
      <c r="F296" s="11">
        <f t="shared" si="13"/>
        <v>380.95238095238096</v>
      </c>
      <c r="G296" s="11">
        <f t="shared" si="9"/>
        <v>691.83393077309734</v>
      </c>
      <c r="H296" s="11">
        <f t="shared" si="10"/>
        <v>51047.619047618951</v>
      </c>
      <c r="I296" s="13"/>
      <c r="J296" s="13"/>
      <c r="K296" s="13"/>
      <c r="L296" s="13"/>
      <c r="M296" s="13"/>
      <c r="N296" s="13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75" customHeight="1">
      <c r="A297" s="37"/>
      <c r="B297" s="38">
        <f t="shared" si="11"/>
        <v>287</v>
      </c>
      <c r="C297" s="11">
        <f t="shared" si="12"/>
        <v>51047.619047618951</v>
      </c>
      <c r="D297" s="11">
        <f t="shared" si="7"/>
        <v>308.57872352574805</v>
      </c>
      <c r="E297" s="11">
        <f t="shared" si="8"/>
        <v>51356.197771144696</v>
      </c>
      <c r="F297" s="11">
        <f t="shared" si="13"/>
        <v>380.95238095238096</v>
      </c>
      <c r="G297" s="11">
        <f t="shared" si="9"/>
        <v>689.53110447812901</v>
      </c>
      <c r="H297" s="11">
        <f t="shared" si="10"/>
        <v>50666.66666666657</v>
      </c>
      <c r="I297" s="13"/>
      <c r="J297" s="13"/>
      <c r="K297" s="13"/>
      <c r="L297" s="13"/>
      <c r="M297" s="13"/>
      <c r="N297" s="13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75" customHeight="1">
      <c r="A298" s="37"/>
      <c r="B298" s="38">
        <f t="shared" si="11"/>
        <v>288</v>
      </c>
      <c r="C298" s="11">
        <f t="shared" si="12"/>
        <v>50666.66666666657</v>
      </c>
      <c r="D298" s="11">
        <f t="shared" si="7"/>
        <v>306.27589723077978</v>
      </c>
      <c r="E298" s="11">
        <f t="shared" si="8"/>
        <v>50972.942563897348</v>
      </c>
      <c r="F298" s="11">
        <f t="shared" si="13"/>
        <v>380.95238095238096</v>
      </c>
      <c r="G298" s="11">
        <f t="shared" si="9"/>
        <v>687.22827818316068</v>
      </c>
      <c r="H298" s="11">
        <f t="shared" si="10"/>
        <v>50285.714285714188</v>
      </c>
      <c r="I298" s="13"/>
      <c r="J298" s="13"/>
      <c r="K298" s="13"/>
      <c r="L298" s="13"/>
      <c r="M298" s="13"/>
      <c r="N298" s="13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75" customHeight="1">
      <c r="A299" s="37"/>
      <c r="B299" s="38">
        <f t="shared" si="11"/>
        <v>289</v>
      </c>
      <c r="C299" s="11">
        <f t="shared" si="12"/>
        <v>50285.714285714188</v>
      </c>
      <c r="D299" s="11">
        <f t="shared" si="7"/>
        <v>303.97307093581145</v>
      </c>
      <c r="E299" s="11">
        <f t="shared" si="8"/>
        <v>50589.68735665</v>
      </c>
      <c r="F299" s="11">
        <f t="shared" si="13"/>
        <v>380.95238095238096</v>
      </c>
      <c r="G299" s="11">
        <f t="shared" si="9"/>
        <v>684.92545188819236</v>
      </c>
      <c r="H299" s="11">
        <f t="shared" si="10"/>
        <v>49904.761904761806</v>
      </c>
      <c r="I299" s="13"/>
      <c r="J299" s="13"/>
      <c r="K299" s="13"/>
      <c r="L299" s="13"/>
      <c r="M299" s="13"/>
      <c r="N299" s="13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75" customHeight="1">
      <c r="A300" s="37"/>
      <c r="B300" s="38">
        <f t="shared" si="11"/>
        <v>290</v>
      </c>
      <c r="C300" s="11">
        <f t="shared" si="12"/>
        <v>49904.761904761806</v>
      </c>
      <c r="D300" s="11">
        <f t="shared" si="7"/>
        <v>301.67024464084318</v>
      </c>
      <c r="E300" s="11">
        <f t="shared" si="8"/>
        <v>50206.432149402652</v>
      </c>
      <c r="F300" s="11">
        <f t="shared" si="13"/>
        <v>380.95238095238096</v>
      </c>
      <c r="G300" s="11">
        <f t="shared" si="9"/>
        <v>682.62262559322414</v>
      </c>
      <c r="H300" s="11">
        <f t="shared" si="10"/>
        <v>49523.809523809425</v>
      </c>
      <c r="I300" s="13"/>
      <c r="J300" s="13"/>
      <c r="K300" s="13"/>
      <c r="L300" s="13"/>
      <c r="M300" s="13"/>
      <c r="N300" s="13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75" customHeight="1">
      <c r="A301" s="37"/>
      <c r="B301" s="38">
        <f t="shared" si="11"/>
        <v>291</v>
      </c>
      <c r="C301" s="11">
        <f t="shared" si="12"/>
        <v>49523.809523809425</v>
      </c>
      <c r="D301" s="11">
        <f t="shared" si="7"/>
        <v>299.36741834587491</v>
      </c>
      <c r="E301" s="11">
        <f t="shared" si="8"/>
        <v>49823.176942155296</v>
      </c>
      <c r="F301" s="11">
        <f t="shared" si="13"/>
        <v>380.95238095238096</v>
      </c>
      <c r="G301" s="11">
        <f t="shared" si="9"/>
        <v>680.31979929825593</v>
      </c>
      <c r="H301" s="11">
        <f t="shared" si="10"/>
        <v>49142.857142857043</v>
      </c>
      <c r="I301" s="13"/>
      <c r="J301" s="13"/>
      <c r="K301" s="13"/>
      <c r="L301" s="13"/>
      <c r="M301" s="13"/>
      <c r="N301" s="13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75" customHeight="1">
      <c r="A302" s="37"/>
      <c r="B302" s="38">
        <f t="shared" si="11"/>
        <v>292</v>
      </c>
      <c r="C302" s="11">
        <f t="shared" si="12"/>
        <v>49142.857142857043</v>
      </c>
      <c r="D302" s="11">
        <f t="shared" si="7"/>
        <v>297.06459205090664</v>
      </c>
      <c r="E302" s="11">
        <f t="shared" si="8"/>
        <v>49439.921734907948</v>
      </c>
      <c r="F302" s="11">
        <f t="shared" si="13"/>
        <v>380.95238095238096</v>
      </c>
      <c r="G302" s="11">
        <f t="shared" si="9"/>
        <v>678.0169730032876</v>
      </c>
      <c r="H302" s="11">
        <f t="shared" si="10"/>
        <v>48761.904761904661</v>
      </c>
      <c r="I302" s="13"/>
      <c r="J302" s="13"/>
      <c r="K302" s="13"/>
      <c r="L302" s="13"/>
      <c r="M302" s="13"/>
      <c r="N302" s="13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75" customHeight="1">
      <c r="A303" s="37"/>
      <c r="B303" s="38">
        <f t="shared" si="11"/>
        <v>293</v>
      </c>
      <c r="C303" s="11">
        <f t="shared" si="12"/>
        <v>48761.904761904661</v>
      </c>
      <c r="D303" s="11">
        <f t="shared" si="7"/>
        <v>294.76176575593837</v>
      </c>
      <c r="E303" s="11">
        <f t="shared" si="8"/>
        <v>49056.6665276606</v>
      </c>
      <c r="F303" s="11">
        <f t="shared" si="13"/>
        <v>380.95238095238096</v>
      </c>
      <c r="G303" s="11">
        <f t="shared" si="9"/>
        <v>675.71414670831928</v>
      </c>
      <c r="H303" s="11">
        <f t="shared" si="10"/>
        <v>48380.95238095228</v>
      </c>
      <c r="I303" s="13"/>
      <c r="J303" s="13"/>
      <c r="K303" s="13"/>
      <c r="L303" s="13"/>
      <c r="M303" s="13"/>
      <c r="N303" s="13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75" customHeight="1">
      <c r="A304" s="37"/>
      <c r="B304" s="38">
        <f t="shared" si="11"/>
        <v>294</v>
      </c>
      <c r="C304" s="11">
        <f t="shared" si="12"/>
        <v>48380.95238095228</v>
      </c>
      <c r="D304" s="11">
        <f t="shared" si="7"/>
        <v>292.4589394609701</v>
      </c>
      <c r="E304" s="11">
        <f t="shared" si="8"/>
        <v>48673.411320413252</v>
      </c>
      <c r="F304" s="11">
        <f t="shared" si="13"/>
        <v>380.95238095238096</v>
      </c>
      <c r="G304" s="11">
        <f t="shared" si="9"/>
        <v>673.41132041335106</v>
      </c>
      <c r="H304" s="11">
        <f t="shared" si="10"/>
        <v>47999.999999999898</v>
      </c>
      <c r="I304" s="13"/>
      <c r="J304" s="13"/>
      <c r="K304" s="13"/>
      <c r="L304" s="13"/>
      <c r="M304" s="13"/>
      <c r="N304" s="13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75" customHeight="1">
      <c r="A305" s="37"/>
      <c r="B305" s="38">
        <f t="shared" si="11"/>
        <v>295</v>
      </c>
      <c r="C305" s="11">
        <f t="shared" si="12"/>
        <v>47999.999999999898</v>
      </c>
      <c r="D305" s="11">
        <f t="shared" si="7"/>
        <v>290.15611316600183</v>
      </c>
      <c r="E305" s="11">
        <f t="shared" si="8"/>
        <v>48290.156113165896</v>
      </c>
      <c r="F305" s="11">
        <f t="shared" si="13"/>
        <v>380.95238095238096</v>
      </c>
      <c r="G305" s="11">
        <f t="shared" si="9"/>
        <v>671.10849411838285</v>
      </c>
      <c r="H305" s="11">
        <f t="shared" si="10"/>
        <v>47619.047619047516</v>
      </c>
      <c r="I305" s="13"/>
      <c r="J305" s="13"/>
      <c r="K305" s="13"/>
      <c r="L305" s="13"/>
      <c r="M305" s="13"/>
      <c r="N305" s="13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75" customHeight="1">
      <c r="A306" s="37"/>
      <c r="B306" s="38">
        <f t="shared" si="11"/>
        <v>296</v>
      </c>
      <c r="C306" s="11">
        <f t="shared" si="12"/>
        <v>47619.047619047516</v>
      </c>
      <c r="D306" s="11">
        <f t="shared" si="7"/>
        <v>287.85328687103356</v>
      </c>
      <c r="E306" s="11">
        <f t="shared" si="8"/>
        <v>47906.900905918548</v>
      </c>
      <c r="F306" s="11">
        <f t="shared" si="13"/>
        <v>380.95238095238096</v>
      </c>
      <c r="G306" s="11">
        <f t="shared" si="9"/>
        <v>668.80566782341452</v>
      </c>
      <c r="H306" s="11">
        <f t="shared" si="10"/>
        <v>47238.095238095135</v>
      </c>
      <c r="I306" s="13"/>
      <c r="J306" s="13"/>
      <c r="K306" s="13"/>
      <c r="L306" s="13"/>
      <c r="M306" s="13"/>
      <c r="N306" s="13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75" customHeight="1">
      <c r="A307" s="37"/>
      <c r="B307" s="38">
        <f t="shared" si="11"/>
        <v>297</v>
      </c>
      <c r="C307" s="11">
        <f t="shared" si="12"/>
        <v>47238.095238095135</v>
      </c>
      <c r="D307" s="11">
        <f t="shared" si="7"/>
        <v>285.55046057606523</v>
      </c>
      <c r="E307" s="11">
        <f t="shared" si="8"/>
        <v>47523.6456986712</v>
      </c>
      <c r="F307" s="11">
        <f t="shared" si="13"/>
        <v>380.95238095238096</v>
      </c>
      <c r="G307" s="11">
        <f t="shared" si="9"/>
        <v>666.5028415284462</v>
      </c>
      <c r="H307" s="11">
        <f t="shared" si="10"/>
        <v>46857.142857142753</v>
      </c>
      <c r="I307" s="13"/>
      <c r="J307" s="13"/>
      <c r="K307" s="13"/>
      <c r="L307" s="13"/>
      <c r="M307" s="13"/>
      <c r="N307" s="13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75" customHeight="1">
      <c r="A308" s="37"/>
      <c r="B308" s="38">
        <f t="shared" si="11"/>
        <v>298</v>
      </c>
      <c r="C308" s="11">
        <f t="shared" si="12"/>
        <v>46857.142857142753</v>
      </c>
      <c r="D308" s="11">
        <f t="shared" si="7"/>
        <v>283.24763428109696</v>
      </c>
      <c r="E308" s="11">
        <f t="shared" si="8"/>
        <v>47140.390491423852</v>
      </c>
      <c r="F308" s="11">
        <f t="shared" si="13"/>
        <v>380.95238095238096</v>
      </c>
      <c r="G308" s="11">
        <f t="shared" si="9"/>
        <v>664.20001523347787</v>
      </c>
      <c r="H308" s="11">
        <f t="shared" si="10"/>
        <v>46476.190476190372</v>
      </c>
      <c r="I308" s="13"/>
      <c r="J308" s="13"/>
      <c r="K308" s="13"/>
      <c r="L308" s="13"/>
      <c r="M308" s="13"/>
      <c r="N308" s="13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75" customHeight="1">
      <c r="A309" s="37"/>
      <c r="B309" s="38">
        <f t="shared" si="11"/>
        <v>299</v>
      </c>
      <c r="C309" s="11">
        <f t="shared" si="12"/>
        <v>46476.190476190372</v>
      </c>
      <c r="D309" s="11">
        <f t="shared" si="7"/>
        <v>280.94480798612869</v>
      </c>
      <c r="E309" s="11">
        <f t="shared" si="8"/>
        <v>46757.135284176504</v>
      </c>
      <c r="F309" s="11">
        <f t="shared" si="13"/>
        <v>380.95238095238096</v>
      </c>
      <c r="G309" s="11">
        <f t="shared" si="9"/>
        <v>661.89718893850966</v>
      </c>
      <c r="H309" s="11">
        <f t="shared" si="10"/>
        <v>46095.238095237997</v>
      </c>
      <c r="I309" s="13"/>
      <c r="J309" s="13"/>
      <c r="K309" s="13"/>
      <c r="L309" s="13"/>
      <c r="M309" s="13"/>
      <c r="N309" s="13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75" customHeight="1">
      <c r="A310" s="37"/>
      <c r="B310" s="38">
        <f t="shared" si="11"/>
        <v>300</v>
      </c>
      <c r="C310" s="11">
        <f t="shared" si="12"/>
        <v>46095.238095237997</v>
      </c>
      <c r="D310" s="11">
        <f t="shared" si="7"/>
        <v>278.64198169116048</v>
      </c>
      <c r="E310" s="11">
        <f t="shared" si="8"/>
        <v>46373.880076929156</v>
      </c>
      <c r="F310" s="11">
        <f t="shared" si="13"/>
        <v>380.95238095238096</v>
      </c>
      <c r="G310" s="11">
        <f t="shared" si="9"/>
        <v>659.59436264354144</v>
      </c>
      <c r="H310" s="11">
        <f t="shared" si="10"/>
        <v>45714.285714285616</v>
      </c>
      <c r="I310" s="13"/>
      <c r="J310" s="13"/>
      <c r="K310" s="13"/>
      <c r="L310" s="13"/>
      <c r="M310" s="13"/>
      <c r="N310" s="13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75" customHeight="1">
      <c r="A311" s="37"/>
      <c r="B311" s="38">
        <f t="shared" si="11"/>
        <v>301</v>
      </c>
      <c r="C311" s="11">
        <f t="shared" si="12"/>
        <v>45714.285714285616</v>
      </c>
      <c r="D311" s="11">
        <f t="shared" si="7"/>
        <v>276.33915539619221</v>
      </c>
      <c r="E311" s="11">
        <f t="shared" si="8"/>
        <v>45990.624869681807</v>
      </c>
      <c r="F311" s="11">
        <f t="shared" si="13"/>
        <v>380.95238095238096</v>
      </c>
      <c r="G311" s="11">
        <f t="shared" si="9"/>
        <v>657.29153634857312</v>
      </c>
      <c r="H311" s="11">
        <f t="shared" si="10"/>
        <v>45333.333333333234</v>
      </c>
      <c r="I311" s="13"/>
      <c r="J311" s="13"/>
      <c r="K311" s="13"/>
      <c r="L311" s="13"/>
      <c r="M311" s="13"/>
      <c r="N311" s="13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75" customHeight="1">
      <c r="A312" s="37"/>
      <c r="B312" s="38">
        <f t="shared" si="11"/>
        <v>302</v>
      </c>
      <c r="C312" s="11">
        <f t="shared" si="12"/>
        <v>45333.333333333234</v>
      </c>
      <c r="D312" s="11">
        <f t="shared" si="7"/>
        <v>274.03632910122394</v>
      </c>
      <c r="E312" s="11">
        <f t="shared" si="8"/>
        <v>45607.369662434459</v>
      </c>
      <c r="F312" s="11">
        <f t="shared" si="13"/>
        <v>380.95238095238096</v>
      </c>
      <c r="G312" s="11">
        <f t="shared" si="9"/>
        <v>654.9887100536049</v>
      </c>
      <c r="H312" s="11">
        <f t="shared" si="10"/>
        <v>44952.380952380852</v>
      </c>
      <c r="I312" s="13"/>
      <c r="J312" s="13"/>
      <c r="K312" s="13"/>
      <c r="L312" s="13"/>
      <c r="M312" s="13"/>
      <c r="N312" s="13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75" customHeight="1">
      <c r="A313" s="37"/>
      <c r="B313" s="38">
        <f t="shared" si="11"/>
        <v>303</v>
      </c>
      <c r="C313" s="11">
        <f t="shared" si="12"/>
        <v>44952.380952380852</v>
      </c>
      <c r="D313" s="11">
        <f t="shared" si="7"/>
        <v>271.73350280625561</v>
      </c>
      <c r="E313" s="11">
        <f t="shared" si="8"/>
        <v>45224.114455187111</v>
      </c>
      <c r="F313" s="11">
        <f t="shared" si="13"/>
        <v>380.95238095238096</v>
      </c>
      <c r="G313" s="11">
        <f t="shared" si="9"/>
        <v>652.68588375863658</v>
      </c>
      <c r="H313" s="11">
        <f t="shared" si="10"/>
        <v>44571.428571428478</v>
      </c>
      <c r="I313" s="13"/>
      <c r="J313" s="13"/>
      <c r="K313" s="13"/>
      <c r="L313" s="13"/>
      <c r="M313" s="13"/>
      <c r="N313" s="13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75" customHeight="1">
      <c r="A314" s="37"/>
      <c r="B314" s="38">
        <f t="shared" si="11"/>
        <v>304</v>
      </c>
      <c r="C314" s="11">
        <f t="shared" si="12"/>
        <v>44571.428571428478</v>
      </c>
      <c r="D314" s="11">
        <f t="shared" si="7"/>
        <v>269.4306765112874</v>
      </c>
      <c r="E314" s="11">
        <f t="shared" si="8"/>
        <v>44840.859247939763</v>
      </c>
      <c r="F314" s="11">
        <f t="shared" si="13"/>
        <v>380.95238095238096</v>
      </c>
      <c r="G314" s="11">
        <f t="shared" si="9"/>
        <v>650.38305746366837</v>
      </c>
      <c r="H314" s="11">
        <f t="shared" si="10"/>
        <v>44190.476190476096</v>
      </c>
      <c r="I314" s="13"/>
      <c r="J314" s="13"/>
      <c r="K314" s="13"/>
      <c r="L314" s="13"/>
      <c r="M314" s="13"/>
      <c r="N314" s="13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75" customHeight="1">
      <c r="A315" s="37"/>
      <c r="B315" s="38">
        <f t="shared" si="11"/>
        <v>305</v>
      </c>
      <c r="C315" s="11">
        <f t="shared" si="12"/>
        <v>44190.476190476096</v>
      </c>
      <c r="D315" s="11">
        <f t="shared" si="7"/>
        <v>267.12785021631913</v>
      </c>
      <c r="E315" s="11">
        <f t="shared" si="8"/>
        <v>44457.604040692415</v>
      </c>
      <c r="F315" s="11">
        <f t="shared" si="13"/>
        <v>380.95238095238096</v>
      </c>
      <c r="G315" s="11">
        <f t="shared" si="9"/>
        <v>648.08023116870004</v>
      </c>
      <c r="H315" s="11">
        <f t="shared" si="10"/>
        <v>43809.523809523715</v>
      </c>
      <c r="I315" s="13"/>
      <c r="J315" s="13"/>
      <c r="K315" s="13"/>
      <c r="L315" s="13"/>
      <c r="M315" s="13"/>
      <c r="N315" s="13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75" customHeight="1">
      <c r="A316" s="37"/>
      <c r="B316" s="38">
        <f t="shared" si="11"/>
        <v>306</v>
      </c>
      <c r="C316" s="11">
        <f t="shared" si="12"/>
        <v>43809.523809523715</v>
      </c>
      <c r="D316" s="11">
        <f t="shared" si="7"/>
        <v>264.82502392135086</v>
      </c>
      <c r="E316" s="11">
        <f t="shared" si="8"/>
        <v>44074.348833445067</v>
      </c>
      <c r="F316" s="11">
        <f t="shared" si="13"/>
        <v>380.95238095238096</v>
      </c>
      <c r="G316" s="11">
        <f t="shared" si="9"/>
        <v>645.77740487373183</v>
      </c>
      <c r="H316" s="11">
        <f t="shared" si="10"/>
        <v>43428.571428571333</v>
      </c>
      <c r="I316" s="13"/>
      <c r="J316" s="13"/>
      <c r="K316" s="13"/>
      <c r="L316" s="13"/>
      <c r="M316" s="13"/>
      <c r="N316" s="13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75" customHeight="1">
      <c r="A317" s="37"/>
      <c r="B317" s="38">
        <f t="shared" si="11"/>
        <v>307</v>
      </c>
      <c r="C317" s="11">
        <f t="shared" si="12"/>
        <v>43428.571428571333</v>
      </c>
      <c r="D317" s="11">
        <f t="shared" si="7"/>
        <v>262.52219762638259</v>
      </c>
      <c r="E317" s="11">
        <f t="shared" si="8"/>
        <v>43691.093626197719</v>
      </c>
      <c r="F317" s="11">
        <f t="shared" si="13"/>
        <v>380.95238095238096</v>
      </c>
      <c r="G317" s="11">
        <f t="shared" si="9"/>
        <v>643.47457857876361</v>
      </c>
      <c r="H317" s="11">
        <f t="shared" si="10"/>
        <v>43047.619047618951</v>
      </c>
      <c r="I317" s="13"/>
      <c r="J317" s="13"/>
      <c r="K317" s="13"/>
      <c r="L317" s="13"/>
      <c r="M317" s="13"/>
      <c r="N317" s="13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75" customHeight="1">
      <c r="A318" s="37"/>
      <c r="B318" s="38">
        <f t="shared" si="11"/>
        <v>308</v>
      </c>
      <c r="C318" s="11">
        <f t="shared" si="12"/>
        <v>43047.619047618951</v>
      </c>
      <c r="D318" s="11">
        <f t="shared" si="7"/>
        <v>260.21937133141427</v>
      </c>
      <c r="E318" s="11">
        <f t="shared" si="8"/>
        <v>43307.838418950363</v>
      </c>
      <c r="F318" s="11">
        <f t="shared" si="13"/>
        <v>380.95238095238096</v>
      </c>
      <c r="G318" s="11">
        <f t="shared" si="9"/>
        <v>641.17175228379529</v>
      </c>
      <c r="H318" s="11">
        <f t="shared" si="10"/>
        <v>42666.66666666657</v>
      </c>
      <c r="I318" s="13"/>
      <c r="J318" s="13"/>
      <c r="K318" s="13"/>
      <c r="L318" s="13"/>
      <c r="M318" s="13"/>
      <c r="N318" s="13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75" customHeight="1">
      <c r="A319" s="37"/>
      <c r="B319" s="38">
        <f t="shared" si="11"/>
        <v>309</v>
      </c>
      <c r="C319" s="11">
        <f t="shared" si="12"/>
        <v>42666.66666666657</v>
      </c>
      <c r="D319" s="11">
        <f t="shared" si="7"/>
        <v>257.916545036446</v>
      </c>
      <c r="E319" s="11">
        <f t="shared" si="8"/>
        <v>42924.583211703015</v>
      </c>
      <c r="F319" s="11">
        <f t="shared" si="13"/>
        <v>380.95238095238096</v>
      </c>
      <c r="G319" s="11">
        <f t="shared" si="9"/>
        <v>638.86892598882696</v>
      </c>
      <c r="H319" s="11">
        <f t="shared" si="10"/>
        <v>42285.714285714188</v>
      </c>
      <c r="I319" s="13"/>
      <c r="J319" s="13"/>
      <c r="K319" s="13"/>
      <c r="L319" s="13"/>
      <c r="M319" s="13"/>
      <c r="N319" s="13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75" customHeight="1">
      <c r="A320" s="37"/>
      <c r="B320" s="38">
        <f t="shared" si="11"/>
        <v>310</v>
      </c>
      <c r="C320" s="11">
        <f t="shared" si="12"/>
        <v>42285.714285714188</v>
      </c>
      <c r="D320" s="11">
        <f t="shared" si="7"/>
        <v>255.61371874147773</v>
      </c>
      <c r="E320" s="11">
        <f t="shared" si="8"/>
        <v>42541.328004455667</v>
      </c>
      <c r="F320" s="11">
        <f t="shared" si="13"/>
        <v>380.95238095238096</v>
      </c>
      <c r="G320" s="11">
        <f t="shared" si="9"/>
        <v>636.56609969385863</v>
      </c>
      <c r="H320" s="11">
        <f t="shared" si="10"/>
        <v>41904.761904761806</v>
      </c>
      <c r="I320" s="13"/>
      <c r="J320" s="13"/>
      <c r="K320" s="13"/>
      <c r="L320" s="13"/>
      <c r="M320" s="13"/>
      <c r="N320" s="13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75" customHeight="1">
      <c r="A321" s="37"/>
      <c r="B321" s="38">
        <f t="shared" si="11"/>
        <v>311</v>
      </c>
      <c r="C321" s="11">
        <f t="shared" si="12"/>
        <v>41904.761904761806</v>
      </c>
      <c r="D321" s="11">
        <f t="shared" si="7"/>
        <v>253.31089244650946</v>
      </c>
      <c r="E321" s="11">
        <f t="shared" si="8"/>
        <v>42158.072797208319</v>
      </c>
      <c r="F321" s="11">
        <f t="shared" si="13"/>
        <v>380.95238095238096</v>
      </c>
      <c r="G321" s="11">
        <f t="shared" si="9"/>
        <v>634.26327339889042</v>
      </c>
      <c r="H321" s="11">
        <f t="shared" si="10"/>
        <v>41523.809523809425</v>
      </c>
      <c r="I321" s="13"/>
      <c r="J321" s="13"/>
      <c r="K321" s="13"/>
      <c r="L321" s="13"/>
      <c r="M321" s="13"/>
      <c r="N321" s="13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75" customHeight="1">
      <c r="A322" s="37"/>
      <c r="B322" s="38">
        <f t="shared" si="11"/>
        <v>312</v>
      </c>
      <c r="C322" s="11">
        <f t="shared" si="12"/>
        <v>41523.809523809425</v>
      </c>
      <c r="D322" s="11">
        <f t="shared" si="7"/>
        <v>251.00806615154119</v>
      </c>
      <c r="E322" s="11">
        <f t="shared" si="8"/>
        <v>41774.817589960963</v>
      </c>
      <c r="F322" s="11">
        <f t="shared" si="13"/>
        <v>380.95238095238096</v>
      </c>
      <c r="G322" s="11">
        <f t="shared" si="9"/>
        <v>631.96044710392221</v>
      </c>
      <c r="H322" s="11">
        <f t="shared" si="10"/>
        <v>41142.857142857043</v>
      </c>
      <c r="I322" s="13"/>
      <c r="J322" s="13"/>
      <c r="K322" s="13"/>
      <c r="L322" s="13"/>
      <c r="M322" s="13"/>
      <c r="N322" s="13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75" customHeight="1">
      <c r="A323" s="37"/>
      <c r="B323" s="38">
        <f t="shared" si="11"/>
        <v>313</v>
      </c>
      <c r="C323" s="11">
        <f t="shared" si="12"/>
        <v>41142.857142857043</v>
      </c>
      <c r="D323" s="11">
        <f t="shared" si="7"/>
        <v>248.70523985657292</v>
      </c>
      <c r="E323" s="11">
        <f t="shared" si="8"/>
        <v>41391.562382713615</v>
      </c>
      <c r="F323" s="11">
        <f t="shared" si="13"/>
        <v>380.95238095238096</v>
      </c>
      <c r="G323" s="11">
        <f t="shared" si="9"/>
        <v>629.65762080895388</v>
      </c>
      <c r="H323" s="11">
        <f t="shared" si="10"/>
        <v>40761.904761904661</v>
      </c>
      <c r="I323" s="13"/>
      <c r="J323" s="13"/>
      <c r="K323" s="13"/>
      <c r="L323" s="13"/>
      <c r="M323" s="13"/>
      <c r="N323" s="13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75" customHeight="1">
      <c r="A324" s="37"/>
      <c r="B324" s="38">
        <f t="shared" si="11"/>
        <v>314</v>
      </c>
      <c r="C324" s="11">
        <f t="shared" si="12"/>
        <v>40761.904761904661</v>
      </c>
      <c r="D324" s="11">
        <f t="shared" si="7"/>
        <v>246.40241356160462</v>
      </c>
      <c r="E324" s="11">
        <f t="shared" si="8"/>
        <v>41008.307175466267</v>
      </c>
      <c r="F324" s="11">
        <f t="shared" si="13"/>
        <v>380.95238095238096</v>
      </c>
      <c r="G324" s="11">
        <f t="shared" si="9"/>
        <v>627.35479451398555</v>
      </c>
      <c r="H324" s="11">
        <f t="shared" si="10"/>
        <v>40380.95238095228</v>
      </c>
      <c r="I324" s="13"/>
      <c r="J324" s="13"/>
      <c r="K324" s="13"/>
      <c r="L324" s="13"/>
      <c r="M324" s="13"/>
      <c r="N324" s="13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75" customHeight="1">
      <c r="A325" s="37"/>
      <c r="B325" s="38">
        <f t="shared" si="11"/>
        <v>315</v>
      </c>
      <c r="C325" s="11">
        <f t="shared" si="12"/>
        <v>40380.95238095228</v>
      </c>
      <c r="D325" s="11">
        <f t="shared" si="7"/>
        <v>244.09958726663635</v>
      </c>
      <c r="E325" s="11">
        <f t="shared" si="8"/>
        <v>40625.051968218919</v>
      </c>
      <c r="F325" s="11">
        <f t="shared" si="13"/>
        <v>380.95238095238096</v>
      </c>
      <c r="G325" s="11">
        <f t="shared" si="9"/>
        <v>625.05196821901734</v>
      </c>
      <c r="H325" s="11">
        <f t="shared" si="10"/>
        <v>39999.999999999898</v>
      </c>
      <c r="I325" s="13"/>
      <c r="J325" s="13"/>
      <c r="K325" s="13"/>
      <c r="L325" s="13"/>
      <c r="M325" s="13"/>
      <c r="N325" s="13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75" customHeight="1">
      <c r="A326" s="37"/>
      <c r="B326" s="38">
        <f t="shared" si="11"/>
        <v>316</v>
      </c>
      <c r="C326" s="11">
        <f t="shared" si="12"/>
        <v>39999.999999999898</v>
      </c>
      <c r="D326" s="11">
        <f t="shared" si="7"/>
        <v>241.79676097166808</v>
      </c>
      <c r="E326" s="11">
        <f t="shared" si="8"/>
        <v>40241.796760971563</v>
      </c>
      <c r="F326" s="11">
        <f t="shared" si="13"/>
        <v>380.95238095238096</v>
      </c>
      <c r="G326" s="11">
        <f t="shared" si="9"/>
        <v>622.74914192404901</v>
      </c>
      <c r="H326" s="11">
        <f t="shared" si="10"/>
        <v>39619.047619047516</v>
      </c>
      <c r="I326" s="13"/>
      <c r="J326" s="13"/>
      <c r="K326" s="13"/>
      <c r="L326" s="13"/>
      <c r="M326" s="13"/>
      <c r="N326" s="13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75" customHeight="1">
      <c r="A327" s="37"/>
      <c r="B327" s="38">
        <f t="shared" si="11"/>
        <v>317</v>
      </c>
      <c r="C327" s="11">
        <f t="shared" si="12"/>
        <v>39619.047619047516</v>
      </c>
      <c r="D327" s="11">
        <f t="shared" si="7"/>
        <v>239.49393467669981</v>
      </c>
      <c r="E327" s="11">
        <f t="shared" si="8"/>
        <v>39858.541553724215</v>
      </c>
      <c r="F327" s="11">
        <f t="shared" si="13"/>
        <v>380.95238095238096</v>
      </c>
      <c r="G327" s="11">
        <f t="shared" si="9"/>
        <v>620.4463156290808</v>
      </c>
      <c r="H327" s="11">
        <f t="shared" si="10"/>
        <v>39238.095238095135</v>
      </c>
      <c r="I327" s="13"/>
      <c r="J327" s="13"/>
      <c r="K327" s="13"/>
      <c r="L327" s="13"/>
      <c r="M327" s="13"/>
      <c r="N327" s="13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75" customHeight="1">
      <c r="A328" s="37"/>
      <c r="B328" s="38">
        <f t="shared" si="11"/>
        <v>318</v>
      </c>
      <c r="C328" s="11">
        <f t="shared" si="12"/>
        <v>39238.095238095135</v>
      </c>
      <c r="D328" s="11">
        <f t="shared" si="7"/>
        <v>237.19110838173151</v>
      </c>
      <c r="E328" s="11">
        <f t="shared" si="8"/>
        <v>39475.286346476867</v>
      </c>
      <c r="F328" s="11">
        <f t="shared" si="13"/>
        <v>380.95238095238096</v>
      </c>
      <c r="G328" s="11">
        <f t="shared" si="9"/>
        <v>618.14348933411247</v>
      </c>
      <c r="H328" s="11">
        <f t="shared" si="10"/>
        <v>38857.142857142753</v>
      </c>
      <c r="I328" s="13"/>
      <c r="J328" s="13"/>
      <c r="K328" s="13"/>
      <c r="L328" s="13"/>
      <c r="M328" s="13"/>
      <c r="N328" s="13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75" customHeight="1">
      <c r="A329" s="37"/>
      <c r="B329" s="38">
        <f t="shared" si="11"/>
        <v>319</v>
      </c>
      <c r="C329" s="11">
        <f t="shared" si="12"/>
        <v>38857.142857142753</v>
      </c>
      <c r="D329" s="11">
        <f t="shared" si="7"/>
        <v>234.88828208676324</v>
      </c>
      <c r="E329" s="11">
        <f t="shared" si="8"/>
        <v>39092.031139229519</v>
      </c>
      <c r="F329" s="11">
        <f t="shared" si="13"/>
        <v>380.95238095238096</v>
      </c>
      <c r="G329" s="11">
        <f t="shared" si="9"/>
        <v>615.84066303914415</v>
      </c>
      <c r="H329" s="11">
        <f t="shared" si="10"/>
        <v>38476.190476190372</v>
      </c>
      <c r="I329" s="13"/>
      <c r="J329" s="13"/>
      <c r="K329" s="13"/>
      <c r="L329" s="13"/>
      <c r="M329" s="13"/>
      <c r="N329" s="13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75" customHeight="1">
      <c r="A330" s="37"/>
      <c r="B330" s="38">
        <f t="shared" si="11"/>
        <v>320</v>
      </c>
      <c r="C330" s="11">
        <f t="shared" si="12"/>
        <v>38476.190476190372</v>
      </c>
      <c r="D330" s="11">
        <f t="shared" si="7"/>
        <v>232.58545579179497</v>
      </c>
      <c r="E330" s="11">
        <f t="shared" si="8"/>
        <v>38708.775931982163</v>
      </c>
      <c r="F330" s="11">
        <f t="shared" si="13"/>
        <v>380.95238095238096</v>
      </c>
      <c r="G330" s="11">
        <f t="shared" si="9"/>
        <v>613.53783674417593</v>
      </c>
      <c r="H330" s="11">
        <f t="shared" si="10"/>
        <v>38095.23809523799</v>
      </c>
      <c r="I330" s="13"/>
      <c r="J330" s="13"/>
      <c r="K330" s="13"/>
      <c r="L330" s="13"/>
      <c r="M330" s="13"/>
      <c r="N330" s="13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75" customHeight="1">
      <c r="A331" s="37"/>
      <c r="B331" s="38">
        <f t="shared" si="11"/>
        <v>321</v>
      </c>
      <c r="C331" s="11">
        <f t="shared" si="12"/>
        <v>38095.23809523799</v>
      </c>
      <c r="D331" s="11">
        <f t="shared" si="7"/>
        <v>230.2826294968267</v>
      </c>
      <c r="E331" s="11">
        <f t="shared" si="8"/>
        <v>38325.520724734815</v>
      </c>
      <c r="F331" s="11">
        <f t="shared" si="13"/>
        <v>380.95238095238096</v>
      </c>
      <c r="G331" s="11">
        <f t="shared" si="9"/>
        <v>611.23501044920772</v>
      </c>
      <c r="H331" s="11">
        <f t="shared" si="10"/>
        <v>37714.285714285608</v>
      </c>
      <c r="I331" s="13"/>
      <c r="J331" s="13"/>
      <c r="K331" s="13"/>
      <c r="L331" s="13"/>
      <c r="M331" s="13"/>
      <c r="N331" s="13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75" customHeight="1">
      <c r="A332" s="37"/>
      <c r="B332" s="38">
        <f t="shared" si="11"/>
        <v>322</v>
      </c>
      <c r="C332" s="11">
        <f t="shared" si="12"/>
        <v>37714.285714285608</v>
      </c>
      <c r="D332" s="11">
        <f t="shared" si="7"/>
        <v>227.9798032018584</v>
      </c>
      <c r="E332" s="11">
        <f t="shared" si="8"/>
        <v>37942.265517487467</v>
      </c>
      <c r="F332" s="11">
        <f t="shared" si="13"/>
        <v>380.95238095238096</v>
      </c>
      <c r="G332" s="11">
        <f t="shared" si="9"/>
        <v>608.93218415423939</v>
      </c>
      <c r="H332" s="11">
        <f t="shared" si="10"/>
        <v>37333.333333333227</v>
      </c>
      <c r="I332" s="13"/>
      <c r="J332" s="13"/>
      <c r="K332" s="13"/>
      <c r="L332" s="13"/>
      <c r="M332" s="13"/>
      <c r="N332" s="13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75" customHeight="1">
      <c r="A333" s="37"/>
      <c r="B333" s="38">
        <f t="shared" si="11"/>
        <v>323</v>
      </c>
      <c r="C333" s="11">
        <f t="shared" si="12"/>
        <v>37333.333333333227</v>
      </c>
      <c r="D333" s="11">
        <f t="shared" si="7"/>
        <v>225.67697690689013</v>
      </c>
      <c r="E333" s="11">
        <f t="shared" si="8"/>
        <v>37559.010310240119</v>
      </c>
      <c r="F333" s="11">
        <f t="shared" si="13"/>
        <v>380.95238095238096</v>
      </c>
      <c r="G333" s="11">
        <f t="shared" si="9"/>
        <v>606.62935785927107</v>
      </c>
      <c r="H333" s="11">
        <f t="shared" si="10"/>
        <v>36952.380952380845</v>
      </c>
      <c r="I333" s="13"/>
      <c r="J333" s="13"/>
      <c r="K333" s="13"/>
      <c r="L333" s="13"/>
      <c r="M333" s="13"/>
      <c r="N333" s="13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75" customHeight="1">
      <c r="A334" s="37"/>
      <c r="B334" s="38">
        <f t="shared" si="11"/>
        <v>324</v>
      </c>
      <c r="C334" s="11">
        <f t="shared" si="12"/>
        <v>36952.380952380845</v>
      </c>
      <c r="D334" s="11">
        <f t="shared" si="7"/>
        <v>223.37415061192186</v>
      </c>
      <c r="E334" s="11">
        <f t="shared" si="8"/>
        <v>37175.755102992764</v>
      </c>
      <c r="F334" s="11">
        <f t="shared" si="13"/>
        <v>380.95238095238096</v>
      </c>
      <c r="G334" s="11">
        <f t="shared" si="9"/>
        <v>604.32653156430285</v>
      </c>
      <c r="H334" s="11">
        <f t="shared" si="10"/>
        <v>36571.428571428463</v>
      </c>
      <c r="I334" s="13"/>
      <c r="J334" s="13"/>
      <c r="K334" s="13"/>
      <c r="L334" s="13"/>
      <c r="M334" s="13"/>
      <c r="N334" s="13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75" customHeight="1">
      <c r="A335" s="37"/>
      <c r="B335" s="38">
        <f t="shared" si="11"/>
        <v>325</v>
      </c>
      <c r="C335" s="11">
        <f t="shared" si="12"/>
        <v>36571.428571428463</v>
      </c>
      <c r="D335" s="11">
        <f t="shared" si="7"/>
        <v>221.07132431695356</v>
      </c>
      <c r="E335" s="11">
        <f t="shared" si="8"/>
        <v>36792.499895745415</v>
      </c>
      <c r="F335" s="11">
        <f t="shared" si="13"/>
        <v>380.95238095238096</v>
      </c>
      <c r="G335" s="11">
        <f t="shared" si="9"/>
        <v>602.02370526933453</v>
      </c>
      <c r="H335" s="11">
        <f t="shared" si="10"/>
        <v>36190.476190476082</v>
      </c>
      <c r="I335" s="13"/>
      <c r="J335" s="13"/>
      <c r="K335" s="13"/>
      <c r="L335" s="13"/>
      <c r="M335" s="13"/>
      <c r="N335" s="13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75" customHeight="1">
      <c r="A336" s="37"/>
      <c r="B336" s="38">
        <f t="shared" si="11"/>
        <v>326</v>
      </c>
      <c r="C336" s="11">
        <f t="shared" si="12"/>
        <v>36190.476190476082</v>
      </c>
      <c r="D336" s="11">
        <f t="shared" si="7"/>
        <v>218.76849802198529</v>
      </c>
      <c r="E336" s="11">
        <f t="shared" si="8"/>
        <v>36409.244688498067</v>
      </c>
      <c r="F336" s="11">
        <f t="shared" si="13"/>
        <v>380.95238095238096</v>
      </c>
      <c r="G336" s="11">
        <f t="shared" si="9"/>
        <v>599.72087897436631</v>
      </c>
      <c r="H336" s="11">
        <f t="shared" si="10"/>
        <v>35809.5238095237</v>
      </c>
      <c r="I336" s="13"/>
      <c r="J336" s="13"/>
      <c r="K336" s="13"/>
      <c r="L336" s="13"/>
      <c r="M336" s="13"/>
      <c r="N336" s="13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75" customHeight="1">
      <c r="A337" s="37"/>
      <c r="B337" s="38">
        <f t="shared" si="11"/>
        <v>327</v>
      </c>
      <c r="C337" s="11">
        <f t="shared" si="12"/>
        <v>35809.5238095237</v>
      </c>
      <c r="D337" s="11">
        <f t="shared" si="7"/>
        <v>216.46567172701702</v>
      </c>
      <c r="E337" s="11">
        <f t="shared" si="8"/>
        <v>36025.989481250719</v>
      </c>
      <c r="F337" s="11">
        <f t="shared" si="13"/>
        <v>380.95238095238096</v>
      </c>
      <c r="G337" s="11">
        <f t="shared" si="9"/>
        <v>597.41805267939799</v>
      </c>
      <c r="H337" s="11">
        <f t="shared" si="10"/>
        <v>35428.571428571318</v>
      </c>
      <c r="I337" s="13"/>
      <c r="J337" s="13"/>
      <c r="K337" s="13"/>
      <c r="L337" s="13"/>
      <c r="M337" s="13"/>
      <c r="N337" s="13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75" customHeight="1">
      <c r="A338" s="37"/>
      <c r="B338" s="38">
        <f t="shared" si="11"/>
        <v>328</v>
      </c>
      <c r="C338" s="11">
        <f t="shared" si="12"/>
        <v>35428.571428571318</v>
      </c>
      <c r="D338" s="11">
        <f t="shared" si="7"/>
        <v>214.16284543204875</v>
      </c>
      <c r="E338" s="11">
        <f t="shared" si="8"/>
        <v>35642.734274003364</v>
      </c>
      <c r="F338" s="11">
        <f t="shared" si="13"/>
        <v>380.95238095238096</v>
      </c>
      <c r="G338" s="11">
        <f t="shared" si="9"/>
        <v>595.11522638442966</v>
      </c>
      <c r="H338" s="11">
        <f t="shared" si="10"/>
        <v>35047.619047618937</v>
      </c>
      <c r="I338" s="13"/>
      <c r="J338" s="13"/>
      <c r="K338" s="13"/>
      <c r="L338" s="13"/>
      <c r="M338" s="13"/>
      <c r="N338" s="13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75" customHeight="1">
      <c r="A339" s="37"/>
      <c r="B339" s="38">
        <f t="shared" si="11"/>
        <v>329</v>
      </c>
      <c r="C339" s="11">
        <f t="shared" si="12"/>
        <v>35047.619047618937</v>
      </c>
      <c r="D339" s="11">
        <f t="shared" si="7"/>
        <v>211.86001913708046</v>
      </c>
      <c r="E339" s="11">
        <f t="shared" si="8"/>
        <v>35259.479066756016</v>
      </c>
      <c r="F339" s="11">
        <f t="shared" si="13"/>
        <v>380.95238095238096</v>
      </c>
      <c r="G339" s="11">
        <f t="shared" si="9"/>
        <v>592.81240008946145</v>
      </c>
      <c r="H339" s="11">
        <f t="shared" si="10"/>
        <v>34666.666666666555</v>
      </c>
      <c r="I339" s="13"/>
      <c r="J339" s="13"/>
      <c r="K339" s="13"/>
      <c r="L339" s="13"/>
      <c r="M339" s="13"/>
      <c r="N339" s="13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75" customHeight="1">
      <c r="A340" s="37"/>
      <c r="B340" s="38">
        <f t="shared" si="11"/>
        <v>330</v>
      </c>
      <c r="C340" s="11">
        <f t="shared" si="12"/>
        <v>34666.666666666555</v>
      </c>
      <c r="D340" s="11">
        <f t="shared" si="7"/>
        <v>209.55719284211219</v>
      </c>
      <c r="E340" s="11">
        <f t="shared" si="8"/>
        <v>34876.223859508667</v>
      </c>
      <c r="F340" s="11">
        <f t="shared" si="13"/>
        <v>380.95238095238096</v>
      </c>
      <c r="G340" s="11">
        <f t="shared" si="9"/>
        <v>590.50957379449312</v>
      </c>
      <c r="H340" s="11">
        <f t="shared" si="10"/>
        <v>34285.714285714173</v>
      </c>
      <c r="I340" s="13"/>
      <c r="J340" s="13"/>
      <c r="K340" s="13"/>
      <c r="L340" s="13"/>
      <c r="M340" s="13"/>
      <c r="N340" s="13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75" customHeight="1">
      <c r="A341" s="37"/>
      <c r="B341" s="38">
        <f t="shared" si="11"/>
        <v>331</v>
      </c>
      <c r="C341" s="11">
        <f t="shared" si="12"/>
        <v>34285.714285714173</v>
      </c>
      <c r="D341" s="11">
        <f t="shared" si="7"/>
        <v>207.25436654714392</v>
      </c>
      <c r="E341" s="11">
        <f t="shared" si="8"/>
        <v>34492.968652261319</v>
      </c>
      <c r="F341" s="11">
        <f t="shared" si="13"/>
        <v>380.95238095238096</v>
      </c>
      <c r="G341" s="11">
        <f t="shared" si="9"/>
        <v>588.20674749952491</v>
      </c>
      <c r="H341" s="11">
        <f t="shared" si="10"/>
        <v>33904.761904761792</v>
      </c>
      <c r="I341" s="13"/>
      <c r="J341" s="13"/>
      <c r="K341" s="13"/>
      <c r="L341" s="13"/>
      <c r="M341" s="13"/>
      <c r="N341" s="13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75" customHeight="1">
      <c r="A342" s="37"/>
      <c r="B342" s="38">
        <f t="shared" si="11"/>
        <v>332</v>
      </c>
      <c r="C342" s="11">
        <f t="shared" si="12"/>
        <v>33904.761904761792</v>
      </c>
      <c r="D342" s="11">
        <f t="shared" si="7"/>
        <v>204.95154025217565</v>
      </c>
      <c r="E342" s="11">
        <f t="shared" si="8"/>
        <v>34109.713445013971</v>
      </c>
      <c r="F342" s="11">
        <f t="shared" si="13"/>
        <v>380.95238095238096</v>
      </c>
      <c r="G342" s="11">
        <f t="shared" si="9"/>
        <v>585.90392120455658</v>
      </c>
      <c r="H342" s="11">
        <f t="shared" si="10"/>
        <v>33523.809523809417</v>
      </c>
      <c r="I342" s="13"/>
      <c r="J342" s="13"/>
      <c r="K342" s="13"/>
      <c r="L342" s="13"/>
      <c r="M342" s="13"/>
      <c r="N342" s="13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75" customHeight="1">
      <c r="A343" s="37"/>
      <c r="B343" s="38">
        <f t="shared" si="11"/>
        <v>333</v>
      </c>
      <c r="C343" s="11">
        <f t="shared" si="12"/>
        <v>33523.809523809417</v>
      </c>
      <c r="D343" s="11">
        <f t="shared" si="7"/>
        <v>202.64871395720741</v>
      </c>
      <c r="E343" s="11">
        <f t="shared" si="8"/>
        <v>33726.458237766623</v>
      </c>
      <c r="F343" s="11">
        <f t="shared" si="13"/>
        <v>380.95238095238096</v>
      </c>
      <c r="G343" s="11">
        <f t="shared" si="9"/>
        <v>583.60109490958837</v>
      </c>
      <c r="H343" s="11">
        <f t="shared" si="10"/>
        <v>33142.857142857036</v>
      </c>
      <c r="I343" s="13"/>
      <c r="J343" s="13"/>
      <c r="K343" s="13"/>
      <c r="L343" s="13"/>
      <c r="M343" s="13"/>
      <c r="N343" s="13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75" customHeight="1">
      <c r="A344" s="37"/>
      <c r="B344" s="38">
        <f t="shared" si="11"/>
        <v>334</v>
      </c>
      <c r="C344" s="11">
        <f t="shared" si="12"/>
        <v>33142.857142857036</v>
      </c>
      <c r="D344" s="11">
        <f t="shared" si="7"/>
        <v>200.34588766223914</v>
      </c>
      <c r="E344" s="11">
        <f t="shared" si="8"/>
        <v>33343.203030519275</v>
      </c>
      <c r="F344" s="11">
        <f t="shared" si="13"/>
        <v>380.95238095238096</v>
      </c>
      <c r="G344" s="11">
        <f t="shared" si="9"/>
        <v>581.29826861462016</v>
      </c>
      <c r="H344" s="11">
        <f t="shared" si="10"/>
        <v>32761.904761904654</v>
      </c>
      <c r="I344" s="13"/>
      <c r="J344" s="13"/>
      <c r="K344" s="13"/>
      <c r="L344" s="13"/>
      <c r="M344" s="13"/>
      <c r="N344" s="13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75" customHeight="1">
      <c r="A345" s="37"/>
      <c r="B345" s="38">
        <f t="shared" si="11"/>
        <v>335</v>
      </c>
      <c r="C345" s="11">
        <f t="shared" si="12"/>
        <v>32761.904761904654</v>
      </c>
      <c r="D345" s="11">
        <f t="shared" si="7"/>
        <v>198.04306136727084</v>
      </c>
      <c r="E345" s="11">
        <f t="shared" si="8"/>
        <v>32959.947823271927</v>
      </c>
      <c r="F345" s="11">
        <f t="shared" si="13"/>
        <v>380.95238095238096</v>
      </c>
      <c r="G345" s="11">
        <f t="shared" si="9"/>
        <v>578.99544231965183</v>
      </c>
      <c r="H345" s="11">
        <f t="shared" si="10"/>
        <v>32380.952380952276</v>
      </c>
      <c r="I345" s="13"/>
      <c r="J345" s="13"/>
      <c r="K345" s="13"/>
      <c r="L345" s="13"/>
      <c r="M345" s="13"/>
      <c r="N345" s="13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75" customHeight="1">
      <c r="A346" s="37"/>
      <c r="B346" s="38">
        <f t="shared" si="11"/>
        <v>336</v>
      </c>
      <c r="C346" s="11">
        <f t="shared" si="12"/>
        <v>32380.952380952276</v>
      </c>
      <c r="D346" s="11">
        <f t="shared" si="7"/>
        <v>195.7402350723026</v>
      </c>
      <c r="E346" s="11">
        <f t="shared" si="8"/>
        <v>32576.692616024578</v>
      </c>
      <c r="F346" s="11">
        <f t="shared" si="13"/>
        <v>380.95238095238096</v>
      </c>
      <c r="G346" s="11">
        <f t="shared" si="9"/>
        <v>576.6926160246835</v>
      </c>
      <c r="H346" s="11">
        <f t="shared" si="10"/>
        <v>31999.999999999894</v>
      </c>
      <c r="I346" s="13"/>
      <c r="J346" s="13"/>
      <c r="K346" s="13"/>
      <c r="L346" s="13"/>
      <c r="M346" s="13"/>
      <c r="N346" s="13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75" customHeight="1">
      <c r="A347" s="37"/>
      <c r="B347" s="38">
        <f t="shared" si="11"/>
        <v>337</v>
      </c>
      <c r="C347" s="11">
        <f t="shared" si="12"/>
        <v>31999.999999999894</v>
      </c>
      <c r="D347" s="11">
        <f t="shared" si="7"/>
        <v>193.43740877733433</v>
      </c>
      <c r="E347" s="11">
        <f t="shared" si="8"/>
        <v>32193.43740877723</v>
      </c>
      <c r="F347" s="11">
        <f t="shared" si="13"/>
        <v>380.95238095238096</v>
      </c>
      <c r="G347" s="11">
        <f t="shared" si="9"/>
        <v>574.38978972971529</v>
      </c>
      <c r="H347" s="11">
        <f t="shared" si="10"/>
        <v>31619.047619047516</v>
      </c>
      <c r="I347" s="13"/>
      <c r="J347" s="13"/>
      <c r="K347" s="13"/>
      <c r="L347" s="13"/>
      <c r="M347" s="13"/>
      <c r="N347" s="13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75" customHeight="1">
      <c r="A348" s="37"/>
      <c r="B348" s="38">
        <f t="shared" si="11"/>
        <v>338</v>
      </c>
      <c r="C348" s="11">
        <f t="shared" si="12"/>
        <v>31619.047619047516</v>
      </c>
      <c r="D348" s="11">
        <f t="shared" si="7"/>
        <v>191.13458248236606</v>
      </c>
      <c r="E348" s="11">
        <f t="shared" si="8"/>
        <v>31810.182201529882</v>
      </c>
      <c r="F348" s="11">
        <f t="shared" si="13"/>
        <v>380.95238095238096</v>
      </c>
      <c r="G348" s="11">
        <f t="shared" si="9"/>
        <v>572.08696343474708</v>
      </c>
      <c r="H348" s="11">
        <f t="shared" si="10"/>
        <v>31238.095238095135</v>
      </c>
      <c r="I348" s="13"/>
      <c r="J348" s="13"/>
      <c r="K348" s="13"/>
      <c r="L348" s="13"/>
      <c r="M348" s="13"/>
      <c r="N348" s="13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75" customHeight="1">
      <c r="A349" s="37"/>
      <c r="B349" s="38">
        <f t="shared" si="11"/>
        <v>339</v>
      </c>
      <c r="C349" s="11">
        <f t="shared" si="12"/>
        <v>31238.095238095135</v>
      </c>
      <c r="D349" s="11">
        <f t="shared" si="7"/>
        <v>188.83175618739779</v>
      </c>
      <c r="E349" s="11">
        <f t="shared" si="8"/>
        <v>31426.926994282534</v>
      </c>
      <c r="F349" s="11">
        <f t="shared" si="13"/>
        <v>380.95238095238096</v>
      </c>
      <c r="G349" s="11">
        <f t="shared" si="9"/>
        <v>569.78413713977875</v>
      </c>
      <c r="H349" s="11">
        <f t="shared" si="10"/>
        <v>30857.142857142757</v>
      </c>
      <c r="I349" s="13"/>
      <c r="J349" s="13"/>
      <c r="K349" s="13"/>
      <c r="L349" s="13"/>
      <c r="M349" s="13"/>
      <c r="N349" s="13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75" customHeight="1">
      <c r="A350" s="37"/>
      <c r="B350" s="38">
        <f t="shared" si="11"/>
        <v>340</v>
      </c>
      <c r="C350" s="11">
        <f t="shared" si="12"/>
        <v>30857.142857142757</v>
      </c>
      <c r="D350" s="11">
        <f t="shared" si="7"/>
        <v>186.52892989242952</v>
      </c>
      <c r="E350" s="11">
        <f t="shared" si="8"/>
        <v>31043.671787035186</v>
      </c>
      <c r="F350" s="11">
        <f t="shared" si="13"/>
        <v>380.95238095238096</v>
      </c>
      <c r="G350" s="11">
        <f t="shared" si="9"/>
        <v>567.48131084481042</v>
      </c>
      <c r="H350" s="11">
        <f t="shared" si="10"/>
        <v>30476.190476190375</v>
      </c>
      <c r="I350" s="13"/>
      <c r="J350" s="13"/>
      <c r="K350" s="13"/>
      <c r="L350" s="13"/>
      <c r="M350" s="13"/>
      <c r="N350" s="13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75" customHeight="1">
      <c r="A351" s="37"/>
      <c r="B351" s="38">
        <f t="shared" si="11"/>
        <v>341</v>
      </c>
      <c r="C351" s="11">
        <f t="shared" si="12"/>
        <v>30476.190476190375</v>
      </c>
      <c r="D351" s="11">
        <f t="shared" si="7"/>
        <v>184.22610359746125</v>
      </c>
      <c r="E351" s="11">
        <f t="shared" si="8"/>
        <v>30660.416579787838</v>
      </c>
      <c r="F351" s="11">
        <f t="shared" si="13"/>
        <v>380.95238095238096</v>
      </c>
      <c r="G351" s="11">
        <f t="shared" si="9"/>
        <v>565.17848454984221</v>
      </c>
      <c r="H351" s="11">
        <f t="shared" si="10"/>
        <v>30095.238095237997</v>
      </c>
      <c r="I351" s="13"/>
      <c r="J351" s="13"/>
      <c r="K351" s="13"/>
      <c r="L351" s="13"/>
      <c r="M351" s="13"/>
      <c r="N351" s="13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75" customHeight="1">
      <c r="A352" s="37"/>
      <c r="B352" s="38">
        <f t="shared" si="11"/>
        <v>342</v>
      </c>
      <c r="C352" s="11">
        <f t="shared" si="12"/>
        <v>30095.238095237997</v>
      </c>
      <c r="D352" s="11">
        <f t="shared" si="7"/>
        <v>181.92327730249301</v>
      </c>
      <c r="E352" s="11">
        <f t="shared" si="8"/>
        <v>30277.16137254049</v>
      </c>
      <c r="F352" s="11">
        <f t="shared" si="13"/>
        <v>380.95238095238096</v>
      </c>
      <c r="G352" s="11">
        <f t="shared" si="9"/>
        <v>562.875658254874</v>
      </c>
      <c r="H352" s="11">
        <f t="shared" si="10"/>
        <v>29714.285714285616</v>
      </c>
      <c r="I352" s="13"/>
      <c r="J352" s="13"/>
      <c r="K352" s="13"/>
      <c r="L352" s="13"/>
      <c r="M352" s="13"/>
      <c r="N352" s="13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75" customHeight="1">
      <c r="A353" s="37"/>
      <c r="B353" s="38">
        <f t="shared" si="11"/>
        <v>343</v>
      </c>
      <c r="C353" s="11">
        <f t="shared" si="12"/>
        <v>29714.285714285616</v>
      </c>
      <c r="D353" s="11">
        <f t="shared" si="7"/>
        <v>179.62045100752471</v>
      </c>
      <c r="E353" s="11">
        <f t="shared" si="8"/>
        <v>29893.906165293141</v>
      </c>
      <c r="F353" s="11">
        <f t="shared" si="13"/>
        <v>380.95238095238096</v>
      </c>
      <c r="G353" s="11">
        <f t="shared" si="9"/>
        <v>560.57283195990567</v>
      </c>
      <c r="H353" s="11">
        <f t="shared" si="10"/>
        <v>29333.333333333234</v>
      </c>
      <c r="I353" s="13"/>
      <c r="J353" s="13"/>
      <c r="K353" s="13"/>
      <c r="L353" s="13"/>
      <c r="M353" s="13"/>
      <c r="N353" s="13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75" customHeight="1">
      <c r="A354" s="37"/>
      <c r="B354" s="38">
        <f t="shared" si="11"/>
        <v>344</v>
      </c>
      <c r="C354" s="11">
        <f t="shared" si="12"/>
        <v>29333.333333333234</v>
      </c>
      <c r="D354" s="11">
        <f t="shared" si="7"/>
        <v>177.31762471255644</v>
      </c>
      <c r="E354" s="11">
        <f t="shared" si="8"/>
        <v>29510.65095804579</v>
      </c>
      <c r="F354" s="11">
        <f t="shared" si="13"/>
        <v>380.95238095238096</v>
      </c>
      <c r="G354" s="11">
        <f t="shared" si="9"/>
        <v>558.27000566493734</v>
      </c>
      <c r="H354" s="11">
        <f t="shared" si="10"/>
        <v>28952.380952380852</v>
      </c>
      <c r="I354" s="13"/>
      <c r="J354" s="13"/>
      <c r="K354" s="13"/>
      <c r="L354" s="13"/>
      <c r="M354" s="13"/>
      <c r="N354" s="13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75" customHeight="1">
      <c r="A355" s="37"/>
      <c r="B355" s="38">
        <f t="shared" si="11"/>
        <v>345</v>
      </c>
      <c r="C355" s="11">
        <f t="shared" si="12"/>
        <v>28952.380952380852</v>
      </c>
      <c r="D355" s="11">
        <f t="shared" si="7"/>
        <v>175.01479841758817</v>
      </c>
      <c r="E355" s="11">
        <f t="shared" si="8"/>
        <v>29127.395750798441</v>
      </c>
      <c r="F355" s="11">
        <f t="shared" si="13"/>
        <v>380.95238095238096</v>
      </c>
      <c r="G355" s="11">
        <f t="shared" si="9"/>
        <v>555.96717936996913</v>
      </c>
      <c r="H355" s="11">
        <f t="shared" si="10"/>
        <v>28571.428571428471</v>
      </c>
      <c r="I355" s="13"/>
      <c r="J355" s="13"/>
      <c r="K355" s="13"/>
      <c r="L355" s="13"/>
      <c r="M355" s="13"/>
      <c r="N355" s="13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75" customHeight="1">
      <c r="A356" s="37"/>
      <c r="B356" s="38">
        <f t="shared" si="11"/>
        <v>346</v>
      </c>
      <c r="C356" s="11">
        <f t="shared" si="12"/>
        <v>28571.428571428471</v>
      </c>
      <c r="D356" s="11">
        <f t="shared" si="7"/>
        <v>172.71197212261987</v>
      </c>
      <c r="E356" s="11">
        <f t="shared" si="8"/>
        <v>28744.14054355109</v>
      </c>
      <c r="F356" s="11">
        <f t="shared" si="13"/>
        <v>380.95238095238096</v>
      </c>
      <c r="G356" s="11">
        <f t="shared" si="9"/>
        <v>553.6643530750008</v>
      </c>
      <c r="H356" s="11">
        <f t="shared" si="10"/>
        <v>28190.476190476089</v>
      </c>
      <c r="I356" s="13"/>
      <c r="J356" s="13"/>
      <c r="K356" s="13"/>
      <c r="L356" s="13"/>
      <c r="M356" s="13"/>
      <c r="N356" s="13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75" customHeight="1">
      <c r="A357" s="37"/>
      <c r="B357" s="38">
        <f t="shared" si="11"/>
        <v>347</v>
      </c>
      <c r="C357" s="11">
        <f t="shared" si="12"/>
        <v>28190.476190476089</v>
      </c>
      <c r="D357" s="11">
        <f t="shared" si="7"/>
        <v>170.4091458276516</v>
      </c>
      <c r="E357" s="11">
        <f t="shared" si="8"/>
        <v>28360.885336303741</v>
      </c>
      <c r="F357" s="11">
        <f t="shared" si="13"/>
        <v>380.95238095238096</v>
      </c>
      <c r="G357" s="11">
        <f t="shared" si="9"/>
        <v>551.36152678003259</v>
      </c>
      <c r="H357" s="11">
        <f t="shared" si="10"/>
        <v>27809.523809523707</v>
      </c>
      <c r="I357" s="13"/>
      <c r="J357" s="13"/>
      <c r="K357" s="13"/>
      <c r="L357" s="13"/>
      <c r="M357" s="13"/>
      <c r="N357" s="13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75" customHeight="1">
      <c r="A358" s="37"/>
      <c r="B358" s="38">
        <f t="shared" si="11"/>
        <v>348</v>
      </c>
      <c r="C358" s="11">
        <f t="shared" si="12"/>
        <v>27809.523809523707</v>
      </c>
      <c r="D358" s="11">
        <f t="shared" si="7"/>
        <v>168.10631953268333</v>
      </c>
      <c r="E358" s="11">
        <f t="shared" si="8"/>
        <v>27977.63012905639</v>
      </c>
      <c r="F358" s="11">
        <f t="shared" si="13"/>
        <v>380.95238095238096</v>
      </c>
      <c r="G358" s="11">
        <f t="shared" si="9"/>
        <v>549.05870048506426</v>
      </c>
      <c r="H358" s="11">
        <f t="shared" si="10"/>
        <v>27428.571428571326</v>
      </c>
      <c r="I358" s="13"/>
      <c r="J358" s="13"/>
      <c r="K358" s="13"/>
      <c r="L358" s="13"/>
      <c r="M358" s="13"/>
      <c r="N358" s="13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75" customHeight="1">
      <c r="A359" s="37"/>
      <c r="B359" s="38">
        <f t="shared" si="11"/>
        <v>349</v>
      </c>
      <c r="C359" s="11">
        <f t="shared" si="12"/>
        <v>27428.571428571326</v>
      </c>
      <c r="D359" s="11">
        <f t="shared" si="7"/>
        <v>165.80349323771506</v>
      </c>
      <c r="E359" s="11">
        <f t="shared" si="8"/>
        <v>27594.374921809042</v>
      </c>
      <c r="F359" s="11">
        <f t="shared" si="13"/>
        <v>380.95238095238096</v>
      </c>
      <c r="G359" s="11">
        <f t="shared" si="9"/>
        <v>546.75587419009605</v>
      </c>
      <c r="H359" s="11">
        <f t="shared" si="10"/>
        <v>27047.619047618944</v>
      </c>
      <c r="I359" s="13"/>
      <c r="J359" s="13"/>
      <c r="K359" s="13"/>
      <c r="L359" s="13"/>
      <c r="M359" s="13"/>
      <c r="N359" s="13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75" customHeight="1">
      <c r="A360" s="37"/>
      <c r="B360" s="38">
        <f t="shared" si="11"/>
        <v>350</v>
      </c>
      <c r="C360" s="11">
        <f t="shared" si="12"/>
        <v>27047.619047618944</v>
      </c>
      <c r="D360" s="11">
        <f t="shared" si="7"/>
        <v>163.50066694274676</v>
      </c>
      <c r="E360" s="11">
        <f t="shared" si="8"/>
        <v>27211.11971456169</v>
      </c>
      <c r="F360" s="11">
        <f t="shared" si="13"/>
        <v>380.95238095238096</v>
      </c>
      <c r="G360" s="11">
        <f t="shared" si="9"/>
        <v>544.45304789512772</v>
      </c>
      <c r="H360" s="11">
        <f t="shared" si="10"/>
        <v>26666.666666666562</v>
      </c>
      <c r="I360" s="13"/>
      <c r="J360" s="13"/>
      <c r="K360" s="13"/>
      <c r="L360" s="13"/>
      <c r="M360" s="13"/>
      <c r="N360" s="13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75" customHeight="1">
      <c r="A361" s="37"/>
      <c r="B361" s="38">
        <f t="shared" si="11"/>
        <v>351</v>
      </c>
      <c r="C361" s="11">
        <f t="shared" si="12"/>
        <v>26666.666666666562</v>
      </c>
      <c r="D361" s="11">
        <f t="shared" si="7"/>
        <v>161.19784064777849</v>
      </c>
      <c r="E361" s="11">
        <f t="shared" si="8"/>
        <v>26827.864507314342</v>
      </c>
      <c r="F361" s="11">
        <f t="shared" si="13"/>
        <v>380.95238095238096</v>
      </c>
      <c r="G361" s="11">
        <f t="shared" si="9"/>
        <v>542.15022160015951</v>
      </c>
      <c r="H361" s="11">
        <f t="shared" si="10"/>
        <v>26285.714285714181</v>
      </c>
      <c r="I361" s="13"/>
      <c r="J361" s="13"/>
      <c r="K361" s="13"/>
      <c r="L361" s="13"/>
      <c r="M361" s="13"/>
      <c r="N361" s="13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75" customHeight="1">
      <c r="A362" s="37"/>
      <c r="B362" s="38">
        <f t="shared" si="11"/>
        <v>352</v>
      </c>
      <c r="C362" s="11">
        <f t="shared" si="12"/>
        <v>26285.714285714181</v>
      </c>
      <c r="D362" s="11">
        <f t="shared" si="7"/>
        <v>158.89501435281022</v>
      </c>
      <c r="E362" s="11">
        <f t="shared" si="8"/>
        <v>26444.60930006699</v>
      </c>
      <c r="F362" s="11">
        <f t="shared" si="13"/>
        <v>380.95238095238096</v>
      </c>
      <c r="G362" s="11">
        <f t="shared" si="9"/>
        <v>539.84739530519118</v>
      </c>
      <c r="H362" s="11">
        <f t="shared" si="10"/>
        <v>25904.761904761799</v>
      </c>
      <c r="I362" s="13"/>
      <c r="J362" s="13"/>
      <c r="K362" s="13"/>
      <c r="L362" s="13"/>
      <c r="M362" s="13"/>
      <c r="N362" s="13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75" customHeight="1">
      <c r="A363" s="37"/>
      <c r="B363" s="38">
        <f t="shared" si="11"/>
        <v>353</v>
      </c>
      <c r="C363" s="11">
        <f t="shared" si="12"/>
        <v>25904.761904761799</v>
      </c>
      <c r="D363" s="11">
        <f t="shared" si="7"/>
        <v>156.59218805784195</v>
      </c>
      <c r="E363" s="11">
        <f t="shared" si="8"/>
        <v>26061.354092819642</v>
      </c>
      <c r="F363" s="11">
        <f t="shared" si="13"/>
        <v>380.95238095238096</v>
      </c>
      <c r="G363" s="11">
        <f t="shared" si="9"/>
        <v>537.54456901022286</v>
      </c>
      <c r="H363" s="11">
        <f t="shared" si="10"/>
        <v>25523.809523809417</v>
      </c>
      <c r="I363" s="13"/>
      <c r="J363" s="13"/>
      <c r="K363" s="13"/>
      <c r="L363" s="13"/>
      <c r="M363" s="13"/>
      <c r="N363" s="13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75" customHeight="1">
      <c r="A364" s="37"/>
      <c r="B364" s="38">
        <f t="shared" si="11"/>
        <v>354</v>
      </c>
      <c r="C364" s="11">
        <f t="shared" si="12"/>
        <v>25523.809523809417</v>
      </c>
      <c r="D364" s="11">
        <f t="shared" si="7"/>
        <v>154.28936176287365</v>
      </c>
      <c r="E364" s="11">
        <f t="shared" si="8"/>
        <v>25678.09888557229</v>
      </c>
      <c r="F364" s="11">
        <f t="shared" si="13"/>
        <v>380.95238095238096</v>
      </c>
      <c r="G364" s="11">
        <f t="shared" si="9"/>
        <v>535.24174271525465</v>
      </c>
      <c r="H364" s="11">
        <f t="shared" si="10"/>
        <v>25142.857142857036</v>
      </c>
      <c r="I364" s="13"/>
      <c r="J364" s="13"/>
      <c r="K364" s="13"/>
      <c r="L364" s="13"/>
      <c r="M364" s="13"/>
      <c r="N364" s="13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75" customHeight="1">
      <c r="A365" s="37"/>
      <c r="B365" s="38">
        <f t="shared" si="11"/>
        <v>355</v>
      </c>
      <c r="C365" s="11">
        <f t="shared" si="12"/>
        <v>25142.857142857036</v>
      </c>
      <c r="D365" s="11">
        <f t="shared" si="7"/>
        <v>151.98653546790538</v>
      </c>
      <c r="E365" s="11">
        <f t="shared" si="8"/>
        <v>25294.843678324942</v>
      </c>
      <c r="F365" s="11">
        <f t="shared" si="13"/>
        <v>380.95238095238096</v>
      </c>
      <c r="G365" s="11">
        <f t="shared" si="9"/>
        <v>532.93891642028632</v>
      </c>
      <c r="H365" s="11">
        <f t="shared" si="10"/>
        <v>24761.904761904654</v>
      </c>
      <c r="I365" s="13"/>
      <c r="J365" s="13"/>
      <c r="K365" s="13"/>
      <c r="L365" s="13"/>
      <c r="M365" s="13"/>
      <c r="N365" s="13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75" customHeight="1">
      <c r="A366" s="37"/>
      <c r="B366" s="38">
        <f t="shared" si="11"/>
        <v>356</v>
      </c>
      <c r="C366" s="11">
        <f t="shared" si="12"/>
        <v>24761.904761904654</v>
      </c>
      <c r="D366" s="11">
        <f t="shared" si="7"/>
        <v>149.68370917293711</v>
      </c>
      <c r="E366" s="11">
        <f t="shared" si="8"/>
        <v>24911.58847107759</v>
      </c>
      <c r="F366" s="11">
        <f t="shared" si="13"/>
        <v>380.95238095238096</v>
      </c>
      <c r="G366" s="11">
        <f t="shared" si="9"/>
        <v>530.63609012531811</v>
      </c>
      <c r="H366" s="11">
        <f t="shared" si="10"/>
        <v>24380.952380952273</v>
      </c>
      <c r="I366" s="13"/>
      <c r="J366" s="13"/>
      <c r="K366" s="13"/>
      <c r="L366" s="13"/>
      <c r="M366" s="13"/>
      <c r="N366" s="13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75" customHeight="1">
      <c r="A367" s="37"/>
      <c r="B367" s="38">
        <f t="shared" si="11"/>
        <v>357</v>
      </c>
      <c r="C367" s="11">
        <f t="shared" si="12"/>
        <v>24380.952380952273</v>
      </c>
      <c r="D367" s="11">
        <f t="shared" si="7"/>
        <v>147.38088287796884</v>
      </c>
      <c r="E367" s="11">
        <f t="shared" si="8"/>
        <v>24528.333263830242</v>
      </c>
      <c r="F367" s="11">
        <f t="shared" si="13"/>
        <v>380.95238095238096</v>
      </c>
      <c r="G367" s="11">
        <f t="shared" si="9"/>
        <v>528.33326383034978</v>
      </c>
      <c r="H367" s="11">
        <f t="shared" si="10"/>
        <v>23999.999999999891</v>
      </c>
      <c r="I367" s="13"/>
      <c r="J367" s="13"/>
      <c r="K367" s="13"/>
      <c r="L367" s="13"/>
      <c r="M367" s="13"/>
      <c r="N367" s="13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75" customHeight="1">
      <c r="A368" s="37"/>
      <c r="B368" s="38">
        <f t="shared" si="11"/>
        <v>358</v>
      </c>
      <c r="C368" s="11">
        <f t="shared" si="12"/>
        <v>23999.999999999891</v>
      </c>
      <c r="D368" s="11">
        <f t="shared" si="7"/>
        <v>145.07805658300055</v>
      </c>
      <c r="E368" s="11">
        <f t="shared" si="8"/>
        <v>24145.07805658289</v>
      </c>
      <c r="F368" s="11">
        <f t="shared" si="13"/>
        <v>380.95238095238096</v>
      </c>
      <c r="G368" s="11">
        <f t="shared" si="9"/>
        <v>526.03043753538145</v>
      </c>
      <c r="H368" s="11">
        <f t="shared" si="10"/>
        <v>23619.047619047509</v>
      </c>
      <c r="I368" s="13"/>
      <c r="J368" s="13"/>
      <c r="K368" s="13"/>
      <c r="L368" s="13"/>
      <c r="M368" s="13"/>
      <c r="N368" s="13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75" customHeight="1">
      <c r="A369" s="37"/>
      <c r="B369" s="38">
        <f t="shared" si="11"/>
        <v>359</v>
      </c>
      <c r="C369" s="11">
        <f t="shared" si="12"/>
        <v>23619.047619047509</v>
      </c>
      <c r="D369" s="11">
        <f t="shared" si="7"/>
        <v>142.77523028803228</v>
      </c>
      <c r="E369" s="11">
        <f t="shared" si="8"/>
        <v>23761.822849335542</v>
      </c>
      <c r="F369" s="11">
        <f t="shared" si="13"/>
        <v>380.95238095238096</v>
      </c>
      <c r="G369" s="11">
        <f t="shared" si="9"/>
        <v>523.72761124041324</v>
      </c>
      <c r="H369" s="11">
        <f t="shared" si="10"/>
        <v>23238.095238095128</v>
      </c>
      <c r="I369" s="13"/>
      <c r="J369" s="13"/>
      <c r="K369" s="13"/>
      <c r="L369" s="13"/>
      <c r="M369" s="13"/>
      <c r="N369" s="13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75" customHeight="1">
      <c r="A370" s="37"/>
      <c r="B370" s="38">
        <f t="shared" si="11"/>
        <v>360</v>
      </c>
      <c r="C370" s="11">
        <f t="shared" si="12"/>
        <v>23238.095238095128</v>
      </c>
      <c r="D370" s="11">
        <f t="shared" si="7"/>
        <v>140.47240399306401</v>
      </c>
      <c r="E370" s="11">
        <f t="shared" si="8"/>
        <v>23378.56764208819</v>
      </c>
      <c r="F370" s="11">
        <f t="shared" si="13"/>
        <v>380.95238095238096</v>
      </c>
      <c r="G370" s="11">
        <f t="shared" si="9"/>
        <v>521.42478494544503</v>
      </c>
      <c r="H370" s="11">
        <f t="shared" si="10"/>
        <v>22857.142857142746</v>
      </c>
      <c r="I370" s="13"/>
      <c r="J370" s="13"/>
      <c r="K370" s="13"/>
      <c r="L370" s="13"/>
      <c r="M370" s="13"/>
      <c r="N370" s="13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75" customHeight="1">
      <c r="A371" s="37"/>
      <c r="B371" s="38">
        <f t="shared" si="11"/>
        <v>361</v>
      </c>
      <c r="C371" s="11">
        <f t="shared" si="12"/>
        <v>22857.142857142746</v>
      </c>
      <c r="D371" s="11">
        <f t="shared" si="7"/>
        <v>138.16957769809571</v>
      </c>
      <c r="E371" s="11">
        <f t="shared" si="8"/>
        <v>22995.312434840842</v>
      </c>
      <c r="F371" s="11">
        <f t="shared" si="13"/>
        <v>380.95238095238096</v>
      </c>
      <c r="G371" s="11">
        <f t="shared" si="9"/>
        <v>519.1219586504767</v>
      </c>
      <c r="H371" s="11">
        <f t="shared" si="10"/>
        <v>22476.190476190364</v>
      </c>
      <c r="I371" s="13"/>
      <c r="J371" s="13"/>
      <c r="K371" s="13"/>
      <c r="L371" s="13"/>
      <c r="M371" s="13"/>
      <c r="N371" s="13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75" customHeight="1">
      <c r="A372" s="37"/>
      <c r="B372" s="38">
        <f t="shared" si="11"/>
        <v>362</v>
      </c>
      <c r="C372" s="11">
        <f t="shared" si="12"/>
        <v>22476.190476190364</v>
      </c>
      <c r="D372" s="11">
        <f t="shared" si="7"/>
        <v>135.86675140312744</v>
      </c>
      <c r="E372" s="11">
        <f t="shared" si="8"/>
        <v>22612.05722759349</v>
      </c>
      <c r="F372" s="11">
        <f t="shared" si="13"/>
        <v>380.95238095238096</v>
      </c>
      <c r="G372" s="11">
        <f t="shared" si="9"/>
        <v>516.81913235550837</v>
      </c>
      <c r="H372" s="11">
        <f t="shared" si="10"/>
        <v>22095.238095237983</v>
      </c>
      <c r="I372" s="13"/>
      <c r="J372" s="13"/>
      <c r="K372" s="13"/>
      <c r="L372" s="13"/>
      <c r="M372" s="13"/>
      <c r="N372" s="13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75" customHeight="1">
      <c r="A373" s="37"/>
      <c r="B373" s="38">
        <f t="shared" si="11"/>
        <v>363</v>
      </c>
      <c r="C373" s="11">
        <f t="shared" si="12"/>
        <v>22095.238095237983</v>
      </c>
      <c r="D373" s="11">
        <f t="shared" si="7"/>
        <v>133.56392510815917</v>
      </c>
      <c r="E373" s="11">
        <f t="shared" si="8"/>
        <v>22228.802020346142</v>
      </c>
      <c r="F373" s="11">
        <f t="shared" si="13"/>
        <v>380.95238095238096</v>
      </c>
      <c r="G373" s="11">
        <f t="shared" si="9"/>
        <v>514.51630606054016</v>
      </c>
      <c r="H373" s="11">
        <f t="shared" si="10"/>
        <v>21714.285714285601</v>
      </c>
      <c r="I373" s="13"/>
      <c r="J373" s="13"/>
      <c r="K373" s="13"/>
      <c r="L373" s="13"/>
      <c r="M373" s="13"/>
      <c r="N373" s="13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75" customHeight="1">
      <c r="A374" s="37"/>
      <c r="B374" s="38">
        <f t="shared" si="11"/>
        <v>364</v>
      </c>
      <c r="C374" s="11">
        <f t="shared" si="12"/>
        <v>21714.285714285601</v>
      </c>
      <c r="D374" s="11">
        <f t="shared" si="7"/>
        <v>131.2610988131909</v>
      </c>
      <c r="E374" s="11">
        <f t="shared" si="8"/>
        <v>21845.54681309879</v>
      </c>
      <c r="F374" s="11">
        <f t="shared" si="13"/>
        <v>380.95238095238096</v>
      </c>
      <c r="G374" s="11">
        <f t="shared" si="9"/>
        <v>512.21347976557183</v>
      </c>
      <c r="H374" s="11">
        <f t="shared" si="10"/>
        <v>21333.333333333219</v>
      </c>
      <c r="I374" s="13"/>
      <c r="J374" s="13"/>
      <c r="K374" s="13"/>
      <c r="L374" s="13"/>
      <c r="M374" s="13"/>
      <c r="N374" s="13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75" customHeight="1">
      <c r="A375" s="37"/>
      <c r="B375" s="38">
        <f t="shared" si="11"/>
        <v>365</v>
      </c>
      <c r="C375" s="11">
        <f t="shared" si="12"/>
        <v>21333.333333333219</v>
      </c>
      <c r="D375" s="11">
        <f t="shared" si="7"/>
        <v>128.9582725182226</v>
      </c>
      <c r="E375" s="11">
        <f t="shared" si="8"/>
        <v>21462.291605851442</v>
      </c>
      <c r="F375" s="11">
        <f t="shared" si="13"/>
        <v>380.95238095238096</v>
      </c>
      <c r="G375" s="11">
        <f t="shared" si="9"/>
        <v>509.91065347060356</v>
      </c>
      <c r="H375" s="11">
        <f t="shared" si="10"/>
        <v>20952.380952380838</v>
      </c>
      <c r="I375" s="13"/>
      <c r="J375" s="13"/>
      <c r="K375" s="13"/>
      <c r="L375" s="13"/>
      <c r="M375" s="13"/>
      <c r="N375" s="13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75" customHeight="1">
      <c r="A376" s="37"/>
      <c r="B376" s="38">
        <f t="shared" si="11"/>
        <v>366</v>
      </c>
      <c r="C376" s="11">
        <f t="shared" si="12"/>
        <v>20952.380952380838</v>
      </c>
      <c r="D376" s="11">
        <f t="shared" si="7"/>
        <v>126.65544622325433</v>
      </c>
      <c r="E376" s="11">
        <f t="shared" si="8"/>
        <v>21079.03639860409</v>
      </c>
      <c r="F376" s="11">
        <f t="shared" si="13"/>
        <v>380.95238095238096</v>
      </c>
      <c r="G376" s="11">
        <f t="shared" si="9"/>
        <v>507.60782717563529</v>
      </c>
      <c r="H376" s="11">
        <f t="shared" si="10"/>
        <v>20571.428571428456</v>
      </c>
      <c r="I376" s="13"/>
      <c r="J376" s="13"/>
      <c r="K376" s="13"/>
      <c r="L376" s="13"/>
      <c r="M376" s="13"/>
      <c r="N376" s="13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75" customHeight="1">
      <c r="A377" s="37"/>
      <c r="B377" s="38">
        <f t="shared" si="11"/>
        <v>367</v>
      </c>
      <c r="C377" s="11">
        <f t="shared" si="12"/>
        <v>20571.428571428456</v>
      </c>
      <c r="D377" s="11">
        <f t="shared" si="7"/>
        <v>124.35261992828606</v>
      </c>
      <c r="E377" s="11">
        <f t="shared" si="8"/>
        <v>20695.781191356742</v>
      </c>
      <c r="F377" s="11">
        <f t="shared" si="13"/>
        <v>380.95238095238096</v>
      </c>
      <c r="G377" s="11">
        <f t="shared" si="9"/>
        <v>505.30500088066702</v>
      </c>
      <c r="H377" s="11">
        <f t="shared" si="10"/>
        <v>20190.476190476074</v>
      </c>
      <c r="I377" s="13"/>
      <c r="J377" s="13"/>
      <c r="K377" s="13"/>
      <c r="L377" s="13"/>
      <c r="M377" s="13"/>
      <c r="N377" s="13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75" customHeight="1">
      <c r="A378" s="37"/>
      <c r="B378" s="38">
        <f t="shared" si="11"/>
        <v>368</v>
      </c>
      <c r="C378" s="11">
        <f t="shared" si="12"/>
        <v>20190.476190476074</v>
      </c>
      <c r="D378" s="11">
        <f t="shared" si="7"/>
        <v>122.04979363331778</v>
      </c>
      <c r="E378" s="11">
        <f t="shared" si="8"/>
        <v>20312.525984109394</v>
      </c>
      <c r="F378" s="11">
        <f t="shared" si="13"/>
        <v>380.95238095238096</v>
      </c>
      <c r="G378" s="11">
        <f t="shared" si="9"/>
        <v>503.00217458569875</v>
      </c>
      <c r="H378" s="11">
        <f t="shared" si="10"/>
        <v>19809.523809523696</v>
      </c>
      <c r="I378" s="13"/>
      <c r="J378" s="13"/>
      <c r="K378" s="13"/>
      <c r="L378" s="13"/>
      <c r="M378" s="13"/>
      <c r="N378" s="13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75" customHeight="1">
      <c r="A379" s="37"/>
      <c r="B379" s="38">
        <f t="shared" si="11"/>
        <v>369</v>
      </c>
      <c r="C379" s="11">
        <f t="shared" si="12"/>
        <v>19809.523809523696</v>
      </c>
      <c r="D379" s="11">
        <f t="shared" si="7"/>
        <v>119.74696733834952</v>
      </c>
      <c r="E379" s="11">
        <f t="shared" si="8"/>
        <v>19929.270776862046</v>
      </c>
      <c r="F379" s="11">
        <f t="shared" si="13"/>
        <v>380.95238095238096</v>
      </c>
      <c r="G379" s="11">
        <f t="shared" si="9"/>
        <v>500.69934829073048</v>
      </c>
      <c r="H379" s="11">
        <f t="shared" si="10"/>
        <v>19428.571428571315</v>
      </c>
      <c r="I379" s="13"/>
      <c r="J379" s="13"/>
      <c r="K379" s="13"/>
      <c r="L379" s="13"/>
      <c r="M379" s="13"/>
      <c r="N379" s="13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75" customHeight="1">
      <c r="A380" s="37"/>
      <c r="B380" s="38">
        <f t="shared" si="11"/>
        <v>370</v>
      </c>
      <c r="C380" s="11">
        <f t="shared" si="12"/>
        <v>19428.571428571315</v>
      </c>
      <c r="D380" s="11">
        <f t="shared" si="7"/>
        <v>117.44414104338125</v>
      </c>
      <c r="E380" s="11">
        <f t="shared" si="8"/>
        <v>19546.015569614698</v>
      </c>
      <c r="F380" s="11">
        <f t="shared" si="13"/>
        <v>380.95238095238096</v>
      </c>
      <c r="G380" s="11">
        <f t="shared" si="9"/>
        <v>498.39652199576221</v>
      </c>
      <c r="H380" s="11">
        <f t="shared" si="10"/>
        <v>19047.619047618937</v>
      </c>
      <c r="I380" s="13"/>
      <c r="J380" s="13"/>
      <c r="K380" s="13"/>
      <c r="L380" s="13"/>
      <c r="M380" s="13"/>
      <c r="N380" s="13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75" customHeight="1">
      <c r="A381" s="37"/>
      <c r="B381" s="38">
        <f t="shared" si="11"/>
        <v>371</v>
      </c>
      <c r="C381" s="11">
        <f t="shared" si="12"/>
        <v>19047.619047618937</v>
      </c>
      <c r="D381" s="11">
        <f t="shared" si="7"/>
        <v>115.141314748413</v>
      </c>
      <c r="E381" s="11">
        <f t="shared" si="8"/>
        <v>19162.760362367349</v>
      </c>
      <c r="F381" s="11">
        <f t="shared" si="13"/>
        <v>380.95238095238096</v>
      </c>
      <c r="G381" s="11">
        <f t="shared" si="9"/>
        <v>496.09369570079394</v>
      </c>
      <c r="H381" s="11">
        <f t="shared" si="10"/>
        <v>18666.666666666555</v>
      </c>
      <c r="I381" s="13"/>
      <c r="J381" s="13"/>
      <c r="K381" s="13"/>
      <c r="L381" s="13"/>
      <c r="M381" s="13"/>
      <c r="N381" s="13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75" customHeight="1">
      <c r="A382" s="37"/>
      <c r="B382" s="38">
        <f t="shared" si="11"/>
        <v>372</v>
      </c>
      <c r="C382" s="11">
        <f t="shared" si="12"/>
        <v>18666.666666666555</v>
      </c>
      <c r="D382" s="11">
        <f t="shared" si="7"/>
        <v>112.83848845344471</v>
      </c>
      <c r="E382" s="11">
        <f t="shared" si="8"/>
        <v>18779.505155120001</v>
      </c>
      <c r="F382" s="11">
        <f t="shared" si="13"/>
        <v>380.95238095238096</v>
      </c>
      <c r="G382" s="11">
        <f t="shared" si="9"/>
        <v>493.79086940582567</v>
      </c>
      <c r="H382" s="11">
        <f t="shared" si="10"/>
        <v>18285.714285714177</v>
      </c>
      <c r="I382" s="13"/>
      <c r="J382" s="13"/>
      <c r="K382" s="13"/>
      <c r="L382" s="13"/>
      <c r="M382" s="13"/>
      <c r="N382" s="13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75" customHeight="1">
      <c r="A383" s="37"/>
      <c r="B383" s="38">
        <f t="shared" si="11"/>
        <v>373</v>
      </c>
      <c r="C383" s="11">
        <f t="shared" si="12"/>
        <v>18285.714285714177</v>
      </c>
      <c r="D383" s="11">
        <f t="shared" si="7"/>
        <v>110.53566215847646</v>
      </c>
      <c r="E383" s="11">
        <f t="shared" si="8"/>
        <v>18396.249947872653</v>
      </c>
      <c r="F383" s="11">
        <f t="shared" si="13"/>
        <v>380.95238095238096</v>
      </c>
      <c r="G383" s="11">
        <f t="shared" si="9"/>
        <v>491.4880431108574</v>
      </c>
      <c r="H383" s="11">
        <f t="shared" si="10"/>
        <v>17904.761904761795</v>
      </c>
      <c r="I383" s="13"/>
      <c r="J383" s="13"/>
      <c r="K383" s="13"/>
      <c r="L383" s="13"/>
      <c r="M383" s="13"/>
      <c r="N383" s="13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75" customHeight="1">
      <c r="A384" s="37"/>
      <c r="B384" s="38">
        <f t="shared" si="11"/>
        <v>374</v>
      </c>
      <c r="C384" s="11">
        <f t="shared" si="12"/>
        <v>17904.761904761795</v>
      </c>
      <c r="D384" s="11">
        <f t="shared" si="7"/>
        <v>108.23283586350819</v>
      </c>
      <c r="E384" s="11">
        <f t="shared" si="8"/>
        <v>18012.994740625305</v>
      </c>
      <c r="F384" s="11">
        <f t="shared" si="13"/>
        <v>380.95238095238096</v>
      </c>
      <c r="G384" s="11">
        <f t="shared" si="9"/>
        <v>489.18521681588913</v>
      </c>
      <c r="H384" s="11">
        <f t="shared" si="10"/>
        <v>17523.809523809417</v>
      </c>
      <c r="I384" s="13"/>
      <c r="J384" s="13"/>
      <c r="K384" s="13"/>
      <c r="L384" s="13"/>
      <c r="M384" s="13"/>
      <c r="N384" s="13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75" customHeight="1">
      <c r="A385" s="37"/>
      <c r="B385" s="38">
        <f t="shared" si="11"/>
        <v>375</v>
      </c>
      <c r="C385" s="11">
        <f t="shared" si="12"/>
        <v>17523.809523809417</v>
      </c>
      <c r="D385" s="11">
        <f t="shared" si="7"/>
        <v>105.93000956853993</v>
      </c>
      <c r="E385" s="11">
        <f t="shared" si="8"/>
        <v>17629.739533377957</v>
      </c>
      <c r="F385" s="11">
        <f t="shared" si="13"/>
        <v>380.95238095238096</v>
      </c>
      <c r="G385" s="11">
        <f t="shared" si="9"/>
        <v>486.88239052092092</v>
      </c>
      <c r="H385" s="11">
        <f t="shared" si="10"/>
        <v>17142.857142857036</v>
      </c>
      <c r="I385" s="13"/>
      <c r="J385" s="13"/>
      <c r="K385" s="13"/>
      <c r="L385" s="13"/>
      <c r="M385" s="13"/>
      <c r="N385" s="13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75" customHeight="1">
      <c r="A386" s="37"/>
      <c r="B386" s="38">
        <f t="shared" si="11"/>
        <v>376</v>
      </c>
      <c r="C386" s="11">
        <f t="shared" si="12"/>
        <v>17142.857142857036</v>
      </c>
      <c r="D386" s="11">
        <f t="shared" si="7"/>
        <v>103.62718327357165</v>
      </c>
      <c r="E386" s="11">
        <f t="shared" si="8"/>
        <v>17246.484326130609</v>
      </c>
      <c r="F386" s="11">
        <f t="shared" si="13"/>
        <v>380.95238095238096</v>
      </c>
      <c r="G386" s="11">
        <f t="shared" si="9"/>
        <v>484.57956422595259</v>
      </c>
      <c r="H386" s="11">
        <f t="shared" si="10"/>
        <v>16761.904761904658</v>
      </c>
      <c r="I386" s="13"/>
      <c r="J386" s="13"/>
      <c r="K386" s="13"/>
      <c r="L386" s="13"/>
      <c r="M386" s="13"/>
      <c r="N386" s="13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75" customHeight="1">
      <c r="A387" s="37"/>
      <c r="B387" s="38">
        <f t="shared" si="11"/>
        <v>377</v>
      </c>
      <c r="C387" s="11">
        <f t="shared" si="12"/>
        <v>16761.904761904658</v>
      </c>
      <c r="D387" s="11">
        <f t="shared" si="7"/>
        <v>101.32435697860339</v>
      </c>
      <c r="E387" s="11">
        <f t="shared" si="8"/>
        <v>16863.229118883261</v>
      </c>
      <c r="F387" s="11">
        <f t="shared" si="13"/>
        <v>380.95238095238096</v>
      </c>
      <c r="G387" s="11">
        <f t="shared" si="9"/>
        <v>482.27673793098438</v>
      </c>
      <c r="H387" s="11">
        <f t="shared" si="10"/>
        <v>16380.952380952276</v>
      </c>
      <c r="I387" s="13"/>
      <c r="J387" s="13"/>
      <c r="K387" s="13"/>
      <c r="L387" s="13"/>
      <c r="M387" s="13"/>
      <c r="N387" s="13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75" customHeight="1">
      <c r="A388" s="37"/>
      <c r="B388" s="38">
        <f t="shared" si="11"/>
        <v>378</v>
      </c>
      <c r="C388" s="11">
        <f t="shared" si="12"/>
        <v>16380.952380952276</v>
      </c>
      <c r="D388" s="11">
        <f t="shared" si="7"/>
        <v>99.02153068363512</v>
      </c>
      <c r="E388" s="11">
        <f t="shared" si="8"/>
        <v>16479.973911635912</v>
      </c>
      <c r="F388" s="11">
        <f t="shared" si="13"/>
        <v>380.95238095238096</v>
      </c>
      <c r="G388" s="11">
        <f t="shared" si="9"/>
        <v>479.97391163601606</v>
      </c>
      <c r="H388" s="11">
        <f t="shared" si="10"/>
        <v>15999.999999999896</v>
      </c>
      <c r="I388" s="13"/>
      <c r="J388" s="13"/>
      <c r="K388" s="13"/>
      <c r="L388" s="13"/>
      <c r="M388" s="13"/>
      <c r="N388" s="13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75" customHeight="1">
      <c r="A389" s="37"/>
      <c r="B389" s="38">
        <f t="shared" si="11"/>
        <v>379</v>
      </c>
      <c r="C389" s="11">
        <f t="shared" si="12"/>
        <v>15999.999999999896</v>
      </c>
      <c r="D389" s="11">
        <f t="shared" si="7"/>
        <v>96.71870438866685</v>
      </c>
      <c r="E389" s="11">
        <f t="shared" si="8"/>
        <v>16096.718704388562</v>
      </c>
      <c r="F389" s="11">
        <f t="shared" si="13"/>
        <v>380.95238095238096</v>
      </c>
      <c r="G389" s="11">
        <f t="shared" si="9"/>
        <v>477.67108534104784</v>
      </c>
      <c r="H389" s="11">
        <f t="shared" si="10"/>
        <v>15619.047619047515</v>
      </c>
      <c r="I389" s="13"/>
      <c r="J389" s="13"/>
      <c r="K389" s="13"/>
      <c r="L389" s="13"/>
      <c r="M389" s="13"/>
      <c r="N389" s="13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75" customHeight="1">
      <c r="A390" s="37"/>
      <c r="B390" s="38">
        <f t="shared" si="11"/>
        <v>380</v>
      </c>
      <c r="C390" s="11">
        <f t="shared" si="12"/>
        <v>15619.047619047515</v>
      </c>
      <c r="D390" s="11">
        <f t="shared" si="7"/>
        <v>94.415878093698566</v>
      </c>
      <c r="E390" s="11">
        <f t="shared" si="8"/>
        <v>15713.463497141212</v>
      </c>
      <c r="F390" s="11">
        <f t="shared" si="13"/>
        <v>380.95238095238096</v>
      </c>
      <c r="G390" s="11">
        <f t="shared" si="9"/>
        <v>475.36825904607952</v>
      </c>
      <c r="H390" s="11">
        <f t="shared" si="10"/>
        <v>15238.095238095133</v>
      </c>
      <c r="I390" s="13"/>
      <c r="J390" s="13"/>
      <c r="K390" s="13"/>
      <c r="L390" s="13"/>
      <c r="M390" s="13"/>
      <c r="N390" s="13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75" customHeight="1">
      <c r="A391" s="37"/>
      <c r="B391" s="38">
        <f t="shared" si="11"/>
        <v>381</v>
      </c>
      <c r="C391" s="11">
        <f t="shared" si="12"/>
        <v>15238.095238095133</v>
      </c>
      <c r="D391" s="11">
        <f t="shared" si="7"/>
        <v>92.113051798730297</v>
      </c>
      <c r="E391" s="11">
        <f t="shared" si="8"/>
        <v>15330.208289893862</v>
      </c>
      <c r="F391" s="11">
        <f t="shared" si="13"/>
        <v>380.95238095238096</v>
      </c>
      <c r="G391" s="11">
        <f t="shared" si="9"/>
        <v>473.06543275111125</v>
      </c>
      <c r="H391" s="11">
        <f t="shared" si="10"/>
        <v>14857.142857142751</v>
      </c>
      <c r="I391" s="13"/>
      <c r="J391" s="13"/>
      <c r="K391" s="13"/>
      <c r="L391" s="13"/>
      <c r="M391" s="13"/>
      <c r="N391" s="13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75" customHeight="1">
      <c r="A392" s="37"/>
      <c r="B392" s="38">
        <f t="shared" si="11"/>
        <v>382</v>
      </c>
      <c r="C392" s="11">
        <f t="shared" si="12"/>
        <v>14857.142857142751</v>
      </c>
      <c r="D392" s="11">
        <f t="shared" si="7"/>
        <v>89.810225503762013</v>
      </c>
      <c r="E392" s="11">
        <f t="shared" si="8"/>
        <v>14946.953082646512</v>
      </c>
      <c r="F392" s="11">
        <f t="shared" si="13"/>
        <v>380.95238095238096</v>
      </c>
      <c r="G392" s="11">
        <f t="shared" si="9"/>
        <v>470.76260645614298</v>
      </c>
      <c r="H392" s="11">
        <f t="shared" si="10"/>
        <v>14476.19047619037</v>
      </c>
      <c r="I392" s="13"/>
      <c r="J392" s="13"/>
      <c r="K392" s="13"/>
      <c r="L392" s="13"/>
      <c r="M392" s="13"/>
      <c r="N392" s="13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75" customHeight="1">
      <c r="A393" s="37"/>
      <c r="B393" s="38">
        <f t="shared" si="11"/>
        <v>383</v>
      </c>
      <c r="C393" s="11">
        <f t="shared" si="12"/>
        <v>14476.19047619037</v>
      </c>
      <c r="D393" s="11">
        <f t="shared" si="7"/>
        <v>87.507399208793743</v>
      </c>
      <c r="E393" s="11">
        <f t="shared" si="8"/>
        <v>14563.697875399164</v>
      </c>
      <c r="F393" s="11">
        <f t="shared" si="13"/>
        <v>380.95238095238096</v>
      </c>
      <c r="G393" s="11">
        <f t="shared" si="9"/>
        <v>468.45978016117471</v>
      </c>
      <c r="H393" s="11">
        <f t="shared" si="10"/>
        <v>14095.23809523799</v>
      </c>
      <c r="I393" s="13"/>
      <c r="J393" s="13"/>
      <c r="K393" s="13"/>
      <c r="L393" s="13"/>
      <c r="M393" s="13"/>
      <c r="N393" s="13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75" customHeight="1">
      <c r="A394" s="37"/>
      <c r="B394" s="38">
        <f t="shared" si="11"/>
        <v>384</v>
      </c>
      <c r="C394" s="11">
        <f t="shared" si="12"/>
        <v>14095.23809523799</v>
      </c>
      <c r="D394" s="11">
        <f t="shared" si="7"/>
        <v>85.204572913825473</v>
      </c>
      <c r="E394" s="11">
        <f t="shared" si="8"/>
        <v>14180.442668151816</v>
      </c>
      <c r="F394" s="11">
        <f t="shared" si="13"/>
        <v>380.95238095238096</v>
      </c>
      <c r="G394" s="11">
        <f t="shared" si="9"/>
        <v>466.15695386620644</v>
      </c>
      <c r="H394" s="11">
        <f t="shared" si="10"/>
        <v>13714.28571428561</v>
      </c>
      <c r="I394" s="13"/>
      <c r="J394" s="13"/>
      <c r="K394" s="13"/>
      <c r="L394" s="13"/>
      <c r="M394" s="13"/>
      <c r="N394" s="13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75" customHeight="1">
      <c r="A395" s="37"/>
      <c r="B395" s="38">
        <f t="shared" si="11"/>
        <v>385</v>
      </c>
      <c r="C395" s="11">
        <f t="shared" si="12"/>
        <v>13714.28571428561</v>
      </c>
      <c r="D395" s="11">
        <f t="shared" si="7"/>
        <v>82.901746618857203</v>
      </c>
      <c r="E395" s="11">
        <f t="shared" si="8"/>
        <v>13797.187460904468</v>
      </c>
      <c r="F395" s="11">
        <f t="shared" si="13"/>
        <v>380.95238095238096</v>
      </c>
      <c r="G395" s="11">
        <f t="shared" si="9"/>
        <v>463.85412757123817</v>
      </c>
      <c r="H395" s="11">
        <f t="shared" si="10"/>
        <v>13333.33333333323</v>
      </c>
      <c r="I395" s="13"/>
      <c r="J395" s="13"/>
      <c r="K395" s="13"/>
      <c r="L395" s="13"/>
      <c r="M395" s="13"/>
      <c r="N395" s="13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75" customHeight="1">
      <c r="A396" s="37"/>
      <c r="B396" s="38">
        <f t="shared" si="11"/>
        <v>386</v>
      </c>
      <c r="C396" s="11">
        <f t="shared" si="12"/>
        <v>13333.33333333323</v>
      </c>
      <c r="D396" s="11">
        <f t="shared" si="7"/>
        <v>80.598920323888933</v>
      </c>
      <c r="E396" s="11">
        <f t="shared" si="8"/>
        <v>13413.93225365712</v>
      </c>
      <c r="F396" s="11">
        <f t="shared" si="13"/>
        <v>380.95238095238096</v>
      </c>
      <c r="G396" s="11">
        <f t="shared" si="9"/>
        <v>461.5513012762699</v>
      </c>
      <c r="H396" s="11">
        <f t="shared" si="10"/>
        <v>12952.38095238085</v>
      </c>
      <c r="I396" s="13"/>
      <c r="J396" s="13"/>
      <c r="K396" s="13"/>
      <c r="L396" s="13"/>
      <c r="M396" s="13"/>
      <c r="N396" s="13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75" customHeight="1">
      <c r="A397" s="37"/>
      <c r="B397" s="38">
        <f t="shared" si="11"/>
        <v>387</v>
      </c>
      <c r="C397" s="11">
        <f t="shared" si="12"/>
        <v>12952.38095238085</v>
      </c>
      <c r="D397" s="11">
        <f t="shared" si="7"/>
        <v>78.296094028920677</v>
      </c>
      <c r="E397" s="11">
        <f t="shared" si="8"/>
        <v>13030.677046409772</v>
      </c>
      <c r="F397" s="11">
        <f t="shared" si="13"/>
        <v>380.95238095238096</v>
      </c>
      <c r="G397" s="11">
        <f t="shared" si="9"/>
        <v>459.24847498130163</v>
      </c>
      <c r="H397" s="11">
        <f t="shared" si="10"/>
        <v>12571.428571428471</v>
      </c>
      <c r="I397" s="13"/>
      <c r="J397" s="13"/>
      <c r="K397" s="13"/>
      <c r="L397" s="13"/>
      <c r="M397" s="13"/>
      <c r="N397" s="13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75" customHeight="1">
      <c r="A398" s="37"/>
      <c r="B398" s="38">
        <f t="shared" si="11"/>
        <v>388</v>
      </c>
      <c r="C398" s="11">
        <f t="shared" si="12"/>
        <v>12571.428571428471</v>
      </c>
      <c r="D398" s="11">
        <f t="shared" si="7"/>
        <v>75.993267733952408</v>
      </c>
      <c r="E398" s="11">
        <f t="shared" si="8"/>
        <v>12647.421839162424</v>
      </c>
      <c r="F398" s="11">
        <f t="shared" si="13"/>
        <v>380.95238095238096</v>
      </c>
      <c r="G398" s="11">
        <f t="shared" si="9"/>
        <v>456.94564868633336</v>
      </c>
      <c r="H398" s="11">
        <f t="shared" si="10"/>
        <v>12190.476190476091</v>
      </c>
      <c r="I398" s="13"/>
      <c r="J398" s="13"/>
      <c r="K398" s="13"/>
      <c r="L398" s="13"/>
      <c r="M398" s="13"/>
      <c r="N398" s="13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75" customHeight="1">
      <c r="A399" s="37"/>
      <c r="B399" s="38">
        <f t="shared" si="11"/>
        <v>389</v>
      </c>
      <c r="C399" s="11">
        <f t="shared" si="12"/>
        <v>12190.476190476091</v>
      </c>
      <c r="D399" s="11">
        <f t="shared" si="7"/>
        <v>73.690441438984138</v>
      </c>
      <c r="E399" s="11">
        <f t="shared" si="8"/>
        <v>12264.166631915075</v>
      </c>
      <c r="F399" s="11">
        <f t="shared" si="13"/>
        <v>380.95238095238096</v>
      </c>
      <c r="G399" s="11">
        <f t="shared" si="9"/>
        <v>454.64282239136509</v>
      </c>
      <c r="H399" s="11">
        <f t="shared" si="10"/>
        <v>11809.523809523711</v>
      </c>
      <c r="I399" s="13"/>
      <c r="J399" s="13"/>
      <c r="K399" s="13"/>
      <c r="L399" s="13"/>
      <c r="M399" s="13"/>
      <c r="N399" s="13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75" customHeight="1">
      <c r="A400" s="37"/>
      <c r="B400" s="38">
        <f t="shared" si="11"/>
        <v>390</v>
      </c>
      <c r="C400" s="11">
        <f t="shared" si="12"/>
        <v>11809.523809523711</v>
      </c>
      <c r="D400" s="11">
        <f t="shared" si="7"/>
        <v>71.387615144015868</v>
      </c>
      <c r="E400" s="11">
        <f t="shared" si="8"/>
        <v>11880.911424667727</v>
      </c>
      <c r="F400" s="11">
        <f t="shared" si="13"/>
        <v>380.95238095238096</v>
      </c>
      <c r="G400" s="11">
        <f t="shared" si="9"/>
        <v>452.33999609639682</v>
      </c>
      <c r="H400" s="11">
        <f t="shared" si="10"/>
        <v>11428.571428571331</v>
      </c>
      <c r="I400" s="13"/>
      <c r="J400" s="13"/>
      <c r="K400" s="13"/>
      <c r="L400" s="13"/>
      <c r="M400" s="13"/>
      <c r="N400" s="13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75" customHeight="1">
      <c r="A401" s="37"/>
      <c r="B401" s="38">
        <f t="shared" si="11"/>
        <v>391</v>
      </c>
      <c r="C401" s="11">
        <f t="shared" si="12"/>
        <v>11428.571428571331</v>
      </c>
      <c r="D401" s="11">
        <f t="shared" si="7"/>
        <v>69.084788849047612</v>
      </c>
      <c r="E401" s="11">
        <f t="shared" si="8"/>
        <v>11497.656217420379</v>
      </c>
      <c r="F401" s="11">
        <f t="shared" si="13"/>
        <v>380.95238095238096</v>
      </c>
      <c r="G401" s="11">
        <f t="shared" si="9"/>
        <v>450.0371698014286</v>
      </c>
      <c r="H401" s="11">
        <f t="shared" si="10"/>
        <v>11047.619047618951</v>
      </c>
      <c r="I401" s="13"/>
      <c r="J401" s="13"/>
      <c r="K401" s="13"/>
      <c r="L401" s="13"/>
      <c r="M401" s="13"/>
      <c r="N401" s="13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75" customHeight="1">
      <c r="A402" s="37"/>
      <c r="B402" s="38">
        <f t="shared" si="11"/>
        <v>392</v>
      </c>
      <c r="C402" s="11">
        <f t="shared" si="12"/>
        <v>11047.619047618951</v>
      </c>
      <c r="D402" s="11">
        <f t="shared" si="7"/>
        <v>66.781962554079342</v>
      </c>
      <c r="E402" s="11">
        <f t="shared" si="8"/>
        <v>11114.401010173031</v>
      </c>
      <c r="F402" s="11">
        <f t="shared" si="13"/>
        <v>380.95238095238096</v>
      </c>
      <c r="G402" s="11">
        <f t="shared" si="9"/>
        <v>447.73434350646028</v>
      </c>
      <c r="H402" s="11">
        <f t="shared" si="10"/>
        <v>10666.666666666571</v>
      </c>
      <c r="I402" s="13"/>
      <c r="J402" s="13"/>
      <c r="K402" s="13"/>
      <c r="L402" s="13"/>
      <c r="M402" s="13"/>
      <c r="N402" s="13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75" customHeight="1">
      <c r="A403" s="37"/>
      <c r="B403" s="38">
        <f t="shared" si="11"/>
        <v>393</v>
      </c>
      <c r="C403" s="11">
        <f t="shared" si="12"/>
        <v>10666.666666666571</v>
      </c>
      <c r="D403" s="11">
        <f t="shared" si="7"/>
        <v>64.479136259111073</v>
      </c>
      <c r="E403" s="11">
        <f t="shared" si="8"/>
        <v>10731.145802925683</v>
      </c>
      <c r="F403" s="11">
        <f t="shared" si="13"/>
        <v>380.95238095238096</v>
      </c>
      <c r="G403" s="11">
        <f t="shared" si="9"/>
        <v>445.43151721149206</v>
      </c>
      <c r="H403" s="11">
        <f t="shared" si="10"/>
        <v>10285.714285714192</v>
      </c>
      <c r="I403" s="13"/>
      <c r="J403" s="13"/>
      <c r="K403" s="13"/>
      <c r="L403" s="13"/>
      <c r="M403" s="13"/>
      <c r="N403" s="13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75" customHeight="1">
      <c r="A404" s="37"/>
      <c r="B404" s="38">
        <f t="shared" si="11"/>
        <v>394</v>
      </c>
      <c r="C404" s="11">
        <f t="shared" si="12"/>
        <v>10285.714285714192</v>
      </c>
      <c r="D404" s="11">
        <f t="shared" si="7"/>
        <v>62.17630996414281</v>
      </c>
      <c r="E404" s="11">
        <f t="shared" si="8"/>
        <v>10347.890595678335</v>
      </c>
      <c r="F404" s="11">
        <f t="shared" si="13"/>
        <v>380.95238095238096</v>
      </c>
      <c r="G404" s="11">
        <f t="shared" si="9"/>
        <v>443.12869091652379</v>
      </c>
      <c r="H404" s="11">
        <f t="shared" si="10"/>
        <v>9904.76190476181</v>
      </c>
      <c r="I404" s="13"/>
      <c r="J404" s="13"/>
      <c r="K404" s="13"/>
      <c r="L404" s="13"/>
      <c r="M404" s="13"/>
      <c r="N404" s="13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75" customHeight="1">
      <c r="A405" s="37"/>
      <c r="B405" s="38">
        <f t="shared" si="11"/>
        <v>395</v>
      </c>
      <c r="C405" s="11">
        <f t="shared" si="12"/>
        <v>9904.76190476181</v>
      </c>
      <c r="D405" s="11">
        <f t="shared" si="7"/>
        <v>59.873483669174533</v>
      </c>
      <c r="E405" s="11">
        <f t="shared" si="8"/>
        <v>9964.6353884309847</v>
      </c>
      <c r="F405" s="11">
        <f t="shared" si="13"/>
        <v>380.95238095238096</v>
      </c>
      <c r="G405" s="11">
        <f t="shared" si="9"/>
        <v>440.82586462155552</v>
      </c>
      <c r="H405" s="11">
        <f t="shared" si="10"/>
        <v>9523.8095238094284</v>
      </c>
      <c r="I405" s="13"/>
      <c r="J405" s="13"/>
      <c r="K405" s="13"/>
      <c r="L405" s="13"/>
      <c r="M405" s="13"/>
      <c r="N405" s="13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75" customHeight="1">
      <c r="A406" s="37"/>
      <c r="B406" s="38">
        <f t="shared" si="11"/>
        <v>396</v>
      </c>
      <c r="C406" s="11">
        <f t="shared" si="12"/>
        <v>9523.8095238094284</v>
      </c>
      <c r="D406" s="11">
        <f t="shared" si="7"/>
        <v>57.570657374206256</v>
      </c>
      <c r="E406" s="11">
        <f t="shared" si="8"/>
        <v>9581.3801811836347</v>
      </c>
      <c r="F406" s="11">
        <f t="shared" si="13"/>
        <v>380.95238095238096</v>
      </c>
      <c r="G406" s="11">
        <f t="shared" si="9"/>
        <v>438.5230383265872</v>
      </c>
      <c r="H406" s="11">
        <f t="shared" si="10"/>
        <v>9142.8571428570467</v>
      </c>
      <c r="I406" s="13"/>
      <c r="J406" s="13"/>
      <c r="K406" s="13"/>
      <c r="L406" s="13"/>
      <c r="M406" s="13"/>
      <c r="N406" s="13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75" customHeight="1">
      <c r="A407" s="37"/>
      <c r="B407" s="38">
        <f t="shared" si="11"/>
        <v>397</v>
      </c>
      <c r="C407" s="11">
        <f t="shared" si="12"/>
        <v>9142.8571428570467</v>
      </c>
      <c r="D407" s="11">
        <f t="shared" si="7"/>
        <v>55.267831079237979</v>
      </c>
      <c r="E407" s="11">
        <f t="shared" si="8"/>
        <v>9198.1249739362847</v>
      </c>
      <c r="F407" s="11">
        <f t="shared" si="13"/>
        <v>380.95238095238096</v>
      </c>
      <c r="G407" s="11">
        <f t="shared" si="9"/>
        <v>436.22021203161893</v>
      </c>
      <c r="H407" s="11">
        <f t="shared" si="10"/>
        <v>8761.9047619046651</v>
      </c>
      <c r="I407" s="13"/>
      <c r="J407" s="13"/>
      <c r="K407" s="13"/>
      <c r="L407" s="13"/>
      <c r="M407" s="13"/>
      <c r="N407" s="13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75" customHeight="1">
      <c r="A408" s="37"/>
      <c r="B408" s="38">
        <f t="shared" si="11"/>
        <v>398</v>
      </c>
      <c r="C408" s="11">
        <f t="shared" si="12"/>
        <v>8761.9047619046651</v>
      </c>
      <c r="D408" s="11">
        <f t="shared" si="7"/>
        <v>52.965004784269702</v>
      </c>
      <c r="E408" s="11">
        <f t="shared" si="8"/>
        <v>8814.8697666889348</v>
      </c>
      <c r="F408" s="11">
        <f t="shared" si="13"/>
        <v>380.95238095238096</v>
      </c>
      <c r="G408" s="11">
        <f t="shared" si="9"/>
        <v>433.91738573665066</v>
      </c>
      <c r="H408" s="11">
        <f t="shared" si="10"/>
        <v>8380.9523809522834</v>
      </c>
      <c r="I408" s="13"/>
      <c r="J408" s="13"/>
      <c r="K408" s="13"/>
      <c r="L408" s="13"/>
      <c r="M408" s="13"/>
      <c r="N408" s="13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75" customHeight="1">
      <c r="A409" s="37"/>
      <c r="B409" s="38">
        <f t="shared" si="11"/>
        <v>399</v>
      </c>
      <c r="C409" s="11">
        <f t="shared" si="12"/>
        <v>8380.9523809522834</v>
      </c>
      <c r="D409" s="11">
        <f t="shared" si="7"/>
        <v>50.662178489301425</v>
      </c>
      <c r="E409" s="11">
        <f t="shared" si="8"/>
        <v>8431.6145594415848</v>
      </c>
      <c r="F409" s="11">
        <f t="shared" si="13"/>
        <v>380.95238095238096</v>
      </c>
      <c r="G409" s="11">
        <f t="shared" si="9"/>
        <v>431.61455944168239</v>
      </c>
      <c r="H409" s="11">
        <f t="shared" si="10"/>
        <v>7999.9999999999027</v>
      </c>
      <c r="I409" s="13"/>
      <c r="J409" s="13"/>
      <c r="K409" s="13"/>
      <c r="L409" s="13"/>
      <c r="M409" s="13"/>
      <c r="N409" s="13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75" customHeight="1">
      <c r="A410" s="37"/>
      <c r="B410" s="38">
        <f t="shared" si="11"/>
        <v>400</v>
      </c>
      <c r="C410" s="11">
        <f t="shared" si="12"/>
        <v>7999.9999999999027</v>
      </c>
      <c r="D410" s="11">
        <f t="shared" si="7"/>
        <v>48.359352194333148</v>
      </c>
      <c r="E410" s="11">
        <f t="shared" si="8"/>
        <v>8048.3593521942357</v>
      </c>
      <c r="F410" s="11">
        <f t="shared" si="13"/>
        <v>380.95238095238096</v>
      </c>
      <c r="G410" s="11">
        <f t="shared" si="9"/>
        <v>429.31173314671412</v>
      </c>
      <c r="H410" s="11">
        <f t="shared" si="10"/>
        <v>7619.0476190475219</v>
      </c>
      <c r="I410" s="13"/>
      <c r="J410" s="13"/>
      <c r="K410" s="13"/>
      <c r="L410" s="13"/>
      <c r="M410" s="13"/>
      <c r="N410" s="13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75" customHeight="1">
      <c r="A411" s="37"/>
      <c r="B411" s="38">
        <f t="shared" si="11"/>
        <v>401</v>
      </c>
      <c r="C411" s="11">
        <f t="shared" si="12"/>
        <v>7619.0476190475219</v>
      </c>
      <c r="D411" s="11">
        <f t="shared" si="7"/>
        <v>46.056525899364878</v>
      </c>
      <c r="E411" s="11">
        <f t="shared" si="8"/>
        <v>7665.1041449468867</v>
      </c>
      <c r="F411" s="11">
        <f t="shared" si="13"/>
        <v>380.95238095238096</v>
      </c>
      <c r="G411" s="11">
        <f t="shared" si="9"/>
        <v>427.00890685174585</v>
      </c>
      <c r="H411" s="11">
        <f t="shared" si="10"/>
        <v>7238.0952380951412</v>
      </c>
      <c r="I411" s="13"/>
      <c r="J411" s="13"/>
      <c r="K411" s="13"/>
      <c r="L411" s="13"/>
      <c r="M411" s="13"/>
      <c r="N411" s="13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75" customHeight="1">
      <c r="A412" s="37"/>
      <c r="B412" s="38">
        <f t="shared" si="11"/>
        <v>402</v>
      </c>
      <c r="C412" s="11">
        <f t="shared" si="12"/>
        <v>7238.0952380951412</v>
      </c>
      <c r="D412" s="11">
        <f t="shared" si="7"/>
        <v>43.753699604396608</v>
      </c>
      <c r="E412" s="11">
        <f t="shared" si="8"/>
        <v>7281.8489376995376</v>
      </c>
      <c r="F412" s="11">
        <f t="shared" si="13"/>
        <v>380.95238095238096</v>
      </c>
      <c r="G412" s="11">
        <f t="shared" si="9"/>
        <v>424.70608055677758</v>
      </c>
      <c r="H412" s="11">
        <f t="shared" si="10"/>
        <v>6857.1428571427605</v>
      </c>
      <c r="I412" s="13"/>
      <c r="J412" s="13"/>
      <c r="K412" s="13"/>
      <c r="L412" s="13"/>
      <c r="M412" s="13"/>
      <c r="N412" s="13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75" customHeight="1">
      <c r="A413" s="37"/>
      <c r="B413" s="38">
        <f t="shared" si="11"/>
        <v>403</v>
      </c>
      <c r="C413" s="11">
        <f t="shared" si="12"/>
        <v>6857.1428571427605</v>
      </c>
      <c r="D413" s="11">
        <f t="shared" si="7"/>
        <v>41.450873309428331</v>
      </c>
      <c r="E413" s="11">
        <f t="shared" si="8"/>
        <v>6898.5937304521885</v>
      </c>
      <c r="F413" s="11">
        <f t="shared" si="13"/>
        <v>380.95238095238096</v>
      </c>
      <c r="G413" s="11">
        <f t="shared" si="9"/>
        <v>422.40325426180931</v>
      </c>
      <c r="H413" s="11">
        <f t="shared" si="10"/>
        <v>6476.1904761903788</v>
      </c>
      <c r="I413" s="13"/>
      <c r="J413" s="13"/>
      <c r="K413" s="13"/>
      <c r="L413" s="13"/>
      <c r="M413" s="13"/>
      <c r="N413" s="13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75" customHeight="1">
      <c r="A414" s="37"/>
      <c r="B414" s="38">
        <f t="shared" si="11"/>
        <v>404</v>
      </c>
      <c r="C414" s="11">
        <f t="shared" si="12"/>
        <v>6476.1904761903788</v>
      </c>
      <c r="D414" s="11">
        <f t="shared" si="7"/>
        <v>39.148047014460055</v>
      </c>
      <c r="E414" s="11">
        <f t="shared" si="8"/>
        <v>6515.3385232048386</v>
      </c>
      <c r="F414" s="11">
        <f t="shared" si="13"/>
        <v>380.95238095238096</v>
      </c>
      <c r="G414" s="11">
        <f t="shared" si="9"/>
        <v>420.10042796684104</v>
      </c>
      <c r="H414" s="11">
        <f t="shared" si="10"/>
        <v>6095.2380952379972</v>
      </c>
      <c r="I414" s="13"/>
      <c r="J414" s="13"/>
      <c r="K414" s="13"/>
      <c r="L414" s="13"/>
      <c r="M414" s="13"/>
      <c r="N414" s="13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75" customHeight="1">
      <c r="A415" s="37"/>
      <c r="B415" s="38">
        <f t="shared" si="11"/>
        <v>405</v>
      </c>
      <c r="C415" s="11">
        <f t="shared" si="12"/>
        <v>6095.2380952379972</v>
      </c>
      <c r="D415" s="11">
        <f t="shared" si="7"/>
        <v>36.845220719491778</v>
      </c>
      <c r="E415" s="11">
        <f t="shared" si="8"/>
        <v>6132.0833159574886</v>
      </c>
      <c r="F415" s="11">
        <f t="shared" si="13"/>
        <v>380.95238095238096</v>
      </c>
      <c r="G415" s="11">
        <f t="shared" si="9"/>
        <v>417.79760167187271</v>
      </c>
      <c r="H415" s="11">
        <f t="shared" si="10"/>
        <v>5714.2857142856155</v>
      </c>
      <c r="I415" s="13"/>
      <c r="J415" s="13"/>
      <c r="K415" s="13"/>
      <c r="L415" s="13"/>
      <c r="M415" s="13"/>
      <c r="N415" s="13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75" customHeight="1">
      <c r="A416" s="37"/>
      <c r="B416" s="38">
        <f t="shared" si="11"/>
        <v>406</v>
      </c>
      <c r="C416" s="11">
        <f t="shared" si="12"/>
        <v>5714.2857142856155</v>
      </c>
      <c r="D416" s="11">
        <f t="shared" si="7"/>
        <v>34.542394424523501</v>
      </c>
      <c r="E416" s="11">
        <f t="shared" si="8"/>
        <v>5748.8281087101386</v>
      </c>
      <c r="F416" s="11">
        <f t="shared" si="13"/>
        <v>380.95238095238096</v>
      </c>
      <c r="G416" s="11">
        <f t="shared" si="9"/>
        <v>415.49477537690444</v>
      </c>
      <c r="H416" s="11">
        <f t="shared" si="10"/>
        <v>5333.3333333332339</v>
      </c>
      <c r="I416" s="13"/>
      <c r="J416" s="13"/>
      <c r="K416" s="13"/>
      <c r="L416" s="13"/>
      <c r="M416" s="13"/>
      <c r="N416" s="13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75" customHeight="1">
      <c r="A417" s="37"/>
      <c r="B417" s="38">
        <f t="shared" si="11"/>
        <v>407</v>
      </c>
      <c r="C417" s="11">
        <f t="shared" si="12"/>
        <v>5333.3333333332339</v>
      </c>
      <c r="D417" s="11">
        <f t="shared" si="7"/>
        <v>32.239568129555224</v>
      </c>
      <c r="E417" s="11">
        <f t="shared" si="8"/>
        <v>5365.5729014627896</v>
      </c>
      <c r="F417" s="11">
        <f t="shared" si="13"/>
        <v>380.95238095238096</v>
      </c>
      <c r="G417" s="11">
        <f t="shared" si="9"/>
        <v>413.19194908193617</v>
      </c>
      <c r="H417" s="11">
        <f t="shared" si="10"/>
        <v>4952.3809523808532</v>
      </c>
      <c r="I417" s="13"/>
      <c r="J417" s="13"/>
      <c r="K417" s="13"/>
      <c r="L417" s="13"/>
      <c r="M417" s="13"/>
      <c r="N417" s="13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75" customHeight="1">
      <c r="A418" s="37"/>
      <c r="B418" s="38">
        <f t="shared" si="11"/>
        <v>408</v>
      </c>
      <c r="C418" s="11">
        <f t="shared" si="12"/>
        <v>4952.3809523808532</v>
      </c>
      <c r="D418" s="11">
        <f t="shared" si="7"/>
        <v>29.936741834586954</v>
      </c>
      <c r="E418" s="11">
        <f t="shared" si="8"/>
        <v>4982.3176942154405</v>
      </c>
      <c r="F418" s="11">
        <f t="shared" si="13"/>
        <v>380.95238095238096</v>
      </c>
      <c r="G418" s="11">
        <f t="shared" si="9"/>
        <v>410.8891227869679</v>
      </c>
      <c r="H418" s="11">
        <f t="shared" si="10"/>
        <v>4571.4285714284724</v>
      </c>
      <c r="I418" s="13"/>
      <c r="J418" s="13"/>
      <c r="K418" s="13"/>
      <c r="L418" s="13"/>
      <c r="M418" s="13"/>
      <c r="N418" s="13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75" customHeight="1">
      <c r="A419" s="37"/>
      <c r="B419" s="38">
        <f t="shared" si="11"/>
        <v>409</v>
      </c>
      <c r="C419" s="11">
        <f t="shared" si="12"/>
        <v>4571.4285714284724</v>
      </c>
      <c r="D419" s="11">
        <f t="shared" si="7"/>
        <v>27.63391553961868</v>
      </c>
      <c r="E419" s="11">
        <f t="shared" si="8"/>
        <v>4599.0624869680914</v>
      </c>
      <c r="F419" s="11">
        <f t="shared" si="13"/>
        <v>380.95238095238096</v>
      </c>
      <c r="G419" s="11">
        <f t="shared" si="9"/>
        <v>408.58629649199963</v>
      </c>
      <c r="H419" s="11">
        <f t="shared" si="10"/>
        <v>4190.4761904760917</v>
      </c>
      <c r="I419" s="13"/>
      <c r="J419" s="13"/>
      <c r="K419" s="13"/>
      <c r="L419" s="13"/>
      <c r="M419" s="13"/>
      <c r="N419" s="13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75" customHeight="1">
      <c r="A420" s="37"/>
      <c r="B420" s="38">
        <f t="shared" si="11"/>
        <v>410</v>
      </c>
      <c r="C420" s="11">
        <f t="shared" si="12"/>
        <v>4190.4761904760917</v>
      </c>
      <c r="D420" s="11">
        <f t="shared" si="7"/>
        <v>25.331089244650407</v>
      </c>
      <c r="E420" s="11">
        <f t="shared" si="8"/>
        <v>4215.8072797207424</v>
      </c>
      <c r="F420" s="11">
        <f t="shared" si="13"/>
        <v>380.95238095238096</v>
      </c>
      <c r="G420" s="11">
        <f t="shared" si="9"/>
        <v>406.28347019703136</v>
      </c>
      <c r="H420" s="11">
        <f t="shared" si="10"/>
        <v>3809.523809523711</v>
      </c>
      <c r="I420" s="13"/>
      <c r="J420" s="13"/>
      <c r="K420" s="13"/>
      <c r="L420" s="13"/>
      <c r="M420" s="13"/>
      <c r="N420" s="13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75" customHeight="1">
      <c r="A421" s="37"/>
      <c r="B421" s="38">
        <f t="shared" si="11"/>
        <v>411</v>
      </c>
      <c r="C421" s="11">
        <f t="shared" si="12"/>
        <v>3809.523809523711</v>
      </c>
      <c r="D421" s="11">
        <f t="shared" si="7"/>
        <v>23.028262949682137</v>
      </c>
      <c r="E421" s="11">
        <f t="shared" si="8"/>
        <v>3832.5520724733933</v>
      </c>
      <c r="F421" s="11">
        <f t="shared" si="13"/>
        <v>380.95238095238096</v>
      </c>
      <c r="G421" s="11">
        <f t="shared" si="9"/>
        <v>403.98064390206309</v>
      </c>
      <c r="H421" s="11">
        <f t="shared" si="10"/>
        <v>3428.5714285713302</v>
      </c>
      <c r="I421" s="13"/>
      <c r="J421" s="13"/>
      <c r="K421" s="13"/>
      <c r="L421" s="13"/>
      <c r="M421" s="13"/>
      <c r="N421" s="13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75" customHeight="1">
      <c r="A422" s="37"/>
      <c r="B422" s="38">
        <f t="shared" si="11"/>
        <v>412</v>
      </c>
      <c r="C422" s="11">
        <f t="shared" si="12"/>
        <v>3428.5714285713302</v>
      </c>
      <c r="D422" s="11">
        <f t="shared" si="7"/>
        <v>20.725436654713864</v>
      </c>
      <c r="E422" s="11">
        <f t="shared" si="8"/>
        <v>3449.2968652260442</v>
      </c>
      <c r="F422" s="11">
        <f t="shared" si="13"/>
        <v>380.95238095238096</v>
      </c>
      <c r="G422" s="11">
        <f t="shared" si="9"/>
        <v>401.67781760709482</v>
      </c>
      <c r="H422" s="11">
        <f t="shared" si="10"/>
        <v>3047.6190476189495</v>
      </c>
      <c r="I422" s="13"/>
      <c r="J422" s="13"/>
      <c r="K422" s="13"/>
      <c r="L422" s="13"/>
      <c r="M422" s="13"/>
      <c r="N422" s="13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75" customHeight="1">
      <c r="A423" s="37"/>
      <c r="B423" s="38">
        <f t="shared" si="11"/>
        <v>413</v>
      </c>
      <c r="C423" s="11">
        <f t="shared" si="12"/>
        <v>3047.6190476189495</v>
      </c>
      <c r="D423" s="11">
        <f t="shared" si="7"/>
        <v>18.422610359745594</v>
      </c>
      <c r="E423" s="11">
        <f t="shared" si="8"/>
        <v>3066.0416579786952</v>
      </c>
      <c r="F423" s="11">
        <f t="shared" si="13"/>
        <v>380.95238095238096</v>
      </c>
      <c r="G423" s="11">
        <f t="shared" si="9"/>
        <v>399.37499131212655</v>
      </c>
      <c r="H423" s="11">
        <f t="shared" si="10"/>
        <v>2666.6666666665687</v>
      </c>
      <c r="I423" s="13"/>
      <c r="J423" s="13"/>
      <c r="K423" s="13"/>
      <c r="L423" s="13"/>
      <c r="M423" s="13"/>
      <c r="N423" s="13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75" customHeight="1">
      <c r="A424" s="37"/>
      <c r="B424" s="38">
        <f t="shared" si="11"/>
        <v>414</v>
      </c>
      <c r="C424" s="11">
        <f t="shared" si="12"/>
        <v>2666.6666666665687</v>
      </c>
      <c r="D424" s="11">
        <f t="shared" si="7"/>
        <v>16.119784064777321</v>
      </c>
      <c r="E424" s="11">
        <f t="shared" si="8"/>
        <v>2682.7864507313461</v>
      </c>
      <c r="F424" s="11">
        <f t="shared" si="13"/>
        <v>380.95238095238096</v>
      </c>
      <c r="G424" s="11">
        <f t="shared" si="9"/>
        <v>397.07216501715828</v>
      </c>
      <c r="H424" s="11">
        <f t="shared" si="10"/>
        <v>2285.714285714188</v>
      </c>
      <c r="I424" s="13"/>
      <c r="J424" s="13"/>
      <c r="K424" s="13"/>
      <c r="L424" s="13"/>
      <c r="M424" s="13"/>
      <c r="N424" s="13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75" customHeight="1">
      <c r="A425" s="37"/>
      <c r="B425" s="38">
        <f t="shared" si="11"/>
        <v>415</v>
      </c>
      <c r="C425" s="11">
        <f t="shared" si="12"/>
        <v>2285.714285714188</v>
      </c>
      <c r="D425" s="11">
        <f t="shared" si="7"/>
        <v>13.816957769809049</v>
      </c>
      <c r="E425" s="11">
        <f t="shared" si="8"/>
        <v>2299.5312434839971</v>
      </c>
      <c r="F425" s="11">
        <f t="shared" si="13"/>
        <v>380.95238095238096</v>
      </c>
      <c r="G425" s="11">
        <f t="shared" si="9"/>
        <v>394.76933872219001</v>
      </c>
      <c r="H425" s="11">
        <f t="shared" si="10"/>
        <v>1904.761904761807</v>
      </c>
      <c r="I425" s="13"/>
      <c r="J425" s="13"/>
      <c r="K425" s="13"/>
      <c r="L425" s="13"/>
      <c r="M425" s="13"/>
      <c r="N425" s="13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75" customHeight="1">
      <c r="A426" s="37"/>
      <c r="B426" s="38">
        <f t="shared" si="11"/>
        <v>416</v>
      </c>
      <c r="C426" s="11">
        <f t="shared" si="12"/>
        <v>1904.761904761807</v>
      </c>
      <c r="D426" s="11">
        <f t="shared" si="7"/>
        <v>11.514131474840775</v>
      </c>
      <c r="E426" s="11">
        <f t="shared" si="8"/>
        <v>1916.2760362366478</v>
      </c>
      <c r="F426" s="11">
        <f t="shared" si="13"/>
        <v>380.95238095238096</v>
      </c>
      <c r="G426" s="11">
        <f t="shared" si="9"/>
        <v>392.46651242722174</v>
      </c>
      <c r="H426" s="11">
        <f t="shared" si="10"/>
        <v>1523.8095238094261</v>
      </c>
      <c r="I426" s="13"/>
      <c r="J426" s="13"/>
      <c r="K426" s="13"/>
      <c r="L426" s="13"/>
      <c r="M426" s="13"/>
      <c r="N426" s="13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75" customHeight="1">
      <c r="A427" s="37"/>
      <c r="B427" s="38">
        <f t="shared" si="11"/>
        <v>417</v>
      </c>
      <c r="C427" s="11">
        <f t="shared" si="12"/>
        <v>1523.8095238094261</v>
      </c>
      <c r="D427" s="11">
        <f t="shared" si="7"/>
        <v>9.2113051798725021</v>
      </c>
      <c r="E427" s="11">
        <f t="shared" si="8"/>
        <v>1533.0208289892985</v>
      </c>
      <c r="F427" s="11">
        <f t="shared" si="13"/>
        <v>380.95238095238096</v>
      </c>
      <c r="G427" s="11">
        <f t="shared" si="9"/>
        <v>390.16368613225347</v>
      </c>
      <c r="H427" s="11">
        <f t="shared" si="10"/>
        <v>1142.8571428570449</v>
      </c>
      <c r="I427" s="13"/>
      <c r="J427" s="13"/>
      <c r="K427" s="13"/>
      <c r="L427" s="13"/>
      <c r="M427" s="13"/>
      <c r="N427" s="13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75" customHeight="1">
      <c r="A428" s="37"/>
      <c r="B428" s="38">
        <f t="shared" si="11"/>
        <v>418</v>
      </c>
      <c r="C428" s="11">
        <f t="shared" si="12"/>
        <v>1142.8571428570449</v>
      </c>
      <c r="D428" s="11">
        <f t="shared" si="7"/>
        <v>6.9084788849042278</v>
      </c>
      <c r="E428" s="11">
        <f t="shared" si="8"/>
        <v>1149.7656217419492</v>
      </c>
      <c r="F428" s="11">
        <f t="shared" si="13"/>
        <v>380.95238095238096</v>
      </c>
      <c r="G428" s="11">
        <f t="shared" si="9"/>
        <v>387.8608598372852</v>
      </c>
      <c r="H428" s="11">
        <f t="shared" si="10"/>
        <v>761.90476190466393</v>
      </c>
      <c r="I428" s="13"/>
      <c r="J428" s="13"/>
      <c r="K428" s="13"/>
      <c r="L428" s="13"/>
      <c r="M428" s="13"/>
      <c r="N428" s="13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75" customHeight="1">
      <c r="A429" s="37"/>
      <c r="B429" s="38">
        <f t="shared" si="11"/>
        <v>419</v>
      </c>
      <c r="C429" s="11">
        <f t="shared" si="12"/>
        <v>761.90476190466393</v>
      </c>
      <c r="D429" s="11">
        <f t="shared" si="7"/>
        <v>4.6056525899359544</v>
      </c>
      <c r="E429" s="11">
        <f t="shared" si="8"/>
        <v>766.5104144945999</v>
      </c>
      <c r="F429" s="11">
        <f t="shared" si="13"/>
        <v>380.95238095238096</v>
      </c>
      <c r="G429" s="11">
        <f t="shared" si="9"/>
        <v>385.55803354231693</v>
      </c>
      <c r="H429" s="11">
        <f t="shared" si="10"/>
        <v>380.95238095228297</v>
      </c>
      <c r="I429" s="13"/>
      <c r="J429" s="13"/>
      <c r="K429" s="13"/>
      <c r="L429" s="13"/>
      <c r="M429" s="13"/>
      <c r="N429" s="13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75" customHeight="1">
      <c r="A430" s="37"/>
      <c r="B430" s="38">
        <f t="shared" si="11"/>
        <v>420</v>
      </c>
      <c r="C430" s="11">
        <f t="shared" si="12"/>
        <v>380.95238095228297</v>
      </c>
      <c r="D430" s="11">
        <f t="shared" si="7"/>
        <v>2.302826294967681</v>
      </c>
      <c r="E430" s="11">
        <f t="shared" si="8"/>
        <v>383.25520724725067</v>
      </c>
      <c r="F430" s="11">
        <f t="shared" si="13"/>
        <v>380.95238095238096</v>
      </c>
      <c r="G430" s="11">
        <f t="shared" si="9"/>
        <v>383.25520724734866</v>
      </c>
      <c r="H430" s="11">
        <f t="shared" si="10"/>
        <v>-9.7998054116033018E-11</v>
      </c>
      <c r="I430" s="13"/>
      <c r="J430" s="13"/>
      <c r="K430" s="13"/>
      <c r="L430" s="13"/>
      <c r="M430" s="13"/>
      <c r="N430" s="13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75" customHeight="1">
      <c r="A431" s="259"/>
      <c r="B431" s="260"/>
      <c r="C431" s="260"/>
      <c r="D431" s="39">
        <f>SUM(D11:D430)</f>
        <v>203592.8727381448</v>
      </c>
      <c r="E431" s="260"/>
      <c r="F431" s="39">
        <f t="shared" ref="F431:G431" si="14">SUM(F11:F430)</f>
        <v>159999.99999999916</v>
      </c>
      <c r="G431" s="39">
        <f t="shared" si="14"/>
        <v>363592.87273814477</v>
      </c>
      <c r="H431" s="260"/>
      <c r="I431" s="260"/>
      <c r="J431" s="260"/>
      <c r="K431" s="260"/>
      <c r="L431" s="260"/>
      <c r="M431" s="260"/>
      <c r="N431" s="260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</row>
    <row r="432" spans="1:25" ht="15.75" customHeight="1">
      <c r="A432" s="40"/>
      <c r="B432" s="258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41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</row>
    <row r="433" spans="1:25" ht="15.75" customHeight="1">
      <c r="A433" s="40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41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</row>
    <row r="434" spans="1:25" ht="15.75" customHeight="1">
      <c r="A434" s="40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41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</row>
    <row r="435" spans="1:25" ht="15.75" customHeight="1">
      <c r="A435" s="40"/>
      <c r="B435" s="258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41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</row>
    <row r="436" spans="1:25" ht="15.75" customHeight="1">
      <c r="A436" s="40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41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</row>
    <row r="437" spans="1:25" ht="15.75" customHeight="1">
      <c r="A437" s="40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41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</row>
    <row r="438" spans="1:25" ht="15.75" customHeight="1">
      <c r="A438" s="40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41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</row>
    <row r="439" spans="1:25" ht="15.75" customHeight="1">
      <c r="A439" s="40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41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</row>
    <row r="440" spans="1:25" ht="15.75" customHeight="1">
      <c r="A440" s="40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41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</row>
    <row r="441" spans="1:25" ht="15.75" customHeight="1">
      <c r="A441" s="40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41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</row>
    <row r="442" spans="1:25" ht="15.75" customHeight="1">
      <c r="A442" s="40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41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</row>
    <row r="443" spans="1:25" ht="15.75" customHeight="1">
      <c r="A443" s="40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41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</row>
    <row r="444" spans="1:25" ht="15.75" customHeight="1">
      <c r="A444" s="40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41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</row>
    <row r="445" spans="1:25" ht="15.75" customHeight="1">
      <c r="A445" s="40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41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</row>
    <row r="446" spans="1:25" ht="15.75" customHeight="1">
      <c r="A446" s="40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41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</row>
    <row r="447" spans="1:25" ht="15.75" customHeight="1">
      <c r="A447" s="40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41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</row>
    <row r="448" spans="1:25" ht="15.75" customHeight="1">
      <c r="A448" s="40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41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</row>
    <row r="449" spans="1:25" ht="15.75" customHeight="1">
      <c r="A449" s="40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41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</row>
    <row r="450" spans="1:25" ht="15.75" customHeight="1">
      <c r="A450" s="40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41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</row>
    <row r="451" spans="1:25" ht="15.75" customHeight="1">
      <c r="A451" s="40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41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</row>
    <row r="452" spans="1:25" ht="15.75" customHeight="1">
      <c r="A452" s="40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41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</row>
    <row r="453" spans="1:25" ht="15.75" customHeight="1">
      <c r="A453" s="40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41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</row>
    <row r="454" spans="1:25" ht="15.75" customHeight="1">
      <c r="A454" s="40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41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</row>
    <row r="455" spans="1:25" ht="15.75" customHeight="1">
      <c r="A455" s="40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41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</row>
    <row r="456" spans="1:25" ht="15.75" customHeight="1">
      <c r="A456" s="40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41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</row>
    <row r="457" spans="1:25" ht="15.75" customHeight="1">
      <c r="A457" s="40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41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</row>
    <row r="458" spans="1:25" ht="15.75" customHeight="1">
      <c r="A458" s="40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41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</row>
    <row r="459" spans="1:25" ht="15.75" customHeight="1">
      <c r="A459" s="40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41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</row>
    <row r="460" spans="1:25" ht="15.75" customHeight="1">
      <c r="A460" s="40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41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</row>
    <row r="461" spans="1:25" ht="15.75" customHeight="1">
      <c r="A461" s="40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41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</row>
    <row r="462" spans="1:25" ht="15.75" customHeight="1">
      <c r="A462" s="40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41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</row>
    <row r="463" spans="1:25" ht="15.75" customHeight="1">
      <c r="A463" s="40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41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</row>
    <row r="464" spans="1:25" ht="15.75" customHeight="1">
      <c r="A464" s="40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41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</row>
    <row r="465" spans="1:25" ht="15.75" customHeight="1">
      <c r="A465" s="40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41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</row>
    <row r="466" spans="1:25" ht="15.75" customHeight="1">
      <c r="A466" s="40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41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</row>
    <row r="467" spans="1:25" ht="15.75" customHeight="1">
      <c r="A467" s="40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41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</row>
    <row r="468" spans="1:25" ht="15.75" customHeight="1">
      <c r="A468" s="40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41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</row>
    <row r="469" spans="1:25" ht="15.75" customHeight="1">
      <c r="A469" s="40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41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</row>
    <row r="470" spans="1:25" ht="15.75" customHeight="1">
      <c r="A470" s="40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41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</row>
    <row r="471" spans="1:25" ht="15.75" customHeight="1">
      <c r="A471" s="40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41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</row>
    <row r="472" spans="1:25" ht="15.75" customHeight="1">
      <c r="A472" s="40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41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</row>
    <row r="473" spans="1:25" ht="15.75" customHeight="1">
      <c r="A473" s="40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41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</row>
    <row r="474" spans="1:25" ht="15.75" customHeight="1">
      <c r="A474" s="40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41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</row>
    <row r="475" spans="1:25" ht="15.75" customHeight="1">
      <c r="A475" s="40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41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</row>
    <row r="476" spans="1:25" ht="15.75" customHeight="1">
      <c r="A476" s="40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41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</row>
    <row r="477" spans="1:25" ht="15.75" customHeight="1">
      <c r="A477" s="40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41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</row>
    <row r="478" spans="1:25" ht="15.75" customHeight="1">
      <c r="A478" s="40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41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</row>
    <row r="479" spans="1:25" ht="15.75" customHeight="1">
      <c r="A479" s="40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41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</row>
    <row r="480" spans="1:25" ht="15.75" customHeight="1">
      <c r="A480" s="40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41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</row>
    <row r="481" spans="1:25" ht="15.75" customHeight="1">
      <c r="A481" s="40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41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</row>
    <row r="482" spans="1:25" ht="15.75" customHeight="1">
      <c r="A482" s="40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41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</row>
    <row r="483" spans="1:25" ht="15.75" customHeight="1">
      <c r="A483" s="40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41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</row>
    <row r="484" spans="1:25" ht="15.75" customHeight="1">
      <c r="A484" s="40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41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</row>
    <row r="485" spans="1:25" ht="15.75" customHeight="1">
      <c r="A485" s="40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41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</row>
    <row r="486" spans="1:25" ht="15.75" customHeight="1">
      <c r="A486" s="40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41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</row>
    <row r="487" spans="1:25" ht="15.75" customHeight="1">
      <c r="A487" s="40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41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</row>
    <row r="488" spans="1:25" ht="15.75" customHeight="1">
      <c r="A488" s="40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41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</row>
    <row r="489" spans="1:25" ht="15.75" customHeight="1">
      <c r="A489" s="40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41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</row>
    <row r="490" spans="1:25" ht="15.75" customHeight="1">
      <c r="A490" s="40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41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</row>
    <row r="491" spans="1:25" ht="15.75" customHeight="1">
      <c r="A491" s="40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41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</row>
    <row r="492" spans="1:25" ht="15.75" customHeight="1">
      <c r="A492" s="40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41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</row>
    <row r="493" spans="1:25" ht="15.75" customHeight="1">
      <c r="A493" s="40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41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</row>
    <row r="494" spans="1:25" ht="15.75" customHeight="1">
      <c r="A494" s="40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41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</row>
    <row r="495" spans="1:25" ht="15.75" customHeight="1">
      <c r="A495" s="40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41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</row>
    <row r="496" spans="1:25" ht="15.75" customHeight="1">
      <c r="A496" s="40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41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</row>
    <row r="497" spans="1:25" ht="15.75" customHeight="1">
      <c r="A497" s="40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41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</row>
    <row r="498" spans="1:25" ht="15.75" customHeight="1">
      <c r="A498" s="40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41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</row>
    <row r="499" spans="1:25" ht="15.75" customHeight="1">
      <c r="A499" s="40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41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</row>
    <row r="500" spans="1:25" ht="15.75" customHeight="1">
      <c r="A500" s="40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41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</row>
    <row r="501" spans="1:25" ht="15.75" customHeight="1">
      <c r="A501" s="40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41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</row>
    <row r="502" spans="1:25" ht="15.75" customHeight="1">
      <c r="A502" s="40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41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</row>
    <row r="503" spans="1:25" ht="15.75" customHeight="1">
      <c r="A503" s="4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43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5.75" customHeight="1">
      <c r="A504" s="4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43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5.75" customHeight="1">
      <c r="A505" s="4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43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5.75" customHeight="1">
      <c r="A506" s="4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43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5.75" customHeight="1">
      <c r="A507" s="4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43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5.75" customHeight="1">
      <c r="A508" s="4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43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5.75" customHeight="1">
      <c r="A509" s="4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43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5.75" customHeight="1">
      <c r="A510" s="4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43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5.75" customHeight="1">
      <c r="A511" s="4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43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5.75" customHeight="1">
      <c r="A512" s="4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43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5.75" customHeight="1">
      <c r="A513" s="4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43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5.75" customHeight="1">
      <c r="A514" s="4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43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5.75" customHeight="1">
      <c r="A515" s="4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43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5.75" customHeight="1">
      <c r="A516" s="4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43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5.75" customHeight="1">
      <c r="A517" s="4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43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5.75" customHeight="1">
      <c r="A518" s="4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43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5.75" customHeight="1">
      <c r="A519" s="4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43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5.75" customHeight="1">
      <c r="A520" s="4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43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5.75" customHeight="1">
      <c r="A521" s="4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43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5.75" customHeight="1">
      <c r="A522" s="4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43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5.75" customHeight="1">
      <c r="A523" s="4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43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5.75" customHeight="1">
      <c r="A524" s="4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43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5.75" customHeight="1">
      <c r="A525" s="4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43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5.75" customHeight="1">
      <c r="A526" s="4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43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5.75" customHeight="1">
      <c r="A527" s="4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43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5.75" customHeight="1">
      <c r="A528" s="4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43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5.75" customHeight="1">
      <c r="A529" s="4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43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5.75" customHeight="1">
      <c r="A530" s="4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43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5.75" customHeight="1">
      <c r="A531" s="4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43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5.75" customHeight="1">
      <c r="A532" s="4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43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5.75" customHeight="1">
      <c r="A533" s="4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43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5.75" customHeight="1">
      <c r="A534" s="4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43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5.75" customHeight="1">
      <c r="A535" s="4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43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5.75" customHeight="1">
      <c r="A536" s="4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43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5.75" customHeight="1">
      <c r="A537" s="4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43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5.75" customHeight="1">
      <c r="A538" s="4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43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5.75" customHeight="1">
      <c r="A539" s="4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43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5.75" customHeight="1">
      <c r="A540" s="4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43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5.75" customHeight="1">
      <c r="A541" s="4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43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5.75" customHeight="1">
      <c r="A542" s="4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43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5.75" customHeight="1">
      <c r="A543" s="4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43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5.75" customHeight="1">
      <c r="A544" s="4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43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5.75" customHeight="1">
      <c r="A545" s="4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43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5.75" customHeight="1">
      <c r="A546" s="4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43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5.75" customHeight="1">
      <c r="A547" s="4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43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5.75" customHeight="1">
      <c r="A548" s="4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43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5.75" customHeight="1">
      <c r="A549" s="4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43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5.75" customHeight="1">
      <c r="A550" s="4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43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5.75" customHeight="1">
      <c r="A551" s="4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43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5.75" customHeight="1">
      <c r="A552" s="4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43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5.75" customHeight="1">
      <c r="A553" s="4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43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5.75" customHeight="1">
      <c r="A554" s="4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43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5.75" customHeight="1">
      <c r="A555" s="4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43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5.75" customHeight="1">
      <c r="A556" s="4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43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5.75" customHeight="1">
      <c r="A557" s="4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43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5.75" customHeight="1">
      <c r="A558" s="4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43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5.75" customHeight="1">
      <c r="A559" s="4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43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5.75" customHeight="1">
      <c r="A560" s="4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43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5.75" customHeight="1">
      <c r="A561" s="4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43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5.75" customHeight="1">
      <c r="A562" s="4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43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5.75" customHeight="1">
      <c r="A563" s="4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43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5.75" customHeight="1">
      <c r="A564" s="4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43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5.75" customHeight="1">
      <c r="A565" s="4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43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5.75" customHeight="1">
      <c r="A566" s="4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43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5.75" customHeight="1">
      <c r="A567" s="4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43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5.75" customHeight="1">
      <c r="A568" s="4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43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5.75" customHeight="1">
      <c r="A569" s="4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43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5.75" customHeight="1">
      <c r="A570" s="4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43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5.75" customHeight="1">
      <c r="A571" s="4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43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5.75" customHeight="1">
      <c r="A572" s="4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43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5.75" customHeight="1">
      <c r="A573" s="4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43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5.75" customHeight="1">
      <c r="A574" s="4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43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5.75" customHeight="1">
      <c r="A575" s="4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43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5.75" customHeight="1">
      <c r="A576" s="4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43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5.75" customHeight="1">
      <c r="A577" s="4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43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5.75" customHeight="1">
      <c r="A578" s="4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43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5.75" customHeight="1">
      <c r="A579" s="4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43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5.75" customHeight="1">
      <c r="A580" s="4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43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5.75" customHeight="1">
      <c r="A581" s="4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43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5.75" customHeight="1">
      <c r="A582" s="4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43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5.75" customHeight="1">
      <c r="A583" s="4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43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5.75" customHeight="1">
      <c r="A584" s="4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43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5.75" customHeight="1">
      <c r="A585" s="4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43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5.75" customHeight="1">
      <c r="A586" s="4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43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5.75" customHeight="1">
      <c r="A587" s="4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43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5.75" customHeight="1">
      <c r="A588" s="4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43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5.75" customHeight="1">
      <c r="A589" s="4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43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5.75" customHeight="1">
      <c r="A590" s="4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43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5.75" customHeight="1">
      <c r="A591" s="4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43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5.75" customHeight="1">
      <c r="A592" s="4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43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5.75" customHeight="1">
      <c r="A593" s="4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43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5.75" customHeight="1">
      <c r="A594" s="4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43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5.75" customHeight="1">
      <c r="A595" s="4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43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5.75" customHeight="1">
      <c r="A596" s="4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43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5.75" customHeight="1">
      <c r="A597" s="4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43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5.75" customHeight="1">
      <c r="A598" s="4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43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5.75" customHeight="1">
      <c r="A599" s="4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43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5.75" customHeight="1">
      <c r="A600" s="4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43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5.75" customHeight="1">
      <c r="A601" s="4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43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5.75" customHeight="1">
      <c r="A602" s="4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43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5.75" customHeight="1">
      <c r="A603" s="4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43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5.75" customHeight="1">
      <c r="A604" s="4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43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5.75" customHeight="1">
      <c r="A605" s="4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43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5.75" customHeight="1">
      <c r="A606" s="4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43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5.75" customHeight="1">
      <c r="A607" s="4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43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5.75" customHeight="1">
      <c r="A608" s="4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43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5.75" customHeight="1">
      <c r="A609" s="4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43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5.75" customHeight="1">
      <c r="A610" s="4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43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5.75" customHeight="1">
      <c r="A611" s="4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43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5.75" customHeight="1">
      <c r="A612" s="4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43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5.75" customHeight="1">
      <c r="A613" s="4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43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5.75" customHeight="1">
      <c r="A614" s="4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43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5.75" customHeight="1">
      <c r="A615" s="4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43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5.75" customHeight="1">
      <c r="A616" s="4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43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5.75" customHeight="1">
      <c r="A617" s="4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43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5.75" customHeight="1">
      <c r="A618" s="4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43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5.75" customHeight="1">
      <c r="A619" s="4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43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5.75" customHeight="1">
      <c r="A620" s="4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43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5.75" customHeight="1">
      <c r="A621" s="4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43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5.75" customHeight="1">
      <c r="A622" s="4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43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5.75" customHeight="1">
      <c r="A623" s="4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43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5.75" customHeight="1">
      <c r="A624" s="4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43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5.75" customHeight="1">
      <c r="A625" s="4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43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5.75" customHeight="1">
      <c r="A626" s="4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5.75" customHeight="1">
      <c r="A627" s="4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5.75" customHeight="1">
      <c r="A628" s="4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5.75" customHeight="1">
      <c r="A629" s="4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5.75" customHeight="1">
      <c r="A630" s="4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5.75" customHeight="1">
      <c r="A631" s="4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</row>
    <row r="633" spans="1:25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</row>
    <row r="634" spans="1:25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</row>
    <row r="635" spans="1:2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</row>
    <row r="636" spans="1:25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</row>
    <row r="637" spans="1:25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</row>
    <row r="638" spans="1:25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</row>
    <row r="639" spans="1:25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</row>
    <row r="640" spans="1:25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3"/>
  </mergeCells>
  <conditionalFormatting sqref="B1:J1 C2:J3">
    <cfRule type="cellIs" dxfId="13" priority="2" operator="lessThan">
      <formula>0</formula>
    </cfRule>
  </conditionalFormatting>
  <conditionalFormatting sqref="K1:P3 B4:P1000">
    <cfRule type="cellIs" dxfId="12" priority="1" operator="lessThan">
      <formula>0</formula>
    </cfRule>
  </conditionalFormatting>
  <hyperlinks>
    <hyperlink ref="B1" r:id="rId1" xr:uid="{00000000-0004-0000-07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F84A7"/>
    <outlinePr summaryBelow="0" summaryRight="0"/>
  </sheetPr>
  <dimension ref="A1:Y1000"/>
  <sheetViews>
    <sheetView showGridLines="0"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2" max="9" width="13" customWidth="1"/>
    <col min="10" max="13" width="13.28515625" customWidth="1"/>
    <col min="14" max="14" width="10.7109375" customWidth="1"/>
  </cols>
  <sheetData>
    <row r="1" spans="1:2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1"/>
      <c r="K1" s="30"/>
      <c r="L1" s="30"/>
      <c r="M1" s="30"/>
      <c r="N1" s="31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2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30"/>
      <c r="N2" s="31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30"/>
      <c r="L3" s="30"/>
      <c r="M3" s="30"/>
      <c r="N3" s="31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</row>
    <row r="4" spans="1:25" ht="15.75" customHeight="1">
      <c r="A4" s="212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</row>
    <row r="5" spans="1:25" ht="15.75" customHeight="1">
      <c r="A5" s="212"/>
      <c r="B5" s="252" t="s">
        <v>60</v>
      </c>
      <c r="C5" s="30"/>
      <c r="D5" s="30"/>
      <c r="E5" s="240" t="s">
        <v>5</v>
      </c>
      <c r="F5" s="30"/>
      <c r="G5" s="240" t="s">
        <v>5</v>
      </c>
      <c r="H5" s="30"/>
      <c r="I5" s="30"/>
      <c r="J5" s="30"/>
      <c r="K5" s="30"/>
      <c r="L5" s="30"/>
      <c r="M5" s="30"/>
      <c r="N5" s="31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</row>
    <row r="6" spans="1:25" ht="15.75" customHeight="1">
      <c r="A6" s="212"/>
      <c r="B6" s="30"/>
      <c r="C6" s="30"/>
      <c r="D6" s="253" t="s">
        <v>43</v>
      </c>
      <c r="E6" s="22">
        <v>200000</v>
      </c>
      <c r="F6" s="253" t="s">
        <v>44</v>
      </c>
      <c r="G6" s="18">
        <v>0.8</v>
      </c>
      <c r="H6" s="30"/>
      <c r="I6" s="30"/>
      <c r="J6" s="30"/>
      <c r="K6" s="30"/>
      <c r="L6" s="31"/>
      <c r="M6" s="253" t="s">
        <v>45</v>
      </c>
      <c r="N6" s="254">
        <f>D431</f>
        <v>281331.62857096264</v>
      </c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</row>
    <row r="7" spans="1:25" ht="15.75" customHeight="1">
      <c r="A7" s="212"/>
      <c r="B7" s="32"/>
      <c r="C7" s="6"/>
      <c r="D7" s="30"/>
      <c r="E7" s="6"/>
      <c r="F7" s="30"/>
      <c r="G7" s="6"/>
      <c r="H7" s="30"/>
      <c r="I7" s="30"/>
      <c r="J7" s="30"/>
      <c r="K7" s="30"/>
      <c r="L7" s="30"/>
      <c r="M7" s="253" t="s">
        <v>46</v>
      </c>
      <c r="N7" s="254">
        <f>F431</f>
        <v>160000.00000000361</v>
      </c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</row>
    <row r="8" spans="1:25" ht="15.75" customHeight="1">
      <c r="A8" s="212"/>
      <c r="B8" s="255" t="s">
        <v>47</v>
      </c>
      <c r="C8" s="254">
        <f>E6*G6</f>
        <v>160000</v>
      </c>
      <c r="D8" s="253" t="s">
        <v>48</v>
      </c>
      <c r="E8" s="33">
        <v>420</v>
      </c>
      <c r="F8" s="255" t="s">
        <v>49</v>
      </c>
      <c r="G8" s="34">
        <v>7.4999999999999997E-2</v>
      </c>
      <c r="H8" s="255" t="s">
        <v>50</v>
      </c>
      <c r="I8" s="256">
        <f>(1+G8)^(1/12)-1</f>
        <v>6.0449190242917172E-3</v>
      </c>
      <c r="J8" s="253" t="s">
        <v>51</v>
      </c>
      <c r="K8" s="254">
        <f>G11/0.3</f>
        <v>3502.6319727854466</v>
      </c>
      <c r="L8" s="30"/>
      <c r="M8" s="257" t="s">
        <v>52</v>
      </c>
      <c r="N8" s="254">
        <f>G431</f>
        <v>441331.62857096747</v>
      </c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</row>
    <row r="9" spans="1:25" ht="15.75" customHeight="1">
      <c r="A9" s="212"/>
      <c r="B9" s="31"/>
      <c r="C9" s="31"/>
      <c r="D9" s="30"/>
      <c r="E9" s="32"/>
      <c r="F9" s="11"/>
      <c r="G9" s="11"/>
      <c r="H9" s="11"/>
      <c r="I9" s="11"/>
      <c r="J9" s="31"/>
      <c r="K9" s="30"/>
      <c r="L9" s="30"/>
      <c r="M9" s="30"/>
      <c r="N9" s="31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</row>
    <row r="10" spans="1:25" ht="15.75" customHeight="1">
      <c r="A10" s="35"/>
      <c r="B10" s="255" t="s">
        <v>53</v>
      </c>
      <c r="C10" s="255" t="s">
        <v>54</v>
      </c>
      <c r="D10" s="255" t="s">
        <v>55</v>
      </c>
      <c r="E10" s="255" t="s">
        <v>56</v>
      </c>
      <c r="F10" s="255" t="s">
        <v>57</v>
      </c>
      <c r="G10" s="255" t="s">
        <v>58</v>
      </c>
      <c r="H10" s="255" t="s">
        <v>59</v>
      </c>
      <c r="I10" s="11"/>
      <c r="J10" s="36"/>
      <c r="K10" s="30"/>
      <c r="L10" s="30"/>
      <c r="M10" s="30"/>
      <c r="N10" s="36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 ht="15.75" customHeight="1">
      <c r="A11" s="213">
        <f>IF(AND(E8&gt;0,E8&lt;421),1,0)</f>
        <v>1</v>
      </c>
      <c r="B11" s="258">
        <f>IF(A11&gt;0,1,0)</f>
        <v>1</v>
      </c>
      <c r="C11" s="11">
        <f>IF(B11&gt;0,C8,0)</f>
        <v>160000</v>
      </c>
      <c r="D11" s="11">
        <f t="shared" ref="D11:D265" si="0">IF(B11&gt;0,C11*$I$8,0)</f>
        <v>967.1870438866747</v>
      </c>
      <c r="E11" s="11">
        <f t="shared" ref="E11:E265" si="1">IF(B11&gt;0,C11+D11,0)</f>
        <v>160967.18704388666</v>
      </c>
      <c r="F11" s="11">
        <f t="shared" ref="F11:F265" si="2">IF($E$8&gt;0,G11-D11,0)</f>
        <v>83.602547948959227</v>
      </c>
      <c r="G11" s="11">
        <f>IF(B11&gt;0,-PMT($I$8,$E$8,$C$8),0)</f>
        <v>1050.7895918356339</v>
      </c>
      <c r="H11" s="11">
        <f t="shared" ref="H11:H265" si="3">IF(B11&gt;0,E11-G11,0)</f>
        <v>159916.39745205102</v>
      </c>
      <c r="I11" s="11"/>
      <c r="J11" s="13"/>
      <c r="K11" s="13"/>
      <c r="L11" s="13"/>
      <c r="M11" s="13"/>
      <c r="N11" s="13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/>
      <c r="B12" s="38">
        <f t="shared" ref="B12:B266" si="4">IF(AND(B11&gt;0,B11&lt;$E$8),B11+1,0)</f>
        <v>2</v>
      </c>
      <c r="C12" s="11">
        <f t="shared" ref="C12:C266" si="5">IF(B12&gt;0,H11,0)</f>
        <v>159916.39745205102</v>
      </c>
      <c r="D12" s="11">
        <f t="shared" si="0"/>
        <v>966.68167325409877</v>
      </c>
      <c r="E12" s="11">
        <f t="shared" si="1"/>
        <v>160883.07912530511</v>
      </c>
      <c r="F12" s="11">
        <f t="shared" si="2"/>
        <v>84.107918581535159</v>
      </c>
      <c r="G12" s="11">
        <f t="shared" ref="G12:G266" si="6">IF(B12&gt;0,G11,0)</f>
        <v>1050.7895918356339</v>
      </c>
      <c r="H12" s="11">
        <f t="shared" si="3"/>
        <v>159832.28953346948</v>
      </c>
      <c r="I12" s="11"/>
      <c r="J12" s="13"/>
      <c r="K12" s="13"/>
      <c r="L12" s="13"/>
      <c r="M12" s="13"/>
      <c r="N12" s="13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/>
      <c r="B13" s="38">
        <f t="shared" si="4"/>
        <v>3</v>
      </c>
      <c r="C13" s="11">
        <f t="shared" si="5"/>
        <v>159832.28953346948</v>
      </c>
      <c r="D13" s="11">
        <f t="shared" si="0"/>
        <v>966.17324769697154</v>
      </c>
      <c r="E13" s="11">
        <f t="shared" si="1"/>
        <v>160798.46278116645</v>
      </c>
      <c r="F13" s="11">
        <f t="shared" si="2"/>
        <v>84.616344138662384</v>
      </c>
      <c r="G13" s="11">
        <f t="shared" si="6"/>
        <v>1050.7895918356339</v>
      </c>
      <c r="H13" s="11">
        <f t="shared" si="3"/>
        <v>159747.67318933082</v>
      </c>
      <c r="I13" s="11"/>
      <c r="J13" s="13"/>
      <c r="K13" s="13"/>
      <c r="L13" s="13"/>
      <c r="M13" s="13"/>
      <c r="N13" s="13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/>
      <c r="B14" s="38">
        <f t="shared" si="4"/>
        <v>4</v>
      </c>
      <c r="C14" s="11">
        <f t="shared" si="5"/>
        <v>159747.67318933082</v>
      </c>
      <c r="D14" s="11">
        <f t="shared" si="0"/>
        <v>965.66174874852175</v>
      </c>
      <c r="E14" s="11">
        <f t="shared" si="1"/>
        <v>160713.33493807935</v>
      </c>
      <c r="F14" s="11">
        <f t="shared" si="2"/>
        <v>85.127843087112183</v>
      </c>
      <c r="G14" s="11">
        <f t="shared" si="6"/>
        <v>1050.7895918356339</v>
      </c>
      <c r="H14" s="11">
        <f t="shared" si="3"/>
        <v>159662.54534624371</v>
      </c>
      <c r="I14" s="11"/>
      <c r="J14" s="13"/>
      <c r="K14" s="13"/>
      <c r="L14" s="13"/>
      <c r="M14" s="13"/>
      <c r="N14" s="13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/>
      <c r="B15" s="38">
        <f t="shared" si="4"/>
        <v>5</v>
      </c>
      <c r="C15" s="11">
        <f t="shared" si="5"/>
        <v>159662.54534624371</v>
      </c>
      <c r="D15" s="11">
        <f t="shared" si="0"/>
        <v>965.14715783034762</v>
      </c>
      <c r="E15" s="11">
        <f t="shared" si="1"/>
        <v>160627.69250407408</v>
      </c>
      <c r="F15" s="11">
        <f t="shared" si="2"/>
        <v>85.642434005286304</v>
      </c>
      <c r="G15" s="11">
        <f t="shared" si="6"/>
        <v>1050.7895918356339</v>
      </c>
      <c r="H15" s="11">
        <f t="shared" si="3"/>
        <v>159576.90291223844</v>
      </c>
      <c r="I15" s="11"/>
      <c r="J15" s="13"/>
      <c r="K15" s="13"/>
      <c r="L15" s="13"/>
      <c r="M15" s="13"/>
      <c r="N15" s="13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/>
      <c r="B16" s="38">
        <f t="shared" si="4"/>
        <v>6</v>
      </c>
      <c r="C16" s="11">
        <f t="shared" si="5"/>
        <v>159576.90291223844</v>
      </c>
      <c r="D16" s="11">
        <f t="shared" si="0"/>
        <v>964.62945625174245</v>
      </c>
      <c r="E16" s="11">
        <f t="shared" si="1"/>
        <v>160541.53236849018</v>
      </c>
      <c r="F16" s="11">
        <f t="shared" si="2"/>
        <v>86.160135583891474</v>
      </c>
      <c r="G16" s="11">
        <f t="shared" si="6"/>
        <v>1050.7895918356339</v>
      </c>
      <c r="H16" s="11">
        <f t="shared" si="3"/>
        <v>159490.74277665454</v>
      </c>
      <c r="I16" s="13"/>
      <c r="J16" s="13"/>
      <c r="K16" s="13"/>
      <c r="L16" s="13"/>
      <c r="M16" s="13"/>
      <c r="N16" s="13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/>
      <c r="B17" s="38">
        <f t="shared" si="4"/>
        <v>7</v>
      </c>
      <c r="C17" s="11">
        <f t="shared" si="5"/>
        <v>159490.74277665454</v>
      </c>
      <c r="D17" s="11">
        <f t="shared" si="0"/>
        <v>964.10862520901583</v>
      </c>
      <c r="E17" s="11">
        <f t="shared" si="1"/>
        <v>160454.85140186356</v>
      </c>
      <c r="F17" s="11">
        <f t="shared" si="2"/>
        <v>86.680966626618101</v>
      </c>
      <c r="G17" s="11">
        <f t="shared" si="6"/>
        <v>1050.7895918356339</v>
      </c>
      <c r="H17" s="11">
        <f t="shared" si="3"/>
        <v>159404.06181002792</v>
      </c>
      <c r="I17" s="13"/>
      <c r="J17" s="13"/>
      <c r="K17" s="13"/>
      <c r="L17" s="13"/>
      <c r="M17" s="13"/>
      <c r="N17" s="13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/>
      <c r="B18" s="38">
        <f t="shared" si="4"/>
        <v>8</v>
      </c>
      <c r="C18" s="11">
        <f t="shared" si="5"/>
        <v>159404.06181002792</v>
      </c>
      <c r="D18" s="11">
        <f t="shared" si="0"/>
        <v>963.58464578481062</v>
      </c>
      <c r="E18" s="11">
        <f t="shared" si="1"/>
        <v>160367.64645581273</v>
      </c>
      <c r="F18" s="11">
        <f t="shared" si="2"/>
        <v>87.20494605082331</v>
      </c>
      <c r="G18" s="11">
        <f t="shared" si="6"/>
        <v>1050.7895918356339</v>
      </c>
      <c r="H18" s="11">
        <f t="shared" si="3"/>
        <v>159316.8568639771</v>
      </c>
      <c r="I18" s="13"/>
      <c r="J18" s="13"/>
      <c r="K18" s="13"/>
      <c r="L18" s="13"/>
      <c r="M18" s="13"/>
      <c r="N18" s="13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/>
      <c r="B19" s="38">
        <f t="shared" si="4"/>
        <v>9</v>
      </c>
      <c r="C19" s="11">
        <f t="shared" si="5"/>
        <v>159316.8568639771</v>
      </c>
      <c r="D19" s="11">
        <f t="shared" si="0"/>
        <v>963.05749894741564</v>
      </c>
      <c r="E19" s="11">
        <f t="shared" si="1"/>
        <v>160279.91436292452</v>
      </c>
      <c r="F19" s="11">
        <f t="shared" si="2"/>
        <v>87.73209288821829</v>
      </c>
      <c r="G19" s="11">
        <f t="shared" si="6"/>
        <v>1050.7895918356339</v>
      </c>
      <c r="H19" s="11">
        <f t="shared" si="3"/>
        <v>159229.12477108889</v>
      </c>
      <c r="I19" s="13"/>
      <c r="J19" s="13"/>
      <c r="K19" s="13"/>
      <c r="L19" s="13"/>
      <c r="M19" s="13"/>
      <c r="N19" s="13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/>
      <c r="B20" s="38">
        <f t="shared" si="4"/>
        <v>10</v>
      </c>
      <c r="C20" s="11">
        <f t="shared" si="5"/>
        <v>159229.12477108889</v>
      </c>
      <c r="D20" s="11">
        <f t="shared" si="0"/>
        <v>962.52716555007476</v>
      </c>
      <c r="E20" s="11">
        <f t="shared" si="1"/>
        <v>160191.65193663895</v>
      </c>
      <c r="F20" s="11">
        <f t="shared" si="2"/>
        <v>88.262426285559172</v>
      </c>
      <c r="G20" s="11">
        <f t="shared" si="6"/>
        <v>1050.7895918356339</v>
      </c>
      <c r="H20" s="11">
        <f t="shared" si="3"/>
        <v>159140.86234480332</v>
      </c>
      <c r="I20" s="13"/>
      <c r="J20" s="13"/>
      <c r="K20" s="13"/>
      <c r="L20" s="13"/>
      <c r="M20" s="13"/>
      <c r="N20" s="13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/>
      <c r="B21" s="38">
        <f t="shared" si="4"/>
        <v>11</v>
      </c>
      <c r="C21" s="11">
        <f t="shared" si="5"/>
        <v>159140.86234480332</v>
      </c>
      <c r="D21" s="11">
        <f t="shared" si="0"/>
        <v>961.99362633029091</v>
      </c>
      <c r="E21" s="11">
        <f t="shared" si="1"/>
        <v>160102.8559711336</v>
      </c>
      <c r="F21" s="11">
        <f t="shared" si="2"/>
        <v>88.79596550534302</v>
      </c>
      <c r="G21" s="11">
        <f t="shared" si="6"/>
        <v>1050.7895918356339</v>
      </c>
      <c r="H21" s="11">
        <f t="shared" si="3"/>
        <v>159052.06637929796</v>
      </c>
      <c r="I21" s="14"/>
      <c r="J21" s="13"/>
      <c r="K21" s="13"/>
      <c r="L21" s="13"/>
      <c r="M21" s="13"/>
      <c r="N21" s="13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/>
      <c r="B22" s="38">
        <f t="shared" si="4"/>
        <v>12</v>
      </c>
      <c r="C22" s="11">
        <f t="shared" si="5"/>
        <v>159052.06637929796</v>
      </c>
      <c r="D22" s="11">
        <f t="shared" si="0"/>
        <v>961.45686190912727</v>
      </c>
      <c r="E22" s="11">
        <f t="shared" si="1"/>
        <v>160013.52324120709</v>
      </c>
      <c r="F22" s="11">
        <f t="shared" si="2"/>
        <v>89.332729926506659</v>
      </c>
      <c r="G22" s="11">
        <f t="shared" si="6"/>
        <v>1050.7895918356339</v>
      </c>
      <c r="H22" s="11">
        <f t="shared" si="3"/>
        <v>158962.73364937145</v>
      </c>
      <c r="I22" s="14"/>
      <c r="J22" s="13"/>
      <c r="K22" s="13"/>
      <c r="L22" s="13"/>
      <c r="M22" s="13"/>
      <c r="N22" s="1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/>
      <c r="B23" s="38">
        <f t="shared" si="4"/>
        <v>13</v>
      </c>
      <c r="C23" s="11">
        <f t="shared" si="5"/>
        <v>158962.73364937145</v>
      </c>
      <c r="D23" s="11">
        <f t="shared" si="0"/>
        <v>960.91685279050262</v>
      </c>
      <c r="E23" s="11">
        <f t="shared" si="1"/>
        <v>159923.65050216197</v>
      </c>
      <c r="F23" s="11">
        <f t="shared" si="2"/>
        <v>89.872739045131311</v>
      </c>
      <c r="G23" s="11">
        <f t="shared" si="6"/>
        <v>1050.7895918356339</v>
      </c>
      <c r="H23" s="11">
        <f t="shared" si="3"/>
        <v>158872.86091032633</v>
      </c>
      <c r="I23" s="24"/>
      <c r="J23" s="13"/>
      <c r="K23" s="13"/>
      <c r="L23" s="13"/>
      <c r="M23" s="13"/>
      <c r="N23" s="1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75" customHeight="1">
      <c r="A24" s="37"/>
      <c r="B24" s="38">
        <f t="shared" si="4"/>
        <v>14</v>
      </c>
      <c r="C24" s="11">
        <f t="shared" si="5"/>
        <v>158872.86091032633</v>
      </c>
      <c r="D24" s="11">
        <f t="shared" si="0"/>
        <v>960.37357936048352</v>
      </c>
      <c r="E24" s="11">
        <f t="shared" si="1"/>
        <v>159833.23448968682</v>
      </c>
      <c r="F24" s="11">
        <f t="shared" si="2"/>
        <v>90.41601247515041</v>
      </c>
      <c r="G24" s="11">
        <f t="shared" si="6"/>
        <v>1050.7895918356339</v>
      </c>
      <c r="H24" s="11">
        <f t="shared" si="3"/>
        <v>158782.44489785118</v>
      </c>
      <c r="I24" s="13"/>
      <c r="J24" s="13"/>
      <c r="K24" s="13"/>
      <c r="L24" s="13"/>
      <c r="M24" s="13"/>
      <c r="N24" s="1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75" customHeight="1">
      <c r="A25" s="37"/>
      <c r="B25" s="38">
        <f t="shared" si="4"/>
        <v>15</v>
      </c>
      <c r="C25" s="11">
        <f t="shared" si="5"/>
        <v>158782.44489785118</v>
      </c>
      <c r="D25" s="11">
        <f t="shared" si="0"/>
        <v>959.82702188657186</v>
      </c>
      <c r="E25" s="11">
        <f t="shared" si="1"/>
        <v>159742.27191973774</v>
      </c>
      <c r="F25" s="11">
        <f t="shared" si="2"/>
        <v>90.962569949062072</v>
      </c>
      <c r="G25" s="11">
        <f t="shared" si="6"/>
        <v>1050.7895918356339</v>
      </c>
      <c r="H25" s="11">
        <f t="shared" si="3"/>
        <v>158691.48232790211</v>
      </c>
      <c r="I25" s="13"/>
      <c r="J25" s="13"/>
      <c r="K25" s="13"/>
      <c r="L25" s="13"/>
      <c r="M25" s="13"/>
      <c r="N25" s="1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>
      <c r="A26" s="37"/>
      <c r="B26" s="38">
        <f t="shared" si="4"/>
        <v>16</v>
      </c>
      <c r="C26" s="11">
        <f t="shared" si="5"/>
        <v>158691.48232790211</v>
      </c>
      <c r="D26" s="11">
        <f t="shared" si="0"/>
        <v>959.27716051698826</v>
      </c>
      <c r="E26" s="11">
        <f t="shared" si="1"/>
        <v>159650.75948841911</v>
      </c>
      <c r="F26" s="11">
        <f t="shared" si="2"/>
        <v>91.512431318645667</v>
      </c>
      <c r="G26" s="11">
        <f t="shared" si="6"/>
        <v>1050.7895918356339</v>
      </c>
      <c r="H26" s="11">
        <f t="shared" si="3"/>
        <v>158599.96989658347</v>
      </c>
      <c r="I26" s="13"/>
      <c r="J26" s="13"/>
      <c r="K26" s="13"/>
      <c r="L26" s="13"/>
      <c r="M26" s="13"/>
      <c r="N26" s="13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>
      <c r="A27" s="37"/>
      <c r="B27" s="38">
        <f t="shared" si="4"/>
        <v>17</v>
      </c>
      <c r="C27" s="11">
        <f t="shared" si="5"/>
        <v>158599.96989658347</v>
      </c>
      <c r="D27" s="11">
        <f t="shared" si="0"/>
        <v>958.72397527995111</v>
      </c>
      <c r="E27" s="11">
        <f t="shared" si="1"/>
        <v>159558.69387186342</v>
      </c>
      <c r="F27" s="11">
        <f t="shared" si="2"/>
        <v>92.065616555682823</v>
      </c>
      <c r="G27" s="11">
        <f t="shared" si="6"/>
        <v>1050.7895918356339</v>
      </c>
      <c r="H27" s="11">
        <f t="shared" si="3"/>
        <v>158507.90428002778</v>
      </c>
      <c r="I27" s="13"/>
      <c r="J27" s="13"/>
      <c r="K27" s="13"/>
      <c r="L27" s="13"/>
      <c r="M27" s="13"/>
      <c r="N27" s="13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75" customHeight="1">
      <c r="A28" s="37"/>
      <c r="B28" s="38">
        <f t="shared" si="4"/>
        <v>18</v>
      </c>
      <c r="C28" s="11">
        <f t="shared" si="5"/>
        <v>158507.90428002778</v>
      </c>
      <c r="D28" s="11">
        <f t="shared" si="0"/>
        <v>958.16744608295051</v>
      </c>
      <c r="E28" s="11">
        <f t="shared" si="1"/>
        <v>159466.07172611073</v>
      </c>
      <c r="F28" s="11">
        <f t="shared" si="2"/>
        <v>92.622145752683423</v>
      </c>
      <c r="G28" s="11">
        <f t="shared" si="6"/>
        <v>1050.7895918356339</v>
      </c>
      <c r="H28" s="11">
        <f t="shared" si="3"/>
        <v>158415.2821342751</v>
      </c>
      <c r="I28" s="13"/>
      <c r="J28" s="13"/>
      <c r="K28" s="13"/>
      <c r="L28" s="13"/>
      <c r="M28" s="13"/>
      <c r="N28" s="13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>
      <c r="A29" s="37"/>
      <c r="B29" s="38">
        <f t="shared" si="4"/>
        <v>19</v>
      </c>
      <c r="C29" s="11">
        <f t="shared" si="5"/>
        <v>158415.2821342751</v>
      </c>
      <c r="D29" s="11">
        <f t="shared" si="0"/>
        <v>957.60755271201936</v>
      </c>
      <c r="E29" s="11">
        <f t="shared" si="1"/>
        <v>159372.88968698712</v>
      </c>
      <c r="F29" s="11">
        <f t="shared" si="2"/>
        <v>93.182039123614572</v>
      </c>
      <c r="G29" s="11">
        <f t="shared" si="6"/>
        <v>1050.7895918356339</v>
      </c>
      <c r="H29" s="11">
        <f t="shared" si="3"/>
        <v>158322.10009515149</v>
      </c>
      <c r="I29" s="13"/>
      <c r="J29" s="13"/>
      <c r="K29" s="13"/>
      <c r="L29" s="13"/>
      <c r="M29" s="13"/>
      <c r="N29" s="13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75" customHeight="1">
      <c r="A30" s="37"/>
      <c r="B30" s="38">
        <f t="shared" si="4"/>
        <v>20</v>
      </c>
      <c r="C30" s="11">
        <f t="shared" si="5"/>
        <v>158322.10009515149</v>
      </c>
      <c r="D30" s="11">
        <f t="shared" si="0"/>
        <v>957.04427483099869</v>
      </c>
      <c r="E30" s="11">
        <f t="shared" si="1"/>
        <v>159279.14436998247</v>
      </c>
      <c r="F30" s="11">
        <f t="shared" si="2"/>
        <v>93.74531700463524</v>
      </c>
      <c r="G30" s="11">
        <f t="shared" si="6"/>
        <v>1050.7895918356339</v>
      </c>
      <c r="H30" s="11">
        <f t="shared" si="3"/>
        <v>158228.35477814684</v>
      </c>
      <c r="I30" s="13"/>
      <c r="J30" s="13"/>
      <c r="K30" s="13"/>
      <c r="L30" s="13"/>
      <c r="M30" s="13"/>
      <c r="N30" s="13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75" customHeight="1">
      <c r="A31" s="37"/>
      <c r="B31" s="38">
        <f t="shared" si="4"/>
        <v>21</v>
      </c>
      <c r="C31" s="11">
        <f t="shared" si="5"/>
        <v>158228.35477814684</v>
      </c>
      <c r="D31" s="11">
        <f t="shared" si="0"/>
        <v>956.47759198079905</v>
      </c>
      <c r="E31" s="11">
        <f t="shared" si="1"/>
        <v>159184.83237012764</v>
      </c>
      <c r="F31" s="11">
        <f t="shared" si="2"/>
        <v>94.31199985483488</v>
      </c>
      <c r="G31" s="11">
        <f t="shared" si="6"/>
        <v>1050.7895918356339</v>
      </c>
      <c r="H31" s="11">
        <f t="shared" si="3"/>
        <v>158134.042778292</v>
      </c>
      <c r="I31" s="13"/>
      <c r="J31" s="13"/>
      <c r="K31" s="13"/>
      <c r="L31" s="13"/>
      <c r="M31" s="13"/>
      <c r="N31" s="13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75" customHeight="1">
      <c r="A32" s="37"/>
      <c r="B32" s="38">
        <f t="shared" si="4"/>
        <v>22</v>
      </c>
      <c r="C32" s="11">
        <f t="shared" si="5"/>
        <v>158134.042778292</v>
      </c>
      <c r="D32" s="11">
        <f t="shared" si="0"/>
        <v>955.90748357865755</v>
      </c>
      <c r="E32" s="11">
        <f t="shared" si="1"/>
        <v>159089.95026187066</v>
      </c>
      <c r="F32" s="11">
        <f t="shared" si="2"/>
        <v>94.88210825697638</v>
      </c>
      <c r="G32" s="11">
        <f t="shared" si="6"/>
        <v>1050.7895918356339</v>
      </c>
      <c r="H32" s="11">
        <f t="shared" si="3"/>
        <v>158039.16067003502</v>
      </c>
      <c r="I32" s="13"/>
      <c r="J32" s="13"/>
      <c r="K32" s="13"/>
      <c r="L32" s="13"/>
      <c r="M32" s="13"/>
      <c r="N32" s="13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75" customHeight="1">
      <c r="A33" s="37"/>
      <c r="B33" s="38">
        <f t="shared" si="4"/>
        <v>23</v>
      </c>
      <c r="C33" s="11">
        <f t="shared" si="5"/>
        <v>158039.16067003502</v>
      </c>
      <c r="D33" s="11">
        <f t="shared" si="0"/>
        <v>955.33392891739004</v>
      </c>
      <c r="E33" s="11">
        <f t="shared" si="1"/>
        <v>158994.49459895241</v>
      </c>
      <c r="F33" s="11">
        <f t="shared" si="2"/>
        <v>95.455662918243888</v>
      </c>
      <c r="G33" s="11">
        <f t="shared" si="6"/>
        <v>1050.7895918356339</v>
      </c>
      <c r="H33" s="11">
        <f t="shared" si="3"/>
        <v>157943.70500711678</v>
      </c>
      <c r="I33" s="13"/>
      <c r="J33" s="13"/>
      <c r="K33" s="13"/>
      <c r="L33" s="13"/>
      <c r="M33" s="13"/>
      <c r="N33" s="13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75" customHeight="1">
      <c r="A34" s="37"/>
      <c r="B34" s="38">
        <f t="shared" si="4"/>
        <v>24</v>
      </c>
      <c r="C34" s="11">
        <f t="shared" si="5"/>
        <v>157943.70500711678</v>
      </c>
      <c r="D34" s="11">
        <f t="shared" si="0"/>
        <v>954.75690716463919</v>
      </c>
      <c r="E34" s="11">
        <f t="shared" si="1"/>
        <v>158898.46191428142</v>
      </c>
      <c r="F34" s="11">
        <f t="shared" si="2"/>
        <v>96.03268467099474</v>
      </c>
      <c r="G34" s="11">
        <f t="shared" si="6"/>
        <v>1050.7895918356339</v>
      </c>
      <c r="H34" s="11">
        <f t="shared" si="3"/>
        <v>157847.67232244578</v>
      </c>
      <c r="I34" s="13"/>
      <c r="J34" s="13"/>
      <c r="K34" s="13"/>
      <c r="L34" s="13"/>
      <c r="M34" s="13"/>
      <c r="N34" s="13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75" customHeight="1">
      <c r="A35" s="37"/>
      <c r="B35" s="38">
        <f t="shared" si="4"/>
        <v>25</v>
      </c>
      <c r="C35" s="11">
        <f t="shared" si="5"/>
        <v>157847.67232244578</v>
      </c>
      <c r="D35" s="11">
        <f t="shared" si="0"/>
        <v>954.17639736211765</v>
      </c>
      <c r="E35" s="11">
        <f t="shared" si="1"/>
        <v>158801.84871980789</v>
      </c>
      <c r="F35" s="11">
        <f t="shared" si="2"/>
        <v>96.613194473516273</v>
      </c>
      <c r="G35" s="11">
        <f t="shared" si="6"/>
        <v>1050.7895918356339</v>
      </c>
      <c r="H35" s="11">
        <f t="shared" si="3"/>
        <v>157751.05912797226</v>
      </c>
      <c r="I35" s="13"/>
      <c r="J35" s="13"/>
      <c r="K35" s="13"/>
      <c r="L35" s="13"/>
      <c r="M35" s="13"/>
      <c r="N35" s="13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75" customHeight="1">
      <c r="A36" s="37"/>
      <c r="B36" s="38">
        <f t="shared" si="4"/>
        <v>26</v>
      </c>
      <c r="C36" s="11">
        <f t="shared" si="5"/>
        <v>157751.05912797226</v>
      </c>
      <c r="D36" s="11">
        <f t="shared" si="0"/>
        <v>953.59237842484708</v>
      </c>
      <c r="E36" s="11">
        <f t="shared" si="1"/>
        <v>158704.65150639712</v>
      </c>
      <c r="F36" s="11">
        <f t="shared" si="2"/>
        <v>97.197213410786844</v>
      </c>
      <c r="G36" s="11">
        <f t="shared" si="6"/>
        <v>1050.7895918356339</v>
      </c>
      <c r="H36" s="11">
        <f t="shared" si="3"/>
        <v>157653.86191456148</v>
      </c>
      <c r="I36" s="13"/>
      <c r="J36" s="13"/>
      <c r="K36" s="13"/>
      <c r="L36" s="13"/>
      <c r="M36" s="13"/>
      <c r="N36" s="13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customHeight="1">
      <c r="A37" s="37"/>
      <c r="B37" s="38">
        <f t="shared" si="4"/>
        <v>27</v>
      </c>
      <c r="C37" s="11">
        <f t="shared" si="5"/>
        <v>157653.86191456148</v>
      </c>
      <c r="D37" s="11">
        <f t="shared" si="0"/>
        <v>953.00482914039208</v>
      </c>
      <c r="E37" s="11">
        <f t="shared" si="1"/>
        <v>158606.86674370186</v>
      </c>
      <c r="F37" s="11">
        <f t="shared" si="2"/>
        <v>97.784762695241852</v>
      </c>
      <c r="G37" s="11">
        <f t="shared" si="6"/>
        <v>1050.7895918356339</v>
      </c>
      <c r="H37" s="11">
        <f t="shared" si="3"/>
        <v>157556.07715186622</v>
      </c>
      <c r="I37" s="13"/>
      <c r="J37" s="13"/>
      <c r="K37" s="13"/>
      <c r="L37" s="13"/>
      <c r="M37" s="13"/>
      <c r="N37" s="13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75" customHeight="1">
      <c r="A38" s="37"/>
      <c r="B38" s="38">
        <f t="shared" si="4"/>
        <v>28</v>
      </c>
      <c r="C38" s="11">
        <f t="shared" si="5"/>
        <v>157556.07715186622</v>
      </c>
      <c r="D38" s="11">
        <f t="shared" si="0"/>
        <v>952.41372816808973</v>
      </c>
      <c r="E38" s="11">
        <f t="shared" si="1"/>
        <v>158508.49088003431</v>
      </c>
      <c r="F38" s="11">
        <f t="shared" si="2"/>
        <v>98.375863667544195</v>
      </c>
      <c r="G38" s="11">
        <f t="shared" si="6"/>
        <v>1050.7895918356339</v>
      </c>
      <c r="H38" s="11">
        <f t="shared" si="3"/>
        <v>157457.70128819867</v>
      </c>
      <c r="I38" s="13"/>
      <c r="J38" s="13"/>
      <c r="K38" s="13"/>
      <c r="L38" s="13"/>
      <c r="M38" s="13"/>
      <c r="N38" s="13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75" customHeight="1">
      <c r="A39" s="37"/>
      <c r="B39" s="38">
        <f t="shared" si="4"/>
        <v>29</v>
      </c>
      <c r="C39" s="11">
        <f t="shared" si="5"/>
        <v>157457.70128819867</v>
      </c>
      <c r="D39" s="11">
        <f t="shared" si="0"/>
        <v>951.81905403827454</v>
      </c>
      <c r="E39" s="11">
        <f t="shared" si="1"/>
        <v>158409.52034223694</v>
      </c>
      <c r="F39" s="11">
        <f t="shared" si="2"/>
        <v>98.970537797359384</v>
      </c>
      <c r="G39" s="11">
        <f t="shared" si="6"/>
        <v>1050.7895918356339</v>
      </c>
      <c r="H39" s="11">
        <f t="shared" si="3"/>
        <v>157358.7307504013</v>
      </c>
      <c r="I39" s="13"/>
      <c r="J39" s="13"/>
      <c r="K39" s="13"/>
      <c r="L39" s="13"/>
      <c r="M39" s="13"/>
      <c r="N39" s="13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75" customHeight="1">
      <c r="A40" s="37"/>
      <c r="B40" s="38">
        <f t="shared" si="4"/>
        <v>30</v>
      </c>
      <c r="C40" s="11">
        <f t="shared" si="5"/>
        <v>157358.7307504013</v>
      </c>
      <c r="D40" s="11">
        <f t="shared" si="0"/>
        <v>951.22078515149883</v>
      </c>
      <c r="E40" s="11">
        <f t="shared" si="1"/>
        <v>158309.9515355528</v>
      </c>
      <c r="F40" s="11">
        <f t="shared" si="2"/>
        <v>99.568806684135097</v>
      </c>
      <c r="G40" s="11">
        <f t="shared" si="6"/>
        <v>1050.7895918356339</v>
      </c>
      <c r="H40" s="11">
        <f t="shared" si="3"/>
        <v>157259.16194371716</v>
      </c>
      <c r="I40" s="13"/>
      <c r="J40" s="13"/>
      <c r="K40" s="13"/>
      <c r="L40" s="13"/>
      <c r="M40" s="13"/>
      <c r="N40" s="13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75" customHeight="1">
      <c r="A41" s="37"/>
      <c r="B41" s="38">
        <f t="shared" si="4"/>
        <v>31</v>
      </c>
      <c r="C41" s="11">
        <f t="shared" si="5"/>
        <v>157259.16194371716</v>
      </c>
      <c r="D41" s="11">
        <f t="shared" si="0"/>
        <v>950.61889977774786</v>
      </c>
      <c r="E41" s="11">
        <f t="shared" si="1"/>
        <v>158209.7808434949</v>
      </c>
      <c r="F41" s="11">
        <f t="shared" si="2"/>
        <v>100.17069205788607</v>
      </c>
      <c r="G41" s="11">
        <f t="shared" si="6"/>
        <v>1050.7895918356339</v>
      </c>
      <c r="H41" s="11">
        <f t="shared" si="3"/>
        <v>157158.99125165926</v>
      </c>
      <c r="I41" s="13"/>
      <c r="J41" s="13"/>
      <c r="K41" s="13"/>
      <c r="L41" s="13"/>
      <c r="M41" s="13"/>
      <c r="N41" s="13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75" customHeight="1">
      <c r="A42" s="37"/>
      <c r="B42" s="38">
        <f t="shared" si="4"/>
        <v>32</v>
      </c>
      <c r="C42" s="11">
        <f t="shared" si="5"/>
        <v>157158.99125165926</v>
      </c>
      <c r="D42" s="11">
        <f t="shared" si="0"/>
        <v>950.01337605565061</v>
      </c>
      <c r="E42" s="11">
        <f t="shared" si="1"/>
        <v>158109.00462771492</v>
      </c>
      <c r="F42" s="11">
        <f t="shared" si="2"/>
        <v>100.77621577998332</v>
      </c>
      <c r="G42" s="11">
        <f t="shared" si="6"/>
        <v>1050.7895918356339</v>
      </c>
      <c r="H42" s="11">
        <f t="shared" si="3"/>
        <v>157058.21503587929</v>
      </c>
      <c r="I42" s="13"/>
      <c r="J42" s="13"/>
      <c r="K42" s="13"/>
      <c r="L42" s="13"/>
      <c r="M42" s="13"/>
      <c r="N42" s="13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75" customHeight="1">
      <c r="A43" s="37"/>
      <c r="B43" s="38">
        <f t="shared" si="4"/>
        <v>33</v>
      </c>
      <c r="C43" s="11">
        <f t="shared" si="5"/>
        <v>157058.21503587929</v>
      </c>
      <c r="D43" s="11">
        <f t="shared" si="0"/>
        <v>949.40419199168616</v>
      </c>
      <c r="E43" s="11">
        <f t="shared" si="1"/>
        <v>158007.61922787098</v>
      </c>
      <c r="F43" s="11">
        <f t="shared" si="2"/>
        <v>101.38539984394777</v>
      </c>
      <c r="G43" s="11">
        <f t="shared" si="6"/>
        <v>1050.7895918356339</v>
      </c>
      <c r="H43" s="11">
        <f t="shared" si="3"/>
        <v>156956.82963603534</v>
      </c>
      <c r="I43" s="13"/>
      <c r="J43" s="13"/>
      <c r="K43" s="13"/>
      <c r="L43" s="13"/>
      <c r="M43" s="13"/>
      <c r="N43" s="13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75" customHeight="1">
      <c r="A44" s="37"/>
      <c r="B44" s="38">
        <f t="shared" si="4"/>
        <v>34</v>
      </c>
      <c r="C44" s="11">
        <f t="shared" si="5"/>
        <v>156956.82963603534</v>
      </c>
      <c r="D44" s="11">
        <f t="shared" si="0"/>
        <v>948.7913254593841</v>
      </c>
      <c r="E44" s="11">
        <f t="shared" si="1"/>
        <v>157905.62096149471</v>
      </c>
      <c r="F44" s="11">
        <f t="shared" si="2"/>
        <v>101.99826637624983</v>
      </c>
      <c r="G44" s="11">
        <f t="shared" si="6"/>
        <v>1050.7895918356339</v>
      </c>
      <c r="H44" s="11">
        <f t="shared" si="3"/>
        <v>156854.83136965908</v>
      </c>
      <c r="I44" s="13"/>
      <c r="J44" s="13"/>
      <c r="K44" s="13"/>
      <c r="L44" s="13"/>
      <c r="M44" s="13"/>
      <c r="N44" s="13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>
      <c r="A45" s="37"/>
      <c r="B45" s="38">
        <f t="shared" si="4"/>
        <v>35</v>
      </c>
      <c r="C45" s="11">
        <f t="shared" si="5"/>
        <v>156854.83136965908</v>
      </c>
      <c r="D45" s="11">
        <f t="shared" si="0"/>
        <v>948.17475419852144</v>
      </c>
      <c r="E45" s="11">
        <f t="shared" si="1"/>
        <v>157803.0061238576</v>
      </c>
      <c r="F45" s="11">
        <f t="shared" si="2"/>
        <v>102.61483763711249</v>
      </c>
      <c r="G45" s="11">
        <f t="shared" si="6"/>
        <v>1050.7895918356339</v>
      </c>
      <c r="H45" s="11">
        <f t="shared" si="3"/>
        <v>156752.21653202196</v>
      </c>
      <c r="I45" s="13"/>
      <c r="J45" s="13"/>
      <c r="K45" s="13"/>
      <c r="L45" s="13"/>
      <c r="M45" s="13"/>
      <c r="N45" s="13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75" customHeight="1">
      <c r="A46" s="37"/>
      <c r="B46" s="38">
        <f t="shared" si="4"/>
        <v>36</v>
      </c>
      <c r="C46" s="11">
        <f t="shared" si="5"/>
        <v>156752.21653202196</v>
      </c>
      <c r="D46" s="11">
        <f t="shared" si="0"/>
        <v>947.55445581431422</v>
      </c>
      <c r="E46" s="11">
        <f t="shared" si="1"/>
        <v>157699.77098783627</v>
      </c>
      <c r="F46" s="11">
        <f t="shared" si="2"/>
        <v>103.2351360213197</v>
      </c>
      <c r="G46" s="11">
        <f t="shared" si="6"/>
        <v>1050.7895918356339</v>
      </c>
      <c r="H46" s="11">
        <f t="shared" si="3"/>
        <v>156648.98139600063</v>
      </c>
      <c r="I46" s="13"/>
      <c r="J46" s="13"/>
      <c r="K46" s="13"/>
      <c r="L46" s="13"/>
      <c r="M46" s="13"/>
      <c r="N46" s="13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>
      <c r="A47" s="37"/>
      <c r="B47" s="38">
        <f t="shared" si="4"/>
        <v>37</v>
      </c>
      <c r="C47" s="11">
        <f t="shared" si="5"/>
        <v>156648.98139600063</v>
      </c>
      <c r="D47" s="11">
        <f t="shared" si="0"/>
        <v>946.93040777660349</v>
      </c>
      <c r="E47" s="11">
        <f t="shared" si="1"/>
        <v>157595.91180377724</v>
      </c>
      <c r="F47" s="11">
        <f t="shared" si="2"/>
        <v>103.85918405903044</v>
      </c>
      <c r="G47" s="11">
        <f t="shared" si="6"/>
        <v>1050.7895918356339</v>
      </c>
      <c r="H47" s="11">
        <f t="shared" si="3"/>
        <v>156545.12221194161</v>
      </c>
      <c r="I47" s="13"/>
      <c r="J47" s="13"/>
      <c r="K47" s="13"/>
      <c r="L47" s="13"/>
      <c r="M47" s="13"/>
      <c r="N47" s="13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>
      <c r="A48" s="37"/>
      <c r="B48" s="38">
        <f t="shared" si="4"/>
        <v>38</v>
      </c>
      <c r="C48" s="11">
        <f t="shared" si="5"/>
        <v>156545.12221194161</v>
      </c>
      <c r="D48" s="11">
        <f t="shared" si="0"/>
        <v>946.30258741903765</v>
      </c>
      <c r="E48" s="11">
        <f t="shared" si="1"/>
        <v>157491.42479936066</v>
      </c>
      <c r="F48" s="11">
        <f t="shared" si="2"/>
        <v>104.48700441659628</v>
      </c>
      <c r="G48" s="11">
        <f t="shared" si="6"/>
        <v>1050.7895918356339</v>
      </c>
      <c r="H48" s="11">
        <f t="shared" si="3"/>
        <v>156440.63520752502</v>
      </c>
      <c r="I48" s="13"/>
      <c r="J48" s="13"/>
      <c r="K48" s="13"/>
      <c r="L48" s="13"/>
      <c r="M48" s="13"/>
      <c r="N48" s="13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75" customHeight="1">
      <c r="A49" s="37"/>
      <c r="B49" s="38">
        <f t="shared" si="4"/>
        <v>39</v>
      </c>
      <c r="C49" s="11">
        <f t="shared" si="5"/>
        <v>156440.63520752502</v>
      </c>
      <c r="D49" s="11">
        <f t="shared" si="0"/>
        <v>945.67097193824861</v>
      </c>
      <c r="E49" s="11">
        <f t="shared" si="1"/>
        <v>157386.30617946325</v>
      </c>
      <c r="F49" s="11">
        <f t="shared" si="2"/>
        <v>105.11861989738532</v>
      </c>
      <c r="G49" s="11">
        <f t="shared" si="6"/>
        <v>1050.7895918356339</v>
      </c>
      <c r="H49" s="11">
        <f t="shared" si="3"/>
        <v>156335.51658762762</v>
      </c>
      <c r="I49" s="13"/>
      <c r="J49" s="13"/>
      <c r="K49" s="13"/>
      <c r="L49" s="13"/>
      <c r="M49" s="13"/>
      <c r="N49" s="13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75" customHeight="1">
      <c r="A50" s="37"/>
      <c r="B50" s="38">
        <f t="shared" si="4"/>
        <v>40</v>
      </c>
      <c r="C50" s="11">
        <f t="shared" si="5"/>
        <v>156335.51658762762</v>
      </c>
      <c r="D50" s="11">
        <f t="shared" si="0"/>
        <v>945.03553839302344</v>
      </c>
      <c r="E50" s="11">
        <f t="shared" si="1"/>
        <v>157280.55212602063</v>
      </c>
      <c r="F50" s="11">
        <f t="shared" si="2"/>
        <v>105.75405344261048</v>
      </c>
      <c r="G50" s="11">
        <f t="shared" si="6"/>
        <v>1050.7895918356339</v>
      </c>
      <c r="H50" s="11">
        <f t="shared" si="3"/>
        <v>156229.76253418499</v>
      </c>
      <c r="I50" s="13"/>
      <c r="J50" s="13"/>
      <c r="K50" s="13"/>
      <c r="L50" s="13"/>
      <c r="M50" s="13"/>
      <c r="N50" s="13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75" customHeight="1">
      <c r="A51" s="37"/>
      <c r="B51" s="38">
        <f t="shared" si="4"/>
        <v>41</v>
      </c>
      <c r="C51" s="11">
        <f t="shared" si="5"/>
        <v>156229.76253418499</v>
      </c>
      <c r="D51" s="11">
        <f t="shared" si="0"/>
        <v>944.39626370347219</v>
      </c>
      <c r="E51" s="11">
        <f t="shared" si="1"/>
        <v>157174.15879788846</v>
      </c>
      <c r="F51" s="11">
        <f t="shared" si="2"/>
        <v>106.39332813216174</v>
      </c>
      <c r="G51" s="11">
        <f t="shared" si="6"/>
        <v>1050.7895918356339</v>
      </c>
      <c r="H51" s="11">
        <f t="shared" si="3"/>
        <v>156123.36920605283</v>
      </c>
      <c r="I51" s="13"/>
      <c r="J51" s="13"/>
      <c r="K51" s="13"/>
      <c r="L51" s="13"/>
      <c r="M51" s="13"/>
      <c r="N51" s="13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75" customHeight="1">
      <c r="A52" s="37"/>
      <c r="B52" s="38">
        <f t="shared" si="4"/>
        <v>42</v>
      </c>
      <c r="C52" s="11">
        <f t="shared" si="5"/>
        <v>156123.36920605283</v>
      </c>
      <c r="D52" s="11">
        <f t="shared" si="0"/>
        <v>943.7531246501884</v>
      </c>
      <c r="E52" s="11">
        <f t="shared" si="1"/>
        <v>157067.12233070302</v>
      </c>
      <c r="F52" s="11">
        <f t="shared" si="2"/>
        <v>107.03646718544553</v>
      </c>
      <c r="G52" s="11">
        <f t="shared" si="6"/>
        <v>1050.7895918356339</v>
      </c>
      <c r="H52" s="11">
        <f t="shared" si="3"/>
        <v>156016.33273886738</v>
      </c>
      <c r="I52" s="13"/>
      <c r="J52" s="13"/>
      <c r="K52" s="13"/>
      <c r="L52" s="13"/>
      <c r="M52" s="13"/>
      <c r="N52" s="13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75" customHeight="1">
      <c r="A53" s="37"/>
      <c r="B53" s="38">
        <f t="shared" si="4"/>
        <v>43</v>
      </c>
      <c r="C53" s="11">
        <f t="shared" si="5"/>
        <v>156016.33273886738</v>
      </c>
      <c r="D53" s="11">
        <f t="shared" si="0"/>
        <v>943.10609787340604</v>
      </c>
      <c r="E53" s="11">
        <f t="shared" si="1"/>
        <v>156959.4388367408</v>
      </c>
      <c r="F53" s="11">
        <f t="shared" si="2"/>
        <v>107.68349396222789</v>
      </c>
      <c r="G53" s="11">
        <f t="shared" si="6"/>
        <v>1050.7895918356339</v>
      </c>
      <c r="H53" s="11">
        <f t="shared" si="3"/>
        <v>155908.64924490516</v>
      </c>
      <c r="I53" s="13"/>
      <c r="J53" s="13"/>
      <c r="K53" s="13"/>
      <c r="L53" s="13"/>
      <c r="M53" s="13"/>
      <c r="N53" s="13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75" customHeight="1">
      <c r="A54" s="37"/>
      <c r="B54" s="38">
        <f t="shared" si="4"/>
        <v>44</v>
      </c>
      <c r="C54" s="11">
        <f t="shared" si="5"/>
        <v>155908.64924490516</v>
      </c>
      <c r="D54" s="11">
        <f t="shared" si="0"/>
        <v>942.45515987215163</v>
      </c>
      <c r="E54" s="11">
        <f t="shared" si="1"/>
        <v>156851.10440477732</v>
      </c>
      <c r="F54" s="11">
        <f t="shared" si="2"/>
        <v>108.3344319634823</v>
      </c>
      <c r="G54" s="11">
        <f t="shared" si="6"/>
        <v>1050.7895918356339</v>
      </c>
      <c r="H54" s="11">
        <f t="shared" si="3"/>
        <v>155800.31481294168</v>
      </c>
      <c r="I54" s="13"/>
      <c r="J54" s="13"/>
      <c r="K54" s="13"/>
      <c r="L54" s="13"/>
      <c r="M54" s="13"/>
      <c r="N54" s="13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75" customHeight="1">
      <c r="A55" s="37"/>
      <c r="B55" s="38">
        <f t="shared" si="4"/>
        <v>45</v>
      </c>
      <c r="C55" s="11">
        <f t="shared" si="5"/>
        <v>155800.31481294168</v>
      </c>
      <c r="D55" s="11">
        <f t="shared" si="0"/>
        <v>941.80028700338983</v>
      </c>
      <c r="E55" s="11">
        <f t="shared" si="1"/>
        <v>156742.11509994508</v>
      </c>
      <c r="F55" s="11">
        <f t="shared" si="2"/>
        <v>108.9893048322441</v>
      </c>
      <c r="G55" s="11">
        <f t="shared" si="6"/>
        <v>1050.7895918356339</v>
      </c>
      <c r="H55" s="11">
        <f t="shared" si="3"/>
        <v>155691.32550810944</v>
      </c>
      <c r="I55" s="13"/>
      <c r="J55" s="13"/>
      <c r="K55" s="13"/>
      <c r="L55" s="13"/>
      <c r="M55" s="13"/>
      <c r="N55" s="13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75" customHeight="1">
      <c r="A56" s="37"/>
      <c r="B56" s="38">
        <f t="shared" si="4"/>
        <v>46</v>
      </c>
      <c r="C56" s="11">
        <f t="shared" si="5"/>
        <v>155691.32550810944</v>
      </c>
      <c r="D56" s="11">
        <f t="shared" si="0"/>
        <v>941.14145548116505</v>
      </c>
      <c r="E56" s="11">
        <f t="shared" si="1"/>
        <v>156632.46696359062</v>
      </c>
      <c r="F56" s="11">
        <f t="shared" si="2"/>
        <v>109.64813635446887</v>
      </c>
      <c r="G56" s="11">
        <f t="shared" si="6"/>
        <v>1050.7895918356339</v>
      </c>
      <c r="H56" s="11">
        <f t="shared" si="3"/>
        <v>155581.67737175498</v>
      </c>
      <c r="I56" s="13"/>
      <c r="J56" s="13"/>
      <c r="K56" s="13"/>
      <c r="L56" s="13"/>
      <c r="M56" s="13"/>
      <c r="N56" s="13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75" customHeight="1">
      <c r="A57" s="37"/>
      <c r="B57" s="38">
        <f t="shared" si="4"/>
        <v>47</v>
      </c>
      <c r="C57" s="11">
        <f t="shared" si="5"/>
        <v>155581.67737175498</v>
      </c>
      <c r="D57" s="11">
        <f t="shared" si="0"/>
        <v>940.47864137573788</v>
      </c>
      <c r="E57" s="11">
        <f t="shared" si="1"/>
        <v>156522.15601313071</v>
      </c>
      <c r="F57" s="11">
        <f t="shared" si="2"/>
        <v>110.31095045989605</v>
      </c>
      <c r="G57" s="11">
        <f t="shared" si="6"/>
        <v>1050.7895918356339</v>
      </c>
      <c r="H57" s="11">
        <f t="shared" si="3"/>
        <v>155471.36642129507</v>
      </c>
      <c r="I57" s="13"/>
      <c r="J57" s="13"/>
      <c r="K57" s="13"/>
      <c r="L57" s="13"/>
      <c r="M57" s="13"/>
      <c r="N57" s="13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75" customHeight="1">
      <c r="A58" s="37"/>
      <c r="B58" s="38">
        <f t="shared" si="4"/>
        <v>48</v>
      </c>
      <c r="C58" s="11">
        <f t="shared" si="5"/>
        <v>155471.36642129507</v>
      </c>
      <c r="D58" s="11">
        <f t="shared" si="0"/>
        <v>939.811820612715</v>
      </c>
      <c r="E58" s="11">
        <f t="shared" si="1"/>
        <v>156411.17824190779</v>
      </c>
      <c r="F58" s="11">
        <f t="shared" si="2"/>
        <v>110.97777122291893</v>
      </c>
      <c r="G58" s="11">
        <f t="shared" si="6"/>
        <v>1050.7895918356339</v>
      </c>
      <c r="H58" s="11">
        <f t="shared" si="3"/>
        <v>155360.38865007216</v>
      </c>
      <c r="I58" s="13"/>
      <c r="J58" s="13"/>
      <c r="K58" s="13"/>
      <c r="L58" s="13"/>
      <c r="M58" s="13"/>
      <c r="N58" s="13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75" customHeight="1">
      <c r="A59" s="37"/>
      <c r="B59" s="38">
        <f t="shared" si="4"/>
        <v>49</v>
      </c>
      <c r="C59" s="11">
        <f t="shared" si="5"/>
        <v>155360.38865007216</v>
      </c>
      <c r="D59" s="11">
        <f t="shared" si="0"/>
        <v>939.14096897217621</v>
      </c>
      <c r="E59" s="11">
        <f t="shared" si="1"/>
        <v>156299.52961904433</v>
      </c>
      <c r="F59" s="11">
        <f t="shared" si="2"/>
        <v>111.64862286345772</v>
      </c>
      <c r="G59" s="11">
        <f t="shared" si="6"/>
        <v>1050.7895918356339</v>
      </c>
      <c r="H59" s="11">
        <f t="shared" si="3"/>
        <v>155248.7400272087</v>
      </c>
      <c r="I59" s="13"/>
      <c r="J59" s="13"/>
      <c r="K59" s="13"/>
      <c r="L59" s="13"/>
      <c r="M59" s="13"/>
      <c r="N59" s="13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75" customHeight="1">
      <c r="A60" s="37"/>
      <c r="B60" s="38">
        <f t="shared" si="4"/>
        <v>50</v>
      </c>
      <c r="C60" s="11">
        <f t="shared" si="5"/>
        <v>155248.7400272087</v>
      </c>
      <c r="D60" s="11">
        <f t="shared" si="0"/>
        <v>938.46606208779281</v>
      </c>
      <c r="E60" s="11">
        <f t="shared" si="1"/>
        <v>156187.20608929649</v>
      </c>
      <c r="F60" s="11">
        <f t="shared" si="2"/>
        <v>112.32352974784112</v>
      </c>
      <c r="G60" s="11">
        <f t="shared" si="6"/>
        <v>1050.7895918356339</v>
      </c>
      <c r="H60" s="11">
        <f t="shared" si="3"/>
        <v>155136.41649746086</v>
      </c>
      <c r="I60" s="13"/>
      <c r="J60" s="13"/>
      <c r="K60" s="13"/>
      <c r="L60" s="13"/>
      <c r="M60" s="13"/>
      <c r="N60" s="13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75" customHeight="1">
      <c r="A61" s="37"/>
      <c r="B61" s="38">
        <f t="shared" si="4"/>
        <v>51</v>
      </c>
      <c r="C61" s="11">
        <f t="shared" si="5"/>
        <v>155136.41649746086</v>
      </c>
      <c r="D61" s="11">
        <f t="shared" si="0"/>
        <v>937.78707544594454</v>
      </c>
      <c r="E61" s="11">
        <f t="shared" si="1"/>
        <v>156074.20357290682</v>
      </c>
      <c r="F61" s="11">
        <f t="shared" si="2"/>
        <v>113.00251638968939</v>
      </c>
      <c r="G61" s="11">
        <f t="shared" si="6"/>
        <v>1050.7895918356339</v>
      </c>
      <c r="H61" s="11">
        <f t="shared" si="3"/>
        <v>155023.41398107118</v>
      </c>
      <c r="I61" s="13"/>
      <c r="J61" s="13"/>
      <c r="K61" s="13"/>
      <c r="L61" s="13"/>
      <c r="M61" s="13"/>
      <c r="N61" s="13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75" customHeight="1">
      <c r="A62" s="37"/>
      <c r="B62" s="38">
        <f t="shared" si="4"/>
        <v>52</v>
      </c>
      <c r="C62" s="11">
        <f t="shared" si="5"/>
        <v>155023.41398107118</v>
      </c>
      <c r="D62" s="11">
        <f t="shared" si="0"/>
        <v>937.10398438482775</v>
      </c>
      <c r="E62" s="11">
        <f t="shared" si="1"/>
        <v>155960.51796545601</v>
      </c>
      <c r="F62" s="11">
        <f t="shared" si="2"/>
        <v>113.68560745080617</v>
      </c>
      <c r="G62" s="11">
        <f t="shared" si="6"/>
        <v>1050.7895918356339</v>
      </c>
      <c r="H62" s="11">
        <f t="shared" si="3"/>
        <v>154909.72837362037</v>
      </c>
      <c r="I62" s="13"/>
      <c r="J62" s="13"/>
      <c r="K62" s="13"/>
      <c r="L62" s="13"/>
      <c r="M62" s="13"/>
      <c r="N62" s="13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75" customHeight="1">
      <c r="A63" s="37"/>
      <c r="B63" s="38">
        <f t="shared" si="4"/>
        <v>53</v>
      </c>
      <c r="C63" s="11">
        <f t="shared" si="5"/>
        <v>154909.72837362037</v>
      </c>
      <c r="D63" s="11">
        <f t="shared" si="0"/>
        <v>936.41676409356023</v>
      </c>
      <c r="E63" s="11">
        <f t="shared" si="1"/>
        <v>155846.14513771393</v>
      </c>
      <c r="F63" s="11">
        <f t="shared" si="2"/>
        <v>114.3728277420737</v>
      </c>
      <c r="G63" s="11">
        <f t="shared" si="6"/>
        <v>1050.7895918356339</v>
      </c>
      <c r="H63" s="11">
        <f t="shared" si="3"/>
        <v>154795.35554587829</v>
      </c>
      <c r="I63" s="13"/>
      <c r="J63" s="13"/>
      <c r="K63" s="13"/>
      <c r="L63" s="13"/>
      <c r="M63" s="13"/>
      <c r="N63" s="13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75" customHeight="1">
      <c r="A64" s="37"/>
      <c r="B64" s="38">
        <f t="shared" si="4"/>
        <v>54</v>
      </c>
      <c r="C64" s="11">
        <f t="shared" si="5"/>
        <v>154795.35554587829</v>
      </c>
      <c r="D64" s="11">
        <f t="shared" si="0"/>
        <v>935.72538961128009</v>
      </c>
      <c r="E64" s="11">
        <f t="shared" si="1"/>
        <v>155731.08093548956</v>
      </c>
      <c r="F64" s="11">
        <f t="shared" si="2"/>
        <v>115.06420222435383</v>
      </c>
      <c r="G64" s="11">
        <f t="shared" si="6"/>
        <v>1050.7895918356339</v>
      </c>
      <c r="H64" s="11">
        <f t="shared" si="3"/>
        <v>154680.29134365392</v>
      </c>
      <c r="I64" s="13"/>
      <c r="J64" s="13"/>
      <c r="K64" s="13"/>
      <c r="L64" s="13"/>
      <c r="M64" s="13"/>
      <c r="N64" s="13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75" customHeight="1">
      <c r="A65" s="37"/>
      <c r="B65" s="38">
        <f t="shared" si="4"/>
        <v>55</v>
      </c>
      <c r="C65" s="11">
        <f t="shared" si="5"/>
        <v>154680.29134365392</v>
      </c>
      <c r="D65" s="11">
        <f t="shared" si="0"/>
        <v>935.02983582623904</v>
      </c>
      <c r="E65" s="11">
        <f t="shared" si="1"/>
        <v>155615.32117948018</v>
      </c>
      <c r="F65" s="11">
        <f t="shared" si="2"/>
        <v>115.75975600939489</v>
      </c>
      <c r="G65" s="11">
        <f t="shared" si="6"/>
        <v>1050.7895918356339</v>
      </c>
      <c r="H65" s="11">
        <f t="shared" si="3"/>
        <v>154564.53158764454</v>
      </c>
      <c r="I65" s="13"/>
      <c r="J65" s="13"/>
      <c r="K65" s="13"/>
      <c r="L65" s="13"/>
      <c r="M65" s="13"/>
      <c r="N65" s="13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75" customHeight="1">
      <c r="A66" s="37"/>
      <c r="B66" s="38">
        <f t="shared" si="4"/>
        <v>56</v>
      </c>
      <c r="C66" s="11">
        <f t="shared" si="5"/>
        <v>154564.53158764454</v>
      </c>
      <c r="D66" s="11">
        <f t="shared" si="0"/>
        <v>934.33007747489057</v>
      </c>
      <c r="E66" s="11">
        <f t="shared" si="1"/>
        <v>155498.86166511942</v>
      </c>
      <c r="F66" s="11">
        <f t="shared" si="2"/>
        <v>116.45951436074336</v>
      </c>
      <c r="G66" s="11">
        <f t="shared" si="6"/>
        <v>1050.7895918356339</v>
      </c>
      <c r="H66" s="11">
        <f t="shared" si="3"/>
        <v>154448.07207328378</v>
      </c>
      <c r="I66" s="13"/>
      <c r="J66" s="13"/>
      <c r="K66" s="13"/>
      <c r="L66" s="13"/>
      <c r="M66" s="13"/>
      <c r="N66" s="13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75" customHeight="1">
      <c r="A67" s="37"/>
      <c r="B67" s="38">
        <f t="shared" si="4"/>
        <v>57</v>
      </c>
      <c r="C67" s="11">
        <f t="shared" si="5"/>
        <v>154448.07207328378</v>
      </c>
      <c r="D67" s="11">
        <f t="shared" si="0"/>
        <v>933.62608914097143</v>
      </c>
      <c r="E67" s="11">
        <f t="shared" si="1"/>
        <v>155381.69816242476</v>
      </c>
      <c r="F67" s="11">
        <f t="shared" si="2"/>
        <v>117.1635026946625</v>
      </c>
      <c r="G67" s="11">
        <f t="shared" si="6"/>
        <v>1050.7895918356339</v>
      </c>
      <c r="H67" s="11">
        <f t="shared" si="3"/>
        <v>154330.90857058912</v>
      </c>
      <c r="I67" s="13"/>
      <c r="J67" s="13"/>
      <c r="K67" s="13"/>
      <c r="L67" s="13"/>
      <c r="M67" s="13"/>
      <c r="N67" s="13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75" customHeight="1">
      <c r="A68" s="37"/>
      <c r="B68" s="38">
        <f t="shared" si="4"/>
        <v>58</v>
      </c>
      <c r="C68" s="11">
        <f t="shared" si="5"/>
        <v>154330.90857058912</v>
      </c>
      <c r="D68" s="11">
        <f t="shared" si="0"/>
        <v>932.91784525457979</v>
      </c>
      <c r="E68" s="11">
        <f t="shared" si="1"/>
        <v>155263.82641584371</v>
      </c>
      <c r="F68" s="11">
        <f t="shared" si="2"/>
        <v>117.87174658105414</v>
      </c>
      <c r="G68" s="11">
        <f t="shared" si="6"/>
        <v>1050.7895918356339</v>
      </c>
      <c r="H68" s="11">
        <f t="shared" si="3"/>
        <v>154213.03682400807</v>
      </c>
      <c r="I68" s="13"/>
      <c r="J68" s="13"/>
      <c r="K68" s="13"/>
      <c r="L68" s="13"/>
      <c r="M68" s="13"/>
      <c r="N68" s="13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75" customHeight="1">
      <c r="A69" s="37"/>
      <c r="B69" s="38">
        <f t="shared" si="4"/>
        <v>59</v>
      </c>
      <c r="C69" s="11">
        <f t="shared" si="5"/>
        <v>154213.03682400807</v>
      </c>
      <c r="D69" s="11">
        <f t="shared" si="0"/>
        <v>932.20532009124554</v>
      </c>
      <c r="E69" s="11">
        <f t="shared" si="1"/>
        <v>155145.24214409932</v>
      </c>
      <c r="F69" s="11">
        <f t="shared" si="2"/>
        <v>118.58427174438839</v>
      </c>
      <c r="G69" s="11">
        <f t="shared" si="6"/>
        <v>1050.7895918356339</v>
      </c>
      <c r="H69" s="11">
        <f t="shared" si="3"/>
        <v>154094.45255226368</v>
      </c>
      <c r="I69" s="13"/>
      <c r="J69" s="13"/>
      <c r="K69" s="13"/>
      <c r="L69" s="13"/>
      <c r="M69" s="13"/>
      <c r="N69" s="13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75" customHeight="1">
      <c r="A70" s="37"/>
      <c r="B70" s="38">
        <f t="shared" si="4"/>
        <v>60</v>
      </c>
      <c r="C70" s="11">
        <f t="shared" si="5"/>
        <v>154094.45255226368</v>
      </c>
      <c r="D70" s="11">
        <f t="shared" si="0"/>
        <v>931.48848777099613</v>
      </c>
      <c r="E70" s="11">
        <f t="shared" si="1"/>
        <v>155025.94104003467</v>
      </c>
      <c r="F70" s="11">
        <f t="shared" si="2"/>
        <v>119.3011040646378</v>
      </c>
      <c r="G70" s="11">
        <f t="shared" si="6"/>
        <v>1050.7895918356339</v>
      </c>
      <c r="H70" s="11">
        <f t="shared" si="3"/>
        <v>153975.15144819903</v>
      </c>
      <c r="I70" s="13"/>
      <c r="J70" s="13"/>
      <c r="K70" s="13"/>
      <c r="L70" s="13"/>
      <c r="M70" s="13"/>
      <c r="N70" s="13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75" customHeight="1">
      <c r="A71" s="37"/>
      <c r="B71" s="38">
        <f t="shared" si="4"/>
        <v>61</v>
      </c>
      <c r="C71" s="11">
        <f t="shared" si="5"/>
        <v>153975.15144819903</v>
      </c>
      <c r="D71" s="11">
        <f t="shared" si="0"/>
        <v>930.76732225741671</v>
      </c>
      <c r="E71" s="11">
        <f t="shared" si="1"/>
        <v>154905.91877045645</v>
      </c>
      <c r="F71" s="11">
        <f t="shared" si="2"/>
        <v>120.02226957821722</v>
      </c>
      <c r="G71" s="11">
        <f t="shared" si="6"/>
        <v>1050.7895918356339</v>
      </c>
      <c r="H71" s="11">
        <f t="shared" si="3"/>
        <v>153855.12917862082</v>
      </c>
      <c r="I71" s="13"/>
      <c r="J71" s="13"/>
      <c r="K71" s="13"/>
      <c r="L71" s="13"/>
      <c r="M71" s="13"/>
      <c r="N71" s="13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75" customHeight="1">
      <c r="A72" s="37"/>
      <c r="B72" s="38">
        <f t="shared" si="4"/>
        <v>62</v>
      </c>
      <c r="C72" s="11">
        <f t="shared" si="5"/>
        <v>153855.12917862082</v>
      </c>
      <c r="D72" s="11">
        <f t="shared" si="0"/>
        <v>930.04179735670471</v>
      </c>
      <c r="E72" s="11">
        <f t="shared" si="1"/>
        <v>154785.17097597753</v>
      </c>
      <c r="F72" s="11">
        <f t="shared" si="2"/>
        <v>120.74779447892922</v>
      </c>
      <c r="G72" s="11">
        <f t="shared" si="6"/>
        <v>1050.7895918356339</v>
      </c>
      <c r="H72" s="11">
        <f t="shared" si="3"/>
        <v>153734.38138414189</v>
      </c>
      <c r="I72" s="13"/>
      <c r="J72" s="13"/>
      <c r="K72" s="13"/>
      <c r="L72" s="13"/>
      <c r="M72" s="13"/>
      <c r="N72" s="13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75" customHeight="1">
      <c r="A73" s="37"/>
      <c r="B73" s="38">
        <f t="shared" si="4"/>
        <v>63</v>
      </c>
      <c r="C73" s="11">
        <f t="shared" si="5"/>
        <v>153734.38138414189</v>
      </c>
      <c r="D73" s="11">
        <f t="shared" si="0"/>
        <v>929.31188671671771</v>
      </c>
      <c r="E73" s="11">
        <f t="shared" si="1"/>
        <v>154663.69327085861</v>
      </c>
      <c r="F73" s="11">
        <f t="shared" si="2"/>
        <v>121.47770511891622</v>
      </c>
      <c r="G73" s="11">
        <f t="shared" si="6"/>
        <v>1050.7895918356339</v>
      </c>
      <c r="H73" s="11">
        <f t="shared" si="3"/>
        <v>153612.90367902297</v>
      </c>
      <c r="I73" s="13"/>
      <c r="J73" s="13"/>
      <c r="K73" s="13"/>
      <c r="L73" s="13"/>
      <c r="M73" s="13"/>
      <c r="N73" s="13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75" customHeight="1">
      <c r="A74" s="37"/>
      <c r="B74" s="38">
        <f t="shared" si="4"/>
        <v>64</v>
      </c>
      <c r="C74" s="11">
        <f t="shared" si="5"/>
        <v>153612.90367902297</v>
      </c>
      <c r="D74" s="11">
        <f t="shared" si="0"/>
        <v>928.57756382601713</v>
      </c>
      <c r="E74" s="11">
        <f t="shared" si="1"/>
        <v>154541.481242849</v>
      </c>
      <c r="F74" s="11">
        <f t="shared" si="2"/>
        <v>122.2120280096168</v>
      </c>
      <c r="G74" s="11">
        <f t="shared" si="6"/>
        <v>1050.7895918356339</v>
      </c>
      <c r="H74" s="11">
        <f t="shared" si="3"/>
        <v>153490.69165101336</v>
      </c>
      <c r="I74" s="13"/>
      <c r="J74" s="13"/>
      <c r="K74" s="13"/>
      <c r="L74" s="13"/>
      <c r="M74" s="13"/>
      <c r="N74" s="13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75" customHeight="1">
      <c r="A75" s="37"/>
      <c r="B75" s="38">
        <f t="shared" si="4"/>
        <v>65</v>
      </c>
      <c r="C75" s="11">
        <f t="shared" si="5"/>
        <v>153490.69165101336</v>
      </c>
      <c r="D75" s="11">
        <f t="shared" si="0"/>
        <v>927.83880201290447</v>
      </c>
      <c r="E75" s="11">
        <f t="shared" si="1"/>
        <v>154418.53045302627</v>
      </c>
      <c r="F75" s="11">
        <f t="shared" si="2"/>
        <v>122.95078982272946</v>
      </c>
      <c r="G75" s="11">
        <f t="shared" si="6"/>
        <v>1050.7895918356339</v>
      </c>
      <c r="H75" s="11">
        <f t="shared" si="3"/>
        <v>153367.74086119063</v>
      </c>
      <c r="I75" s="13"/>
      <c r="J75" s="13"/>
      <c r="K75" s="13"/>
      <c r="L75" s="13"/>
      <c r="M75" s="13"/>
      <c r="N75" s="13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75" customHeight="1">
      <c r="A76" s="37"/>
      <c r="B76" s="38">
        <f t="shared" si="4"/>
        <v>66</v>
      </c>
      <c r="C76" s="11">
        <f t="shared" si="5"/>
        <v>153367.74086119063</v>
      </c>
      <c r="D76" s="11">
        <f t="shared" si="0"/>
        <v>927.0955744444534</v>
      </c>
      <c r="E76" s="11">
        <f t="shared" si="1"/>
        <v>154294.83643563508</v>
      </c>
      <c r="F76" s="11">
        <f t="shared" si="2"/>
        <v>123.69401739118052</v>
      </c>
      <c r="G76" s="11">
        <f t="shared" si="6"/>
        <v>1050.7895918356339</v>
      </c>
      <c r="H76" s="11">
        <f t="shared" si="3"/>
        <v>153244.04684379944</v>
      </c>
      <c r="I76" s="13"/>
      <c r="J76" s="13"/>
      <c r="K76" s="13"/>
      <c r="L76" s="13"/>
      <c r="M76" s="13"/>
      <c r="N76" s="13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75" customHeight="1">
      <c r="A77" s="37"/>
      <c r="B77" s="38">
        <f t="shared" si="4"/>
        <v>67</v>
      </c>
      <c r="C77" s="11">
        <f t="shared" si="5"/>
        <v>153244.04684379944</v>
      </c>
      <c r="D77" s="11">
        <f t="shared" si="0"/>
        <v>926.34785412553435</v>
      </c>
      <c r="E77" s="11">
        <f t="shared" si="1"/>
        <v>154170.39469792499</v>
      </c>
      <c r="F77" s="11">
        <f t="shared" si="2"/>
        <v>124.44173771009957</v>
      </c>
      <c r="G77" s="11">
        <f t="shared" si="6"/>
        <v>1050.7895918356339</v>
      </c>
      <c r="H77" s="11">
        <f t="shared" si="3"/>
        <v>153119.60510608935</v>
      </c>
      <c r="I77" s="13"/>
      <c r="J77" s="13"/>
      <c r="K77" s="13"/>
      <c r="L77" s="13"/>
      <c r="M77" s="13"/>
      <c r="N77" s="13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75" customHeight="1">
      <c r="A78" s="37"/>
      <c r="B78" s="38">
        <f t="shared" si="4"/>
        <v>68</v>
      </c>
      <c r="C78" s="11">
        <f t="shared" si="5"/>
        <v>153119.60510608935</v>
      </c>
      <c r="D78" s="11">
        <f t="shared" si="0"/>
        <v>925.59561389783471</v>
      </c>
      <c r="E78" s="11">
        <f t="shared" si="1"/>
        <v>154045.20071998719</v>
      </c>
      <c r="F78" s="11">
        <f t="shared" si="2"/>
        <v>125.19397793779922</v>
      </c>
      <c r="G78" s="11">
        <f t="shared" si="6"/>
        <v>1050.7895918356339</v>
      </c>
      <c r="H78" s="11">
        <f t="shared" si="3"/>
        <v>152994.41112815155</v>
      </c>
      <c r="I78" s="13"/>
      <c r="J78" s="13"/>
      <c r="K78" s="13"/>
      <c r="L78" s="13"/>
      <c r="M78" s="13"/>
      <c r="N78" s="13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75" customHeight="1">
      <c r="A79" s="37"/>
      <c r="B79" s="38">
        <f t="shared" si="4"/>
        <v>69</v>
      </c>
      <c r="C79" s="11">
        <f t="shared" si="5"/>
        <v>152994.41112815155</v>
      </c>
      <c r="D79" s="11">
        <f t="shared" si="0"/>
        <v>924.83882643887171</v>
      </c>
      <c r="E79" s="11">
        <f t="shared" si="1"/>
        <v>153919.24995459043</v>
      </c>
      <c r="F79" s="11">
        <f t="shared" si="2"/>
        <v>125.95076539676222</v>
      </c>
      <c r="G79" s="11">
        <f t="shared" si="6"/>
        <v>1050.7895918356339</v>
      </c>
      <c r="H79" s="11">
        <f t="shared" si="3"/>
        <v>152868.46036275479</v>
      </c>
      <c r="I79" s="13"/>
      <c r="J79" s="13"/>
      <c r="K79" s="13"/>
      <c r="L79" s="13"/>
      <c r="M79" s="13"/>
      <c r="N79" s="13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75" customHeight="1">
      <c r="A80" s="37"/>
      <c r="B80" s="38">
        <f t="shared" si="4"/>
        <v>70</v>
      </c>
      <c r="C80" s="11">
        <f t="shared" si="5"/>
        <v>152868.46036275479</v>
      </c>
      <c r="D80" s="11">
        <f t="shared" si="0"/>
        <v>924.07746426100073</v>
      </c>
      <c r="E80" s="11">
        <f t="shared" si="1"/>
        <v>153792.5378270158</v>
      </c>
      <c r="F80" s="11">
        <f t="shared" si="2"/>
        <v>126.7121275746332</v>
      </c>
      <c r="G80" s="11">
        <f t="shared" si="6"/>
        <v>1050.7895918356339</v>
      </c>
      <c r="H80" s="11">
        <f t="shared" si="3"/>
        <v>152741.74823518016</v>
      </c>
      <c r="I80" s="13"/>
      <c r="J80" s="13"/>
      <c r="K80" s="13"/>
      <c r="L80" s="13"/>
      <c r="M80" s="13"/>
      <c r="N80" s="13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75" customHeight="1">
      <c r="A81" s="37"/>
      <c r="B81" s="38">
        <f t="shared" si="4"/>
        <v>71</v>
      </c>
      <c r="C81" s="11">
        <f t="shared" si="5"/>
        <v>152741.74823518016</v>
      </c>
      <c r="D81" s="11">
        <f t="shared" si="0"/>
        <v>923.31149971041634</v>
      </c>
      <c r="E81" s="11">
        <f t="shared" si="1"/>
        <v>153665.05973489059</v>
      </c>
      <c r="F81" s="11">
        <f t="shared" si="2"/>
        <v>127.47809212521759</v>
      </c>
      <c r="G81" s="11">
        <f t="shared" si="6"/>
        <v>1050.7895918356339</v>
      </c>
      <c r="H81" s="11">
        <f t="shared" si="3"/>
        <v>152614.27014305495</v>
      </c>
      <c r="I81" s="13"/>
      <c r="J81" s="13"/>
      <c r="K81" s="13"/>
      <c r="L81" s="13"/>
      <c r="M81" s="13"/>
      <c r="N81" s="13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75" customHeight="1">
      <c r="A82" s="37"/>
      <c r="B82" s="38">
        <f t="shared" si="4"/>
        <v>72</v>
      </c>
      <c r="C82" s="11">
        <f t="shared" si="5"/>
        <v>152614.27014305495</v>
      </c>
      <c r="D82" s="11">
        <f t="shared" si="0"/>
        <v>922.54090496614833</v>
      </c>
      <c r="E82" s="11">
        <f t="shared" si="1"/>
        <v>153536.8110480211</v>
      </c>
      <c r="F82" s="11">
        <f t="shared" si="2"/>
        <v>128.2486868694856</v>
      </c>
      <c r="G82" s="11">
        <f t="shared" si="6"/>
        <v>1050.7895918356339</v>
      </c>
      <c r="H82" s="11">
        <f t="shared" si="3"/>
        <v>152486.02145618547</v>
      </c>
      <c r="I82" s="13"/>
      <c r="J82" s="13"/>
      <c r="K82" s="13"/>
      <c r="L82" s="13"/>
      <c r="M82" s="13"/>
      <c r="N82" s="13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75" customHeight="1">
      <c r="A83" s="37"/>
      <c r="B83" s="38">
        <f t="shared" si="4"/>
        <v>73</v>
      </c>
      <c r="C83" s="11">
        <f t="shared" si="5"/>
        <v>152486.02145618547</v>
      </c>
      <c r="D83" s="11">
        <f t="shared" si="0"/>
        <v>921.76565203905056</v>
      </c>
      <c r="E83" s="11">
        <f t="shared" si="1"/>
        <v>153407.78710822453</v>
      </c>
      <c r="F83" s="11">
        <f t="shared" si="2"/>
        <v>129.02393979658336</v>
      </c>
      <c r="G83" s="11">
        <f t="shared" si="6"/>
        <v>1050.7895918356339</v>
      </c>
      <c r="H83" s="11">
        <f t="shared" si="3"/>
        <v>152356.99751638889</v>
      </c>
      <c r="I83" s="13"/>
      <c r="J83" s="13"/>
      <c r="K83" s="13"/>
      <c r="L83" s="13"/>
      <c r="M83" s="13"/>
      <c r="N83" s="13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75" customHeight="1">
      <c r="A84" s="37"/>
      <c r="B84" s="38">
        <f t="shared" si="4"/>
        <v>74</v>
      </c>
      <c r="C84" s="11">
        <f t="shared" si="5"/>
        <v>152356.99751638889</v>
      </c>
      <c r="D84" s="11">
        <f t="shared" si="0"/>
        <v>920.98571277078509</v>
      </c>
      <c r="E84" s="11">
        <f t="shared" si="1"/>
        <v>153277.98322915967</v>
      </c>
      <c r="F84" s="11">
        <f t="shared" si="2"/>
        <v>129.80387906484884</v>
      </c>
      <c r="G84" s="11">
        <f t="shared" si="6"/>
        <v>1050.7895918356339</v>
      </c>
      <c r="H84" s="11">
        <f t="shared" si="3"/>
        <v>152227.19363732403</v>
      </c>
      <c r="I84" s="13"/>
      <c r="J84" s="13"/>
      <c r="K84" s="13"/>
      <c r="L84" s="13"/>
      <c r="M84" s="13"/>
      <c r="N84" s="13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75" customHeight="1">
      <c r="A85" s="37"/>
      <c r="B85" s="38">
        <f t="shared" si="4"/>
        <v>75</v>
      </c>
      <c r="C85" s="11">
        <f t="shared" si="5"/>
        <v>152227.19363732403</v>
      </c>
      <c r="D85" s="11">
        <f t="shared" si="0"/>
        <v>920.20105883279905</v>
      </c>
      <c r="E85" s="11">
        <f t="shared" si="1"/>
        <v>153147.39469615684</v>
      </c>
      <c r="F85" s="11">
        <f t="shared" si="2"/>
        <v>130.58853300283488</v>
      </c>
      <c r="G85" s="11">
        <f t="shared" si="6"/>
        <v>1050.7895918356339</v>
      </c>
      <c r="H85" s="11">
        <f t="shared" si="3"/>
        <v>152096.60510432121</v>
      </c>
      <c r="I85" s="13"/>
      <c r="J85" s="13"/>
      <c r="K85" s="13"/>
      <c r="L85" s="13"/>
      <c r="M85" s="13"/>
      <c r="N85" s="13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75" customHeight="1">
      <c r="A86" s="37"/>
      <c r="B86" s="38">
        <f t="shared" si="4"/>
        <v>76</v>
      </c>
      <c r="C86" s="11">
        <f t="shared" si="5"/>
        <v>152096.60510432121</v>
      </c>
      <c r="D86" s="11">
        <f t="shared" si="0"/>
        <v>919.41166172529597</v>
      </c>
      <c r="E86" s="11">
        <f t="shared" si="1"/>
        <v>153016.01676604649</v>
      </c>
      <c r="F86" s="11">
        <f t="shared" si="2"/>
        <v>131.37793011033796</v>
      </c>
      <c r="G86" s="11">
        <f t="shared" si="6"/>
        <v>1050.7895918356339</v>
      </c>
      <c r="H86" s="11">
        <f t="shared" si="3"/>
        <v>151965.22717421086</v>
      </c>
      <c r="I86" s="13"/>
      <c r="J86" s="13"/>
      <c r="K86" s="13"/>
      <c r="L86" s="13"/>
      <c r="M86" s="13"/>
      <c r="N86" s="13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75" customHeight="1">
      <c r="A87" s="37"/>
      <c r="B87" s="38">
        <f t="shared" si="4"/>
        <v>77</v>
      </c>
      <c r="C87" s="11">
        <f t="shared" si="5"/>
        <v>151965.22717421086</v>
      </c>
      <c r="D87" s="11">
        <f t="shared" si="0"/>
        <v>918.61749277619981</v>
      </c>
      <c r="E87" s="11">
        <f t="shared" si="1"/>
        <v>152883.84466698705</v>
      </c>
      <c r="F87" s="11">
        <f t="shared" si="2"/>
        <v>132.17209905943412</v>
      </c>
      <c r="G87" s="11">
        <f t="shared" si="6"/>
        <v>1050.7895918356339</v>
      </c>
      <c r="H87" s="11">
        <f t="shared" si="3"/>
        <v>151833.05507515141</v>
      </c>
      <c r="I87" s="13"/>
      <c r="J87" s="13"/>
      <c r="K87" s="13"/>
      <c r="L87" s="13"/>
      <c r="M87" s="13"/>
      <c r="N87" s="13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75" customHeight="1">
      <c r="A88" s="37"/>
      <c r="B88" s="38">
        <f t="shared" si="4"/>
        <v>78</v>
      </c>
      <c r="C88" s="11">
        <f t="shared" si="5"/>
        <v>151833.05507515141</v>
      </c>
      <c r="D88" s="11">
        <f t="shared" si="0"/>
        <v>917.81852314011485</v>
      </c>
      <c r="E88" s="11">
        <f t="shared" si="1"/>
        <v>152750.87359829154</v>
      </c>
      <c r="F88" s="11">
        <f t="shared" si="2"/>
        <v>132.97106869551908</v>
      </c>
      <c r="G88" s="11">
        <f t="shared" si="6"/>
        <v>1050.7895918356339</v>
      </c>
      <c r="H88" s="11">
        <f t="shared" si="3"/>
        <v>151700.0840064559</v>
      </c>
      <c r="I88" s="13"/>
      <c r="J88" s="13"/>
      <c r="K88" s="13"/>
      <c r="L88" s="13"/>
      <c r="M88" s="13"/>
      <c r="N88" s="13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75" customHeight="1">
      <c r="A89" s="37"/>
      <c r="B89" s="38">
        <f t="shared" si="4"/>
        <v>79</v>
      </c>
      <c r="C89" s="11">
        <f t="shared" si="5"/>
        <v>151700.0840064559</v>
      </c>
      <c r="D89" s="11">
        <f t="shared" si="0"/>
        <v>917.01472379727693</v>
      </c>
      <c r="E89" s="11">
        <f t="shared" si="1"/>
        <v>152617.09873025317</v>
      </c>
      <c r="F89" s="11">
        <f t="shared" si="2"/>
        <v>133.774868038357</v>
      </c>
      <c r="G89" s="11">
        <f t="shared" si="6"/>
        <v>1050.7895918356339</v>
      </c>
      <c r="H89" s="11">
        <f t="shared" si="3"/>
        <v>151566.30913841753</v>
      </c>
      <c r="I89" s="13"/>
      <c r="J89" s="13"/>
      <c r="K89" s="13"/>
      <c r="L89" s="13"/>
      <c r="M89" s="13"/>
      <c r="N89" s="13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75" customHeight="1">
      <c r="A90" s="37"/>
      <c r="B90" s="38">
        <f t="shared" si="4"/>
        <v>80</v>
      </c>
      <c r="C90" s="11">
        <f t="shared" si="5"/>
        <v>151566.30913841753</v>
      </c>
      <c r="D90" s="11">
        <f t="shared" si="0"/>
        <v>916.20606555249969</v>
      </c>
      <c r="E90" s="11">
        <f t="shared" si="1"/>
        <v>152482.51520397005</v>
      </c>
      <c r="F90" s="11">
        <f t="shared" si="2"/>
        <v>134.58352628313423</v>
      </c>
      <c r="G90" s="11">
        <f t="shared" si="6"/>
        <v>1050.7895918356339</v>
      </c>
      <c r="H90" s="11">
        <f t="shared" si="3"/>
        <v>151431.72561213441</v>
      </c>
      <c r="I90" s="13"/>
      <c r="J90" s="13"/>
      <c r="K90" s="13"/>
      <c r="L90" s="13"/>
      <c r="M90" s="13"/>
      <c r="N90" s="13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75" customHeight="1">
      <c r="A91" s="37"/>
      <c r="B91" s="38">
        <f t="shared" si="4"/>
        <v>81</v>
      </c>
      <c r="C91" s="11">
        <f t="shared" si="5"/>
        <v>151431.72561213441</v>
      </c>
      <c r="D91" s="11">
        <f t="shared" si="0"/>
        <v>915.39251903411457</v>
      </c>
      <c r="E91" s="11">
        <f t="shared" si="1"/>
        <v>152347.11813116854</v>
      </c>
      <c r="F91" s="11">
        <f t="shared" si="2"/>
        <v>135.39707280151936</v>
      </c>
      <c r="G91" s="11">
        <f t="shared" si="6"/>
        <v>1050.7895918356339</v>
      </c>
      <c r="H91" s="11">
        <f t="shared" si="3"/>
        <v>151296.3285393329</v>
      </c>
      <c r="I91" s="13"/>
      <c r="J91" s="13"/>
      <c r="K91" s="13"/>
      <c r="L91" s="13"/>
      <c r="M91" s="13"/>
      <c r="N91" s="13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75" customHeight="1">
      <c r="A92" s="37"/>
      <c r="B92" s="38">
        <f t="shared" si="4"/>
        <v>82</v>
      </c>
      <c r="C92" s="11">
        <f t="shared" si="5"/>
        <v>151296.3285393329</v>
      </c>
      <c r="D92" s="11">
        <f t="shared" si="0"/>
        <v>914.57405469290336</v>
      </c>
      <c r="E92" s="11">
        <f t="shared" si="1"/>
        <v>152210.9025940258</v>
      </c>
      <c r="F92" s="11">
        <f t="shared" si="2"/>
        <v>136.21553714273057</v>
      </c>
      <c r="G92" s="11">
        <f t="shared" si="6"/>
        <v>1050.7895918356339</v>
      </c>
      <c r="H92" s="11">
        <f t="shared" si="3"/>
        <v>151160.11300219016</v>
      </c>
      <c r="I92" s="13"/>
      <c r="J92" s="13"/>
      <c r="K92" s="13"/>
      <c r="L92" s="13"/>
      <c r="M92" s="13"/>
      <c r="N92" s="13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75" customHeight="1">
      <c r="A93" s="37"/>
      <c r="B93" s="38">
        <f t="shared" si="4"/>
        <v>83</v>
      </c>
      <c r="C93" s="11">
        <f t="shared" si="5"/>
        <v>151160.11300219016</v>
      </c>
      <c r="D93" s="11">
        <f t="shared" si="0"/>
        <v>913.75064280102504</v>
      </c>
      <c r="E93" s="11">
        <f t="shared" si="1"/>
        <v>152073.86364499119</v>
      </c>
      <c r="F93" s="11">
        <f t="shared" si="2"/>
        <v>137.03894903460889</v>
      </c>
      <c r="G93" s="11">
        <f t="shared" si="6"/>
        <v>1050.7895918356339</v>
      </c>
      <c r="H93" s="11">
        <f t="shared" si="3"/>
        <v>151023.07405315555</v>
      </c>
      <c r="I93" s="13"/>
      <c r="J93" s="13"/>
      <c r="K93" s="13"/>
      <c r="L93" s="13"/>
      <c r="M93" s="13"/>
      <c r="N93" s="13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75" customHeight="1">
      <c r="A94" s="37"/>
      <c r="B94" s="38">
        <f t="shared" si="4"/>
        <v>84</v>
      </c>
      <c r="C94" s="11">
        <f t="shared" si="5"/>
        <v>151023.07405315555</v>
      </c>
      <c r="D94" s="11">
        <f t="shared" si="0"/>
        <v>912.92225345093675</v>
      </c>
      <c r="E94" s="11">
        <f t="shared" si="1"/>
        <v>151935.99630660648</v>
      </c>
      <c r="F94" s="11">
        <f t="shared" si="2"/>
        <v>137.86733838469718</v>
      </c>
      <c r="G94" s="11">
        <f t="shared" si="6"/>
        <v>1050.7895918356339</v>
      </c>
      <c r="H94" s="11">
        <f t="shared" si="3"/>
        <v>150885.20671477084</v>
      </c>
      <c r="I94" s="13"/>
      <c r="J94" s="13"/>
      <c r="K94" s="13"/>
      <c r="L94" s="13"/>
      <c r="M94" s="13"/>
      <c r="N94" s="13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75" customHeight="1">
      <c r="A95" s="37"/>
      <c r="B95" s="38">
        <f t="shared" si="4"/>
        <v>85</v>
      </c>
      <c r="C95" s="11">
        <f t="shared" si="5"/>
        <v>150885.20671477084</v>
      </c>
      <c r="D95" s="11">
        <f t="shared" si="0"/>
        <v>912.08885655430663</v>
      </c>
      <c r="E95" s="11">
        <f t="shared" si="1"/>
        <v>151797.29557132514</v>
      </c>
      <c r="F95" s="11">
        <f t="shared" si="2"/>
        <v>138.7007352813273</v>
      </c>
      <c r="G95" s="11">
        <f t="shared" si="6"/>
        <v>1050.7895918356339</v>
      </c>
      <c r="H95" s="11">
        <f t="shared" si="3"/>
        <v>150746.50597948951</v>
      </c>
      <c r="I95" s="13"/>
      <c r="J95" s="13"/>
      <c r="K95" s="13"/>
      <c r="L95" s="13"/>
      <c r="M95" s="13"/>
      <c r="N95" s="13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75" customHeight="1">
      <c r="A96" s="37"/>
      <c r="B96" s="38">
        <f t="shared" si="4"/>
        <v>86</v>
      </c>
      <c r="C96" s="11">
        <f t="shared" si="5"/>
        <v>150746.50597948951</v>
      </c>
      <c r="D96" s="11">
        <f t="shared" si="0"/>
        <v>911.25042184092126</v>
      </c>
      <c r="E96" s="11">
        <f t="shared" si="1"/>
        <v>151657.75640133044</v>
      </c>
      <c r="F96" s="11">
        <f t="shared" si="2"/>
        <v>139.53916999471267</v>
      </c>
      <c r="G96" s="11">
        <f t="shared" si="6"/>
        <v>1050.7895918356339</v>
      </c>
      <c r="H96" s="11">
        <f t="shared" si="3"/>
        <v>150606.9668094948</v>
      </c>
      <c r="I96" s="13"/>
      <c r="J96" s="13"/>
      <c r="K96" s="13"/>
      <c r="L96" s="13"/>
      <c r="M96" s="13"/>
      <c r="N96" s="13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75" customHeight="1">
      <c r="A97" s="37"/>
      <c r="B97" s="38">
        <f t="shared" si="4"/>
        <v>87</v>
      </c>
      <c r="C97" s="11">
        <f t="shared" si="5"/>
        <v>150606.9668094948</v>
      </c>
      <c r="D97" s="11">
        <f t="shared" si="0"/>
        <v>910.40691885758633</v>
      </c>
      <c r="E97" s="11">
        <f t="shared" si="1"/>
        <v>151517.3737283524</v>
      </c>
      <c r="F97" s="11">
        <f t="shared" si="2"/>
        <v>140.38267297804759</v>
      </c>
      <c r="G97" s="11">
        <f t="shared" si="6"/>
        <v>1050.7895918356339</v>
      </c>
      <c r="H97" s="11">
        <f t="shared" si="3"/>
        <v>150466.58413651676</v>
      </c>
      <c r="I97" s="13"/>
      <c r="J97" s="13"/>
      <c r="K97" s="13"/>
      <c r="L97" s="13"/>
      <c r="M97" s="13"/>
      <c r="N97" s="13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75" customHeight="1">
      <c r="A98" s="37"/>
      <c r="B98" s="38">
        <f t="shared" si="4"/>
        <v>88</v>
      </c>
      <c r="C98" s="11">
        <f t="shared" si="5"/>
        <v>150466.58413651676</v>
      </c>
      <c r="D98" s="11">
        <f t="shared" si="0"/>
        <v>909.55831696702046</v>
      </c>
      <c r="E98" s="11">
        <f t="shared" si="1"/>
        <v>151376.14245348377</v>
      </c>
      <c r="F98" s="11">
        <f t="shared" si="2"/>
        <v>141.23127486861347</v>
      </c>
      <c r="G98" s="11">
        <f t="shared" si="6"/>
        <v>1050.7895918356339</v>
      </c>
      <c r="H98" s="11">
        <f t="shared" si="3"/>
        <v>150325.35286164813</v>
      </c>
      <c r="I98" s="13"/>
      <c r="J98" s="13"/>
      <c r="K98" s="13"/>
      <c r="L98" s="13"/>
      <c r="M98" s="13"/>
      <c r="N98" s="13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75" customHeight="1">
      <c r="A99" s="37"/>
      <c r="B99" s="38">
        <f t="shared" si="4"/>
        <v>89</v>
      </c>
      <c r="C99" s="11">
        <f t="shared" si="5"/>
        <v>150325.35286164813</v>
      </c>
      <c r="D99" s="11">
        <f t="shared" si="0"/>
        <v>908.70458534674219</v>
      </c>
      <c r="E99" s="11">
        <f t="shared" si="1"/>
        <v>151234.05744699488</v>
      </c>
      <c r="F99" s="11">
        <f t="shared" si="2"/>
        <v>142.08500648889174</v>
      </c>
      <c r="G99" s="11">
        <f t="shared" si="6"/>
        <v>1050.7895918356339</v>
      </c>
      <c r="H99" s="11">
        <f t="shared" si="3"/>
        <v>150183.26785515924</v>
      </c>
      <c r="I99" s="13"/>
      <c r="J99" s="13"/>
      <c r="K99" s="13"/>
      <c r="L99" s="13"/>
      <c r="M99" s="13"/>
      <c r="N99" s="13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75" customHeight="1">
      <c r="A100" s="37"/>
      <c r="B100" s="38">
        <f t="shared" si="4"/>
        <v>90</v>
      </c>
      <c r="C100" s="11">
        <f t="shared" si="5"/>
        <v>150183.26785515924</v>
      </c>
      <c r="D100" s="11">
        <f t="shared" si="0"/>
        <v>907.84569298795077</v>
      </c>
      <c r="E100" s="11">
        <f t="shared" si="1"/>
        <v>151091.1135481472</v>
      </c>
      <c r="F100" s="11">
        <f t="shared" si="2"/>
        <v>142.94389884768316</v>
      </c>
      <c r="G100" s="11">
        <f t="shared" si="6"/>
        <v>1050.7895918356339</v>
      </c>
      <c r="H100" s="11">
        <f t="shared" si="3"/>
        <v>150040.32395631156</v>
      </c>
      <c r="I100" s="13"/>
      <c r="J100" s="13"/>
      <c r="K100" s="13"/>
      <c r="L100" s="13"/>
      <c r="M100" s="13"/>
      <c r="N100" s="13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75" customHeight="1">
      <c r="A101" s="37"/>
      <c r="B101" s="38">
        <f t="shared" si="4"/>
        <v>91</v>
      </c>
      <c r="C101" s="11">
        <f t="shared" si="5"/>
        <v>150040.32395631156</v>
      </c>
      <c r="D101" s="11">
        <f t="shared" si="0"/>
        <v>906.98160869440005</v>
      </c>
      <c r="E101" s="11">
        <f t="shared" si="1"/>
        <v>150947.30556500595</v>
      </c>
      <c r="F101" s="11">
        <f t="shared" si="2"/>
        <v>143.80798314123388</v>
      </c>
      <c r="G101" s="11">
        <f t="shared" si="6"/>
        <v>1050.7895918356339</v>
      </c>
      <c r="H101" s="11">
        <f t="shared" si="3"/>
        <v>149896.51597317032</v>
      </c>
      <c r="I101" s="13"/>
      <c r="J101" s="13"/>
      <c r="K101" s="13"/>
      <c r="L101" s="13"/>
      <c r="M101" s="13"/>
      <c r="N101" s="13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75" customHeight="1">
      <c r="A102" s="37"/>
      <c r="B102" s="38">
        <f t="shared" si="4"/>
        <v>92</v>
      </c>
      <c r="C102" s="11">
        <f t="shared" si="5"/>
        <v>149896.51597317032</v>
      </c>
      <c r="D102" s="11">
        <f t="shared" si="0"/>
        <v>906.11230108126449</v>
      </c>
      <c r="E102" s="11">
        <f t="shared" si="1"/>
        <v>150802.62827425159</v>
      </c>
      <c r="F102" s="11">
        <f t="shared" si="2"/>
        <v>144.67729075436944</v>
      </c>
      <c r="G102" s="11">
        <f t="shared" si="6"/>
        <v>1050.7895918356339</v>
      </c>
      <c r="H102" s="11">
        <f t="shared" si="3"/>
        <v>149751.83868241595</v>
      </c>
      <c r="I102" s="13"/>
      <c r="J102" s="13"/>
      <c r="K102" s="13"/>
      <c r="L102" s="13"/>
      <c r="M102" s="13"/>
      <c r="N102" s="13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75" customHeight="1">
      <c r="A103" s="37"/>
      <c r="B103" s="38">
        <f t="shared" si="4"/>
        <v>93</v>
      </c>
      <c r="C103" s="11">
        <f t="shared" si="5"/>
        <v>149751.83868241595</v>
      </c>
      <c r="D103" s="11">
        <f t="shared" si="0"/>
        <v>905.23773857400045</v>
      </c>
      <c r="E103" s="11">
        <f t="shared" si="1"/>
        <v>150657.07642098996</v>
      </c>
      <c r="F103" s="11">
        <f t="shared" si="2"/>
        <v>145.55185326163348</v>
      </c>
      <c r="G103" s="11">
        <f t="shared" si="6"/>
        <v>1050.7895918356339</v>
      </c>
      <c r="H103" s="11">
        <f t="shared" si="3"/>
        <v>149606.28682915433</v>
      </c>
      <c r="I103" s="13"/>
      <c r="J103" s="13"/>
      <c r="K103" s="13"/>
      <c r="L103" s="13"/>
      <c r="M103" s="13"/>
      <c r="N103" s="13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75" customHeight="1">
      <c r="A104" s="37"/>
      <c r="B104" s="38">
        <f t="shared" si="4"/>
        <v>94</v>
      </c>
      <c r="C104" s="11">
        <f t="shared" si="5"/>
        <v>149606.28682915433</v>
      </c>
      <c r="D104" s="11">
        <f t="shared" si="0"/>
        <v>904.3578894071984</v>
      </c>
      <c r="E104" s="11">
        <f t="shared" si="1"/>
        <v>150510.64471856153</v>
      </c>
      <c r="F104" s="11">
        <f t="shared" si="2"/>
        <v>146.43170242843553</v>
      </c>
      <c r="G104" s="11">
        <f t="shared" si="6"/>
        <v>1050.7895918356339</v>
      </c>
      <c r="H104" s="11">
        <f t="shared" si="3"/>
        <v>149459.85512672589</v>
      </c>
      <c r="I104" s="13"/>
      <c r="J104" s="13"/>
      <c r="K104" s="13"/>
      <c r="L104" s="13"/>
      <c r="M104" s="13"/>
      <c r="N104" s="13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75" customHeight="1">
      <c r="A105" s="37"/>
      <c r="B105" s="38">
        <f t="shared" si="4"/>
        <v>95</v>
      </c>
      <c r="C105" s="11">
        <f t="shared" si="5"/>
        <v>149459.85512672589</v>
      </c>
      <c r="D105" s="11">
        <f t="shared" si="0"/>
        <v>903.47272162342927</v>
      </c>
      <c r="E105" s="11">
        <f t="shared" si="1"/>
        <v>150363.32784834932</v>
      </c>
      <c r="F105" s="11">
        <f t="shared" si="2"/>
        <v>147.31687021220466</v>
      </c>
      <c r="G105" s="11">
        <f t="shared" si="6"/>
        <v>1050.7895918356339</v>
      </c>
      <c r="H105" s="11">
        <f t="shared" si="3"/>
        <v>149312.53825651368</v>
      </c>
      <c r="I105" s="13"/>
      <c r="J105" s="13"/>
      <c r="K105" s="13"/>
      <c r="L105" s="13"/>
      <c r="M105" s="13"/>
      <c r="N105" s="13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75" customHeight="1">
      <c r="A106" s="37"/>
      <c r="B106" s="38">
        <f t="shared" si="4"/>
        <v>96</v>
      </c>
      <c r="C106" s="11">
        <f t="shared" si="5"/>
        <v>149312.53825651368</v>
      </c>
      <c r="D106" s="11">
        <f t="shared" si="0"/>
        <v>902.58220307208444</v>
      </c>
      <c r="E106" s="11">
        <f t="shared" si="1"/>
        <v>150215.12045958577</v>
      </c>
      <c r="F106" s="11">
        <f t="shared" si="2"/>
        <v>148.20738876354949</v>
      </c>
      <c r="G106" s="11">
        <f t="shared" si="6"/>
        <v>1050.7895918356339</v>
      </c>
      <c r="H106" s="11">
        <f t="shared" si="3"/>
        <v>149164.33086775013</v>
      </c>
      <c r="I106" s="13"/>
      <c r="J106" s="13"/>
      <c r="K106" s="13"/>
      <c r="L106" s="13"/>
      <c r="M106" s="13"/>
      <c r="N106" s="13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75" customHeight="1">
      <c r="A107" s="37"/>
      <c r="B107" s="38">
        <f t="shared" si="4"/>
        <v>97</v>
      </c>
      <c r="C107" s="11">
        <f t="shared" si="5"/>
        <v>149164.33086775013</v>
      </c>
      <c r="D107" s="11">
        <f t="shared" si="0"/>
        <v>901.68630140820699</v>
      </c>
      <c r="E107" s="11">
        <f t="shared" si="1"/>
        <v>150066.01716915835</v>
      </c>
      <c r="F107" s="11">
        <f t="shared" si="2"/>
        <v>149.10329042742694</v>
      </c>
      <c r="G107" s="11">
        <f t="shared" si="6"/>
        <v>1050.7895918356339</v>
      </c>
      <c r="H107" s="11">
        <f t="shared" si="3"/>
        <v>149015.22757732272</v>
      </c>
      <c r="I107" s="13"/>
      <c r="J107" s="13"/>
      <c r="K107" s="13"/>
      <c r="L107" s="13"/>
      <c r="M107" s="13"/>
      <c r="N107" s="13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75" customHeight="1">
      <c r="A108" s="37"/>
      <c r="B108" s="38">
        <f t="shared" si="4"/>
        <v>98</v>
      </c>
      <c r="C108" s="11">
        <f t="shared" si="5"/>
        <v>149015.22757732272</v>
      </c>
      <c r="D108" s="11">
        <f t="shared" si="0"/>
        <v>900.78498409131782</v>
      </c>
      <c r="E108" s="11">
        <f t="shared" si="1"/>
        <v>149916.01256141404</v>
      </c>
      <c r="F108" s="11">
        <f t="shared" si="2"/>
        <v>150.0046077443161</v>
      </c>
      <c r="G108" s="11">
        <f t="shared" si="6"/>
        <v>1050.7895918356339</v>
      </c>
      <c r="H108" s="11">
        <f t="shared" si="3"/>
        <v>148865.2229695784</v>
      </c>
      <c r="I108" s="13"/>
      <c r="J108" s="13"/>
      <c r="K108" s="13"/>
      <c r="L108" s="13"/>
      <c r="M108" s="13"/>
      <c r="N108" s="13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75" customHeight="1">
      <c r="A109" s="37"/>
      <c r="B109" s="38">
        <f t="shared" si="4"/>
        <v>99</v>
      </c>
      <c r="C109" s="11">
        <f t="shared" si="5"/>
        <v>148865.2229695784</v>
      </c>
      <c r="D109" s="11">
        <f t="shared" si="0"/>
        <v>899.87821838423281</v>
      </c>
      <c r="E109" s="11">
        <f t="shared" si="1"/>
        <v>149765.10118796263</v>
      </c>
      <c r="F109" s="11">
        <f t="shared" si="2"/>
        <v>150.91137345140112</v>
      </c>
      <c r="G109" s="11">
        <f t="shared" si="6"/>
        <v>1050.7895918356339</v>
      </c>
      <c r="H109" s="11">
        <f t="shared" si="3"/>
        <v>148714.31159612699</v>
      </c>
      <c r="I109" s="13"/>
      <c r="J109" s="13"/>
      <c r="K109" s="13"/>
      <c r="L109" s="13"/>
      <c r="M109" s="13"/>
      <c r="N109" s="13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75" customHeight="1">
      <c r="A110" s="37"/>
      <c r="B110" s="38">
        <f t="shared" si="4"/>
        <v>100</v>
      </c>
      <c r="C110" s="11">
        <f t="shared" si="5"/>
        <v>148714.31159612699</v>
      </c>
      <c r="D110" s="11">
        <f t="shared" si="0"/>
        <v>898.96597135187437</v>
      </c>
      <c r="E110" s="11">
        <f t="shared" si="1"/>
        <v>149613.27756747886</v>
      </c>
      <c r="F110" s="11">
        <f t="shared" si="2"/>
        <v>151.82362048375956</v>
      </c>
      <c r="G110" s="11">
        <f t="shared" si="6"/>
        <v>1050.7895918356339</v>
      </c>
      <c r="H110" s="11">
        <f t="shared" si="3"/>
        <v>148562.48797564322</v>
      </c>
      <c r="I110" s="13"/>
      <c r="J110" s="13"/>
      <c r="K110" s="13"/>
      <c r="L110" s="13"/>
      <c r="M110" s="13"/>
      <c r="N110" s="13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75" customHeight="1">
      <c r="A111" s="37"/>
      <c r="B111" s="38">
        <f t="shared" si="4"/>
        <v>101</v>
      </c>
      <c r="C111" s="11">
        <f t="shared" si="5"/>
        <v>148562.48797564322</v>
      </c>
      <c r="D111" s="11">
        <f t="shared" si="0"/>
        <v>898.04820986007519</v>
      </c>
      <c r="E111" s="11">
        <f t="shared" si="1"/>
        <v>149460.5361855033</v>
      </c>
      <c r="F111" s="11">
        <f t="shared" si="2"/>
        <v>152.74138197555874</v>
      </c>
      <c r="G111" s="11">
        <f t="shared" si="6"/>
        <v>1050.7895918356339</v>
      </c>
      <c r="H111" s="11">
        <f t="shared" si="3"/>
        <v>148409.74659366766</v>
      </c>
      <c r="I111" s="13"/>
      <c r="J111" s="13"/>
      <c r="K111" s="13"/>
      <c r="L111" s="13"/>
      <c r="M111" s="13"/>
      <c r="N111" s="13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75" customHeight="1">
      <c r="A112" s="37"/>
      <c r="B112" s="38">
        <f t="shared" si="4"/>
        <v>102</v>
      </c>
      <c r="C112" s="11">
        <f t="shared" si="5"/>
        <v>148409.74659366766</v>
      </c>
      <c r="D112" s="11">
        <f t="shared" si="0"/>
        <v>897.12490057437446</v>
      </c>
      <c r="E112" s="11">
        <f t="shared" si="1"/>
        <v>149306.87149424205</v>
      </c>
      <c r="F112" s="11">
        <f t="shared" si="2"/>
        <v>153.66469126125946</v>
      </c>
      <c r="G112" s="11">
        <f t="shared" si="6"/>
        <v>1050.7895918356339</v>
      </c>
      <c r="H112" s="11">
        <f t="shared" si="3"/>
        <v>148256.08190240641</v>
      </c>
      <c r="I112" s="13"/>
      <c r="J112" s="13"/>
      <c r="K112" s="13"/>
      <c r="L112" s="13"/>
      <c r="M112" s="13"/>
      <c r="N112" s="13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75" customHeight="1">
      <c r="A113" s="37"/>
      <c r="B113" s="38">
        <f t="shared" si="4"/>
        <v>103</v>
      </c>
      <c r="C113" s="11">
        <f t="shared" si="5"/>
        <v>148256.08190240641</v>
      </c>
      <c r="D113" s="11">
        <f t="shared" si="0"/>
        <v>896.19600995880751</v>
      </c>
      <c r="E113" s="11">
        <f t="shared" si="1"/>
        <v>149152.27791236521</v>
      </c>
      <c r="F113" s="11">
        <f t="shared" si="2"/>
        <v>154.59358187682642</v>
      </c>
      <c r="G113" s="11">
        <f t="shared" si="6"/>
        <v>1050.7895918356339</v>
      </c>
      <c r="H113" s="11">
        <f t="shared" si="3"/>
        <v>148101.48832052958</v>
      </c>
      <c r="I113" s="13"/>
      <c r="J113" s="13"/>
      <c r="K113" s="13"/>
      <c r="L113" s="13"/>
      <c r="M113" s="13"/>
      <c r="N113" s="13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75" customHeight="1">
      <c r="A114" s="37"/>
      <c r="B114" s="38">
        <f t="shared" si="4"/>
        <v>104</v>
      </c>
      <c r="C114" s="11">
        <f t="shared" si="5"/>
        <v>148101.48832052958</v>
      </c>
      <c r="D114" s="11">
        <f t="shared" si="0"/>
        <v>895.26150427468679</v>
      </c>
      <c r="E114" s="11">
        <f t="shared" si="1"/>
        <v>148996.74982480425</v>
      </c>
      <c r="F114" s="11">
        <f t="shared" si="2"/>
        <v>155.52808756094714</v>
      </c>
      <c r="G114" s="11">
        <f t="shared" si="6"/>
        <v>1050.7895918356339</v>
      </c>
      <c r="H114" s="11">
        <f t="shared" si="3"/>
        <v>147945.96023296862</v>
      </c>
      <c r="I114" s="13"/>
      <c r="J114" s="13"/>
      <c r="K114" s="13"/>
      <c r="L114" s="13"/>
      <c r="M114" s="13"/>
      <c r="N114" s="13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75" customHeight="1">
      <c r="A115" s="37"/>
      <c r="B115" s="38">
        <f t="shared" si="4"/>
        <v>105</v>
      </c>
      <c r="C115" s="11">
        <f t="shared" si="5"/>
        <v>147945.96023296862</v>
      </c>
      <c r="D115" s="11">
        <f t="shared" si="0"/>
        <v>894.32134957937785</v>
      </c>
      <c r="E115" s="11">
        <f t="shared" si="1"/>
        <v>148840.28158254799</v>
      </c>
      <c r="F115" s="11">
        <f t="shared" si="2"/>
        <v>156.46824225625608</v>
      </c>
      <c r="G115" s="11">
        <f t="shared" si="6"/>
        <v>1050.7895918356339</v>
      </c>
      <c r="H115" s="11">
        <f t="shared" si="3"/>
        <v>147789.49199071235</v>
      </c>
      <c r="I115" s="13"/>
      <c r="J115" s="13"/>
      <c r="K115" s="13"/>
      <c r="L115" s="13"/>
      <c r="M115" s="13"/>
      <c r="N115" s="13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75" customHeight="1">
      <c r="A116" s="37"/>
      <c r="B116" s="38">
        <f t="shared" si="4"/>
        <v>106</v>
      </c>
      <c r="C116" s="11">
        <f t="shared" si="5"/>
        <v>147789.49199071235</v>
      </c>
      <c r="D116" s="11">
        <f t="shared" si="0"/>
        <v>893.37551172506551</v>
      </c>
      <c r="E116" s="11">
        <f t="shared" si="1"/>
        <v>148682.86750243741</v>
      </c>
      <c r="F116" s="11">
        <f t="shared" si="2"/>
        <v>157.41408011056842</v>
      </c>
      <c r="G116" s="11">
        <f t="shared" si="6"/>
        <v>1050.7895918356339</v>
      </c>
      <c r="H116" s="11">
        <f t="shared" si="3"/>
        <v>147632.07791060177</v>
      </c>
      <c r="I116" s="13"/>
      <c r="J116" s="13"/>
      <c r="K116" s="13"/>
      <c r="L116" s="13"/>
      <c r="M116" s="13"/>
      <c r="N116" s="13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75" customHeight="1">
      <c r="A117" s="37"/>
      <c r="B117" s="38">
        <f t="shared" si="4"/>
        <v>107</v>
      </c>
      <c r="C117" s="11">
        <f t="shared" si="5"/>
        <v>147632.07791060177</v>
      </c>
      <c r="D117" s="11">
        <f t="shared" si="0"/>
        <v>892.4239563575137</v>
      </c>
      <c r="E117" s="11">
        <f t="shared" si="1"/>
        <v>148524.5018669593</v>
      </c>
      <c r="F117" s="11">
        <f t="shared" si="2"/>
        <v>158.36563547812023</v>
      </c>
      <c r="G117" s="11">
        <f t="shared" si="6"/>
        <v>1050.7895918356339</v>
      </c>
      <c r="H117" s="11">
        <f t="shared" si="3"/>
        <v>147473.71227512366</v>
      </c>
      <c r="I117" s="13"/>
      <c r="J117" s="13"/>
      <c r="K117" s="13"/>
      <c r="L117" s="13"/>
      <c r="M117" s="13"/>
      <c r="N117" s="13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75" customHeight="1">
      <c r="A118" s="37"/>
      <c r="B118" s="38">
        <f t="shared" si="4"/>
        <v>108</v>
      </c>
      <c r="C118" s="11">
        <f t="shared" si="5"/>
        <v>147473.71227512366</v>
      </c>
      <c r="D118" s="11">
        <f t="shared" si="0"/>
        <v>891.46664891481794</v>
      </c>
      <c r="E118" s="11">
        <f t="shared" si="1"/>
        <v>148365.17892403848</v>
      </c>
      <c r="F118" s="11">
        <f t="shared" si="2"/>
        <v>159.32294292081599</v>
      </c>
      <c r="G118" s="11">
        <f t="shared" si="6"/>
        <v>1050.7895918356339</v>
      </c>
      <c r="H118" s="11">
        <f t="shared" si="3"/>
        <v>147314.38933220285</v>
      </c>
      <c r="I118" s="13"/>
      <c r="J118" s="13"/>
      <c r="K118" s="13"/>
      <c r="L118" s="13"/>
      <c r="M118" s="13"/>
      <c r="N118" s="13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75" customHeight="1">
      <c r="A119" s="37"/>
      <c r="B119" s="38">
        <f t="shared" si="4"/>
        <v>109</v>
      </c>
      <c r="C119" s="11">
        <f t="shared" si="5"/>
        <v>147314.38933220285</v>
      </c>
      <c r="D119" s="11">
        <f t="shared" si="0"/>
        <v>890.50355462614982</v>
      </c>
      <c r="E119" s="11">
        <f t="shared" si="1"/>
        <v>148204.89288682901</v>
      </c>
      <c r="F119" s="11">
        <f t="shared" si="2"/>
        <v>160.28603720948411</v>
      </c>
      <c r="G119" s="11">
        <f t="shared" si="6"/>
        <v>1050.7895918356339</v>
      </c>
      <c r="H119" s="11">
        <f t="shared" si="3"/>
        <v>147154.10329499337</v>
      </c>
      <c r="I119" s="13"/>
      <c r="J119" s="13"/>
      <c r="K119" s="13"/>
      <c r="L119" s="13"/>
      <c r="M119" s="13"/>
      <c r="N119" s="13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75" customHeight="1">
      <c r="A120" s="37"/>
      <c r="B120" s="38">
        <f t="shared" si="4"/>
        <v>110</v>
      </c>
      <c r="C120" s="11">
        <f t="shared" si="5"/>
        <v>147154.10329499337</v>
      </c>
      <c r="D120" s="11">
        <f t="shared" si="0"/>
        <v>889.53463851049389</v>
      </c>
      <c r="E120" s="11">
        <f t="shared" si="1"/>
        <v>148043.63793350387</v>
      </c>
      <c r="F120" s="11">
        <f t="shared" si="2"/>
        <v>161.25495332514004</v>
      </c>
      <c r="G120" s="11">
        <f t="shared" si="6"/>
        <v>1050.7895918356339</v>
      </c>
      <c r="H120" s="11">
        <f t="shared" si="3"/>
        <v>146992.84834166823</v>
      </c>
      <c r="I120" s="13"/>
      <c r="J120" s="13"/>
      <c r="K120" s="13"/>
      <c r="L120" s="13"/>
      <c r="M120" s="13"/>
      <c r="N120" s="13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75" customHeight="1">
      <c r="A121" s="37"/>
      <c r="B121" s="38">
        <f t="shared" si="4"/>
        <v>111</v>
      </c>
      <c r="C121" s="11">
        <f t="shared" si="5"/>
        <v>146992.84834166823</v>
      </c>
      <c r="D121" s="11">
        <f t="shared" si="0"/>
        <v>888.55986537537751</v>
      </c>
      <c r="E121" s="11">
        <f t="shared" si="1"/>
        <v>147881.4082070436</v>
      </c>
      <c r="F121" s="11">
        <f t="shared" si="2"/>
        <v>162.22972646025642</v>
      </c>
      <c r="G121" s="11">
        <f t="shared" si="6"/>
        <v>1050.7895918356339</v>
      </c>
      <c r="H121" s="11">
        <f t="shared" si="3"/>
        <v>146830.61861520796</v>
      </c>
      <c r="I121" s="13"/>
      <c r="J121" s="13"/>
      <c r="K121" s="13"/>
      <c r="L121" s="13"/>
      <c r="M121" s="13"/>
      <c r="N121" s="13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75" customHeight="1">
      <c r="A122" s="37"/>
      <c r="B122" s="38">
        <f t="shared" si="4"/>
        <v>112</v>
      </c>
      <c r="C122" s="11">
        <f t="shared" si="5"/>
        <v>146830.61861520796</v>
      </c>
      <c r="D122" s="11">
        <f t="shared" si="0"/>
        <v>887.57919981559212</v>
      </c>
      <c r="E122" s="11">
        <f t="shared" si="1"/>
        <v>147718.19781502357</v>
      </c>
      <c r="F122" s="11">
        <f t="shared" si="2"/>
        <v>163.21039202004181</v>
      </c>
      <c r="G122" s="11">
        <f t="shared" si="6"/>
        <v>1050.7895918356339</v>
      </c>
      <c r="H122" s="11">
        <f t="shared" si="3"/>
        <v>146667.40822318793</v>
      </c>
      <c r="I122" s="13"/>
      <c r="J122" s="13"/>
      <c r="K122" s="13"/>
      <c r="L122" s="13"/>
      <c r="M122" s="13"/>
      <c r="N122" s="13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75" customHeight="1">
      <c r="A123" s="37"/>
      <c r="B123" s="38">
        <f t="shared" si="4"/>
        <v>113</v>
      </c>
      <c r="C123" s="11">
        <f t="shared" si="5"/>
        <v>146667.40822318793</v>
      </c>
      <c r="D123" s="11">
        <f t="shared" si="0"/>
        <v>886.59260621190822</v>
      </c>
      <c r="E123" s="11">
        <f t="shared" si="1"/>
        <v>147554.00082939983</v>
      </c>
      <c r="F123" s="11">
        <f t="shared" si="2"/>
        <v>164.19698562372571</v>
      </c>
      <c r="G123" s="11">
        <f t="shared" si="6"/>
        <v>1050.7895918356339</v>
      </c>
      <c r="H123" s="11">
        <f t="shared" si="3"/>
        <v>146503.21123756419</v>
      </c>
      <c r="I123" s="13"/>
      <c r="J123" s="13"/>
      <c r="K123" s="13"/>
      <c r="L123" s="13"/>
      <c r="M123" s="13"/>
      <c r="N123" s="13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75" customHeight="1">
      <c r="A124" s="37"/>
      <c r="B124" s="38">
        <f t="shared" si="4"/>
        <v>114</v>
      </c>
      <c r="C124" s="11">
        <f t="shared" si="5"/>
        <v>146503.21123756419</v>
      </c>
      <c r="D124" s="11">
        <f t="shared" si="0"/>
        <v>885.60004872977981</v>
      </c>
      <c r="E124" s="11">
        <f t="shared" si="1"/>
        <v>147388.81128629396</v>
      </c>
      <c r="F124" s="11">
        <f t="shared" si="2"/>
        <v>165.18954310585411</v>
      </c>
      <c r="G124" s="11">
        <f t="shared" si="6"/>
        <v>1050.7895918356339</v>
      </c>
      <c r="H124" s="11">
        <f t="shared" si="3"/>
        <v>146338.02169445832</v>
      </c>
      <c r="I124" s="13"/>
      <c r="J124" s="13"/>
      <c r="K124" s="13"/>
      <c r="L124" s="13"/>
      <c r="M124" s="13"/>
      <c r="N124" s="13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75" customHeight="1">
      <c r="A125" s="37"/>
      <c r="B125" s="38">
        <f t="shared" si="4"/>
        <v>115</v>
      </c>
      <c r="C125" s="11">
        <f t="shared" si="5"/>
        <v>146338.02169445832</v>
      </c>
      <c r="D125" s="11">
        <f t="shared" si="0"/>
        <v>884.60149131804519</v>
      </c>
      <c r="E125" s="11">
        <f t="shared" si="1"/>
        <v>147222.62318577638</v>
      </c>
      <c r="F125" s="11">
        <f t="shared" si="2"/>
        <v>166.18810051758874</v>
      </c>
      <c r="G125" s="11">
        <f t="shared" si="6"/>
        <v>1050.7895918356339</v>
      </c>
      <c r="H125" s="11">
        <f t="shared" si="3"/>
        <v>146171.83359394074</v>
      </c>
      <c r="I125" s="13"/>
      <c r="J125" s="13"/>
      <c r="K125" s="13"/>
      <c r="L125" s="13"/>
      <c r="M125" s="13"/>
      <c r="N125" s="13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75" customHeight="1">
      <c r="A126" s="37"/>
      <c r="B126" s="38">
        <f t="shared" si="4"/>
        <v>116</v>
      </c>
      <c r="C126" s="11">
        <f t="shared" si="5"/>
        <v>146171.83359394074</v>
      </c>
      <c r="D126" s="11">
        <f t="shared" si="0"/>
        <v>883.59689770761554</v>
      </c>
      <c r="E126" s="11">
        <f t="shared" si="1"/>
        <v>147055.43049164835</v>
      </c>
      <c r="F126" s="11">
        <f t="shared" si="2"/>
        <v>167.19269412801839</v>
      </c>
      <c r="G126" s="11">
        <f t="shared" si="6"/>
        <v>1050.7895918356339</v>
      </c>
      <c r="H126" s="11">
        <f t="shared" si="3"/>
        <v>146004.64089981272</v>
      </c>
      <c r="I126" s="13"/>
      <c r="J126" s="13"/>
      <c r="K126" s="13"/>
      <c r="L126" s="13"/>
      <c r="M126" s="13"/>
      <c r="N126" s="13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75" customHeight="1">
      <c r="A127" s="37"/>
      <c r="B127" s="38">
        <f t="shared" si="4"/>
        <v>117</v>
      </c>
      <c r="C127" s="11">
        <f t="shared" si="5"/>
        <v>146004.64089981272</v>
      </c>
      <c r="D127" s="11">
        <f t="shared" si="0"/>
        <v>882.58623141015846</v>
      </c>
      <c r="E127" s="11">
        <f t="shared" si="1"/>
        <v>146887.22713122287</v>
      </c>
      <c r="F127" s="11">
        <f t="shared" si="2"/>
        <v>168.20336042547547</v>
      </c>
      <c r="G127" s="11">
        <f t="shared" si="6"/>
        <v>1050.7895918356339</v>
      </c>
      <c r="H127" s="11">
        <f t="shared" si="3"/>
        <v>145836.43753938723</v>
      </c>
      <c r="I127" s="13"/>
      <c r="J127" s="13"/>
      <c r="K127" s="13"/>
      <c r="L127" s="13"/>
      <c r="M127" s="13"/>
      <c r="N127" s="13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75" customHeight="1">
      <c r="A128" s="37"/>
      <c r="B128" s="38">
        <f t="shared" si="4"/>
        <v>118</v>
      </c>
      <c r="C128" s="11">
        <f t="shared" si="5"/>
        <v>145836.43753938723</v>
      </c>
      <c r="D128" s="11">
        <f t="shared" si="0"/>
        <v>881.56945571677261</v>
      </c>
      <c r="E128" s="11">
        <f t="shared" si="1"/>
        <v>146718.00699510399</v>
      </c>
      <c r="F128" s="11">
        <f t="shared" si="2"/>
        <v>169.22013611886132</v>
      </c>
      <c r="G128" s="11">
        <f t="shared" si="6"/>
        <v>1050.7895918356339</v>
      </c>
      <c r="H128" s="11">
        <f t="shared" si="3"/>
        <v>145667.21740326835</v>
      </c>
      <c r="I128" s="13"/>
      <c r="J128" s="13"/>
      <c r="K128" s="13"/>
      <c r="L128" s="13"/>
      <c r="M128" s="13"/>
      <c r="N128" s="13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75" customHeight="1">
      <c r="A129" s="37"/>
      <c r="B129" s="38">
        <f t="shared" si="4"/>
        <v>119</v>
      </c>
      <c r="C129" s="11">
        <f t="shared" si="5"/>
        <v>145667.21740326835</v>
      </c>
      <c r="D129" s="11">
        <f t="shared" si="0"/>
        <v>880.54653369665436</v>
      </c>
      <c r="E129" s="11">
        <f t="shared" si="1"/>
        <v>146547.763936965</v>
      </c>
      <c r="F129" s="11">
        <f t="shared" si="2"/>
        <v>170.24305813897956</v>
      </c>
      <c r="G129" s="11">
        <f t="shared" si="6"/>
        <v>1050.7895918356339</v>
      </c>
      <c r="H129" s="11">
        <f t="shared" si="3"/>
        <v>145496.97434512936</v>
      </c>
      <c r="I129" s="13"/>
      <c r="J129" s="13"/>
      <c r="K129" s="13"/>
      <c r="L129" s="13"/>
      <c r="M129" s="13"/>
      <c r="N129" s="13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75" customHeight="1">
      <c r="A130" s="37"/>
      <c r="B130" s="38">
        <f t="shared" si="4"/>
        <v>120</v>
      </c>
      <c r="C130" s="11">
        <f t="shared" si="5"/>
        <v>145496.97434512936</v>
      </c>
      <c r="D130" s="11">
        <f t="shared" si="0"/>
        <v>879.51742819575634</v>
      </c>
      <c r="E130" s="11">
        <f t="shared" si="1"/>
        <v>146376.49177332511</v>
      </c>
      <c r="F130" s="11">
        <f t="shared" si="2"/>
        <v>171.27216363987759</v>
      </c>
      <c r="G130" s="11">
        <f t="shared" si="6"/>
        <v>1050.7895918356339</v>
      </c>
      <c r="H130" s="11">
        <f t="shared" si="3"/>
        <v>145325.70218148947</v>
      </c>
      <c r="I130" s="13"/>
      <c r="J130" s="13"/>
      <c r="K130" s="13"/>
      <c r="L130" s="13"/>
      <c r="M130" s="13"/>
      <c r="N130" s="13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75" customHeight="1">
      <c r="A131" s="37"/>
      <c r="B131" s="38">
        <f t="shared" si="4"/>
        <v>121</v>
      </c>
      <c r="C131" s="11">
        <f t="shared" si="5"/>
        <v>145325.70218148947</v>
      </c>
      <c r="D131" s="11">
        <f t="shared" si="0"/>
        <v>878.48210183543802</v>
      </c>
      <c r="E131" s="11">
        <f t="shared" si="1"/>
        <v>146204.1842833249</v>
      </c>
      <c r="F131" s="11">
        <f t="shared" si="2"/>
        <v>172.30749000019591</v>
      </c>
      <c r="G131" s="11">
        <f t="shared" si="6"/>
        <v>1050.7895918356339</v>
      </c>
      <c r="H131" s="11">
        <f t="shared" si="3"/>
        <v>145153.39469148926</v>
      </c>
      <c r="I131" s="13"/>
      <c r="J131" s="13"/>
      <c r="K131" s="13"/>
      <c r="L131" s="13"/>
      <c r="M131" s="13"/>
      <c r="N131" s="13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75" customHeight="1">
      <c r="A132" s="37"/>
      <c r="B132" s="38">
        <f t="shared" si="4"/>
        <v>122</v>
      </c>
      <c r="C132" s="11">
        <f t="shared" si="5"/>
        <v>145153.39469148926</v>
      </c>
      <c r="D132" s="11">
        <f t="shared" si="0"/>
        <v>877.44051701110777</v>
      </c>
      <c r="E132" s="11">
        <f t="shared" si="1"/>
        <v>146030.83520850036</v>
      </c>
      <c r="F132" s="11">
        <f t="shared" si="2"/>
        <v>173.34907482452616</v>
      </c>
      <c r="G132" s="11">
        <f t="shared" si="6"/>
        <v>1050.7895918356339</v>
      </c>
      <c r="H132" s="11">
        <f t="shared" si="3"/>
        <v>144980.04561666472</v>
      </c>
      <c r="I132" s="13"/>
      <c r="J132" s="13"/>
      <c r="K132" s="13"/>
      <c r="L132" s="13"/>
      <c r="M132" s="13"/>
      <c r="N132" s="13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75" customHeight="1">
      <c r="A133" s="37"/>
      <c r="B133" s="38">
        <f t="shared" si="4"/>
        <v>123</v>
      </c>
      <c r="C133" s="11">
        <f t="shared" si="5"/>
        <v>144980.04561666472</v>
      </c>
      <c r="D133" s="11">
        <f t="shared" si="0"/>
        <v>876.3926358908576</v>
      </c>
      <c r="E133" s="11">
        <f t="shared" si="1"/>
        <v>145856.43825255558</v>
      </c>
      <c r="F133" s="11">
        <f t="shared" si="2"/>
        <v>174.39695594477632</v>
      </c>
      <c r="G133" s="11">
        <f t="shared" si="6"/>
        <v>1050.7895918356339</v>
      </c>
      <c r="H133" s="11">
        <f t="shared" si="3"/>
        <v>144805.64866071995</v>
      </c>
      <c r="I133" s="13"/>
      <c r="J133" s="13"/>
      <c r="K133" s="13"/>
      <c r="L133" s="13"/>
      <c r="M133" s="13"/>
      <c r="N133" s="13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75" customHeight="1">
      <c r="A134" s="37"/>
      <c r="B134" s="38">
        <f t="shared" si="4"/>
        <v>124</v>
      </c>
      <c r="C134" s="11">
        <f t="shared" si="5"/>
        <v>144805.64866071995</v>
      </c>
      <c r="D134" s="11">
        <f t="shared" si="0"/>
        <v>875.33842041408843</v>
      </c>
      <c r="E134" s="11">
        <f t="shared" si="1"/>
        <v>145680.98708113402</v>
      </c>
      <c r="F134" s="11">
        <f t="shared" si="2"/>
        <v>175.4511714215455</v>
      </c>
      <c r="G134" s="11">
        <f t="shared" si="6"/>
        <v>1050.7895918356339</v>
      </c>
      <c r="H134" s="11">
        <f t="shared" si="3"/>
        <v>144630.19748929839</v>
      </c>
      <c r="I134" s="13"/>
      <c r="J134" s="13"/>
      <c r="K134" s="13"/>
      <c r="L134" s="13"/>
      <c r="M134" s="13"/>
      <c r="N134" s="13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75" customHeight="1">
      <c r="A135" s="37"/>
      <c r="B135" s="38">
        <f t="shared" si="4"/>
        <v>125</v>
      </c>
      <c r="C135" s="11">
        <f t="shared" si="5"/>
        <v>144630.19748929839</v>
      </c>
      <c r="D135" s="11">
        <f t="shared" si="0"/>
        <v>874.277832290128</v>
      </c>
      <c r="E135" s="11">
        <f t="shared" si="1"/>
        <v>145504.47532158851</v>
      </c>
      <c r="F135" s="11">
        <f t="shared" si="2"/>
        <v>176.51175954550592</v>
      </c>
      <c r="G135" s="11">
        <f t="shared" si="6"/>
        <v>1050.7895918356339</v>
      </c>
      <c r="H135" s="11">
        <f t="shared" si="3"/>
        <v>144453.68572975288</v>
      </c>
      <c r="I135" s="13"/>
      <c r="J135" s="13"/>
      <c r="K135" s="13"/>
      <c r="L135" s="13"/>
      <c r="M135" s="13"/>
      <c r="N135" s="13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75" customHeight="1">
      <c r="A136" s="37"/>
      <c r="B136" s="38">
        <f t="shared" si="4"/>
        <v>126</v>
      </c>
      <c r="C136" s="11">
        <f t="shared" si="5"/>
        <v>144453.68572975288</v>
      </c>
      <c r="D136" s="11">
        <f t="shared" si="0"/>
        <v>873.21083299684017</v>
      </c>
      <c r="E136" s="11">
        <f t="shared" si="1"/>
        <v>145326.89656274972</v>
      </c>
      <c r="F136" s="11">
        <f t="shared" si="2"/>
        <v>177.57875883879376</v>
      </c>
      <c r="G136" s="11">
        <f t="shared" si="6"/>
        <v>1050.7895918356339</v>
      </c>
      <c r="H136" s="11">
        <f t="shared" si="3"/>
        <v>144276.10697091409</v>
      </c>
      <c r="I136" s="13"/>
      <c r="J136" s="13"/>
      <c r="K136" s="13"/>
      <c r="L136" s="13"/>
      <c r="M136" s="13"/>
      <c r="N136" s="13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75" customHeight="1">
      <c r="A137" s="37"/>
      <c r="B137" s="38">
        <f t="shared" si="4"/>
        <v>127</v>
      </c>
      <c r="C137" s="11">
        <f t="shared" si="5"/>
        <v>144276.10697091409</v>
      </c>
      <c r="D137" s="11">
        <f t="shared" si="0"/>
        <v>872.13738377922539</v>
      </c>
      <c r="E137" s="11">
        <f t="shared" si="1"/>
        <v>145148.24435469331</v>
      </c>
      <c r="F137" s="11">
        <f t="shared" si="2"/>
        <v>178.65220805640854</v>
      </c>
      <c r="G137" s="11">
        <f t="shared" si="6"/>
        <v>1050.7895918356339</v>
      </c>
      <c r="H137" s="11">
        <f t="shared" si="3"/>
        <v>144097.45476285767</v>
      </c>
      <c r="I137" s="13"/>
      <c r="J137" s="13"/>
      <c r="K137" s="13"/>
      <c r="L137" s="13"/>
      <c r="M137" s="13"/>
      <c r="N137" s="13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75" customHeight="1">
      <c r="A138" s="37"/>
      <c r="B138" s="38">
        <f t="shared" si="4"/>
        <v>128</v>
      </c>
      <c r="C138" s="11">
        <f t="shared" si="5"/>
        <v>144097.45476285767</v>
      </c>
      <c r="D138" s="11">
        <f t="shared" si="0"/>
        <v>871.05744564801341</v>
      </c>
      <c r="E138" s="11">
        <f t="shared" si="1"/>
        <v>144968.51220850568</v>
      </c>
      <c r="F138" s="11">
        <f t="shared" si="2"/>
        <v>179.73214618762051</v>
      </c>
      <c r="G138" s="11">
        <f t="shared" si="6"/>
        <v>1050.7895918356339</v>
      </c>
      <c r="H138" s="11">
        <f t="shared" si="3"/>
        <v>143917.72261667004</v>
      </c>
      <c r="I138" s="13"/>
      <c r="J138" s="13"/>
      <c r="K138" s="13"/>
      <c r="L138" s="13"/>
      <c r="M138" s="13"/>
      <c r="N138" s="13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75" customHeight="1">
      <c r="A139" s="37"/>
      <c r="B139" s="38">
        <f t="shared" si="4"/>
        <v>129</v>
      </c>
      <c r="C139" s="11">
        <f t="shared" si="5"/>
        <v>143917.72261667004</v>
      </c>
      <c r="D139" s="11">
        <f t="shared" si="0"/>
        <v>869.97097937824708</v>
      </c>
      <c r="E139" s="11">
        <f t="shared" si="1"/>
        <v>144787.69359604828</v>
      </c>
      <c r="F139" s="11">
        <f t="shared" si="2"/>
        <v>180.81861245738685</v>
      </c>
      <c r="G139" s="11">
        <f t="shared" si="6"/>
        <v>1050.7895918356339</v>
      </c>
      <c r="H139" s="11">
        <f t="shared" si="3"/>
        <v>143736.90400421264</v>
      </c>
      <c r="I139" s="13"/>
      <c r="J139" s="13"/>
      <c r="K139" s="13"/>
      <c r="L139" s="13"/>
      <c r="M139" s="13"/>
      <c r="N139" s="13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75" customHeight="1">
      <c r="A140" s="37"/>
      <c r="B140" s="38">
        <f t="shared" si="4"/>
        <v>130</v>
      </c>
      <c r="C140" s="11">
        <f t="shared" si="5"/>
        <v>143736.90400421264</v>
      </c>
      <c r="D140" s="11">
        <f t="shared" si="0"/>
        <v>868.87794550785736</v>
      </c>
      <c r="E140" s="11">
        <f t="shared" si="1"/>
        <v>144605.78194972049</v>
      </c>
      <c r="F140" s="11">
        <f t="shared" si="2"/>
        <v>181.91164632777657</v>
      </c>
      <c r="G140" s="11">
        <f t="shared" si="6"/>
        <v>1050.7895918356339</v>
      </c>
      <c r="H140" s="11">
        <f t="shared" si="3"/>
        <v>143554.99235788485</v>
      </c>
      <c r="I140" s="13"/>
      <c r="J140" s="13"/>
      <c r="K140" s="13"/>
      <c r="L140" s="13"/>
      <c r="M140" s="13"/>
      <c r="N140" s="13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75" customHeight="1">
      <c r="A141" s="37"/>
      <c r="B141" s="38">
        <f t="shared" si="4"/>
        <v>131</v>
      </c>
      <c r="C141" s="11">
        <f t="shared" si="5"/>
        <v>143554.99235788485</v>
      </c>
      <c r="D141" s="11">
        <f t="shared" si="0"/>
        <v>867.77830433623024</v>
      </c>
      <c r="E141" s="11">
        <f t="shared" si="1"/>
        <v>144422.7706622211</v>
      </c>
      <c r="F141" s="11">
        <f t="shared" si="2"/>
        <v>183.01128749940369</v>
      </c>
      <c r="G141" s="11">
        <f t="shared" si="6"/>
        <v>1050.7895918356339</v>
      </c>
      <c r="H141" s="11">
        <f t="shared" si="3"/>
        <v>143371.98107038546</v>
      </c>
      <c r="I141" s="13"/>
      <c r="J141" s="13"/>
      <c r="K141" s="13"/>
      <c r="L141" s="13"/>
      <c r="M141" s="13"/>
      <c r="N141" s="13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75" customHeight="1">
      <c r="A142" s="37"/>
      <c r="B142" s="38">
        <f t="shared" si="4"/>
        <v>132</v>
      </c>
      <c r="C142" s="11">
        <f t="shared" si="5"/>
        <v>143371.98107038546</v>
      </c>
      <c r="D142" s="11">
        <f t="shared" si="0"/>
        <v>866.67201592276501</v>
      </c>
      <c r="E142" s="11">
        <f t="shared" si="1"/>
        <v>144238.65308630822</v>
      </c>
      <c r="F142" s="11">
        <f t="shared" si="2"/>
        <v>184.11757591286892</v>
      </c>
      <c r="G142" s="11">
        <f t="shared" si="6"/>
        <v>1050.7895918356339</v>
      </c>
      <c r="H142" s="11">
        <f t="shared" si="3"/>
        <v>143187.86349447258</v>
      </c>
      <c r="I142" s="13"/>
      <c r="J142" s="13"/>
      <c r="K142" s="13"/>
      <c r="L142" s="13"/>
      <c r="M142" s="13"/>
      <c r="N142" s="13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75" customHeight="1">
      <c r="A143" s="37"/>
      <c r="B143" s="38">
        <f t="shared" si="4"/>
        <v>133</v>
      </c>
      <c r="C143" s="11">
        <f t="shared" si="5"/>
        <v>143187.86349447258</v>
      </c>
      <c r="D143" s="11">
        <f t="shared" si="0"/>
        <v>865.55904008542279</v>
      </c>
      <c r="E143" s="11">
        <f t="shared" si="1"/>
        <v>144053.42253455799</v>
      </c>
      <c r="F143" s="11">
        <f t="shared" si="2"/>
        <v>185.23055175021113</v>
      </c>
      <c r="G143" s="11">
        <f t="shared" si="6"/>
        <v>1050.7895918356339</v>
      </c>
      <c r="H143" s="11">
        <f t="shared" si="3"/>
        <v>143002.63294272235</v>
      </c>
      <c r="I143" s="13"/>
      <c r="J143" s="13"/>
      <c r="K143" s="13"/>
      <c r="L143" s="13"/>
      <c r="M143" s="13"/>
      <c r="N143" s="13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75" customHeight="1">
      <c r="A144" s="37"/>
      <c r="B144" s="38">
        <f t="shared" si="4"/>
        <v>134</v>
      </c>
      <c r="C144" s="11">
        <f t="shared" si="5"/>
        <v>143002.63294272235</v>
      </c>
      <c r="D144" s="11">
        <f t="shared" si="0"/>
        <v>864.43933639926775</v>
      </c>
      <c r="E144" s="11">
        <f t="shared" si="1"/>
        <v>143867.07227912161</v>
      </c>
      <c r="F144" s="11">
        <f t="shared" si="2"/>
        <v>186.35025543636618</v>
      </c>
      <c r="G144" s="11">
        <f t="shared" si="6"/>
        <v>1050.7895918356339</v>
      </c>
      <c r="H144" s="11">
        <f t="shared" si="3"/>
        <v>142816.28268728597</v>
      </c>
      <c r="I144" s="13"/>
      <c r="J144" s="13"/>
      <c r="K144" s="13"/>
      <c r="L144" s="13"/>
      <c r="M144" s="13"/>
      <c r="N144" s="13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75" customHeight="1">
      <c r="A145" s="37"/>
      <c r="B145" s="38">
        <f t="shared" si="4"/>
        <v>135</v>
      </c>
      <c r="C145" s="11">
        <f t="shared" si="5"/>
        <v>142816.28268728597</v>
      </c>
      <c r="D145" s="11">
        <f t="shared" si="0"/>
        <v>863.31286419499884</v>
      </c>
      <c r="E145" s="11">
        <f t="shared" si="1"/>
        <v>143679.59555148098</v>
      </c>
      <c r="F145" s="11">
        <f t="shared" si="2"/>
        <v>187.47672764063509</v>
      </c>
      <c r="G145" s="11">
        <f t="shared" si="6"/>
        <v>1050.7895918356339</v>
      </c>
      <c r="H145" s="11">
        <f t="shared" si="3"/>
        <v>142628.80595964534</v>
      </c>
      <c r="I145" s="13"/>
      <c r="J145" s="13"/>
      <c r="K145" s="13"/>
      <c r="L145" s="13"/>
      <c r="M145" s="13"/>
      <c r="N145" s="13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75" customHeight="1">
      <c r="A146" s="37"/>
      <c r="B146" s="38">
        <f t="shared" si="4"/>
        <v>136</v>
      </c>
      <c r="C146" s="11">
        <f t="shared" si="5"/>
        <v>142628.80595964534</v>
      </c>
      <c r="D146" s="11">
        <f t="shared" si="0"/>
        <v>862.17958255747192</v>
      </c>
      <c r="E146" s="11">
        <f t="shared" si="1"/>
        <v>143490.9855422028</v>
      </c>
      <c r="F146" s="11">
        <f t="shared" si="2"/>
        <v>188.61000927816201</v>
      </c>
      <c r="G146" s="11">
        <f t="shared" si="6"/>
        <v>1050.7895918356339</v>
      </c>
      <c r="H146" s="11">
        <f t="shared" si="3"/>
        <v>142440.19595036717</v>
      </c>
      <c r="I146" s="13"/>
      <c r="J146" s="13"/>
      <c r="K146" s="13"/>
      <c r="L146" s="13"/>
      <c r="M146" s="13"/>
      <c r="N146" s="13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75" customHeight="1">
      <c r="A147" s="37"/>
      <c r="B147" s="38">
        <f t="shared" si="4"/>
        <v>137</v>
      </c>
      <c r="C147" s="11">
        <f t="shared" si="5"/>
        <v>142440.19595036717</v>
      </c>
      <c r="D147" s="11">
        <f t="shared" si="0"/>
        <v>861.0394503242145</v>
      </c>
      <c r="E147" s="11">
        <f t="shared" si="1"/>
        <v>143301.2354006914</v>
      </c>
      <c r="F147" s="11">
        <f t="shared" si="2"/>
        <v>189.75014151141943</v>
      </c>
      <c r="G147" s="11">
        <f t="shared" si="6"/>
        <v>1050.7895918356339</v>
      </c>
      <c r="H147" s="11">
        <f t="shared" si="3"/>
        <v>142250.44580885576</v>
      </c>
      <c r="I147" s="13"/>
      <c r="J147" s="13"/>
      <c r="K147" s="13"/>
      <c r="L147" s="13"/>
      <c r="M147" s="13"/>
      <c r="N147" s="13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75" customHeight="1">
      <c r="A148" s="37"/>
      <c r="B148" s="38">
        <f t="shared" si="4"/>
        <v>138</v>
      </c>
      <c r="C148" s="11">
        <f t="shared" si="5"/>
        <v>142250.44580885576</v>
      </c>
      <c r="D148" s="11">
        <f t="shared" si="0"/>
        <v>859.8924260839301</v>
      </c>
      <c r="E148" s="11">
        <f t="shared" si="1"/>
        <v>143110.3382349397</v>
      </c>
      <c r="F148" s="11">
        <f t="shared" si="2"/>
        <v>190.89716575170382</v>
      </c>
      <c r="G148" s="11">
        <f t="shared" si="6"/>
        <v>1050.7895918356339</v>
      </c>
      <c r="H148" s="11">
        <f t="shared" si="3"/>
        <v>142059.54864310406</v>
      </c>
      <c r="I148" s="13"/>
      <c r="J148" s="13"/>
      <c r="K148" s="13"/>
      <c r="L148" s="13"/>
      <c r="M148" s="13"/>
      <c r="N148" s="13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75" customHeight="1">
      <c r="A149" s="37"/>
      <c r="B149" s="38">
        <f t="shared" si="4"/>
        <v>139</v>
      </c>
      <c r="C149" s="11">
        <f t="shared" si="5"/>
        <v>142059.54864310406</v>
      </c>
      <c r="D149" s="11">
        <f t="shared" si="0"/>
        <v>858.73846817499441</v>
      </c>
      <c r="E149" s="11">
        <f t="shared" si="1"/>
        <v>142918.28711127906</v>
      </c>
      <c r="F149" s="11">
        <f t="shared" si="2"/>
        <v>192.05112366063952</v>
      </c>
      <c r="G149" s="11">
        <f t="shared" si="6"/>
        <v>1050.7895918356339</v>
      </c>
      <c r="H149" s="11">
        <f t="shared" si="3"/>
        <v>141867.49751944342</v>
      </c>
      <c r="I149" s="13"/>
      <c r="J149" s="13"/>
      <c r="K149" s="13"/>
      <c r="L149" s="13"/>
      <c r="M149" s="13"/>
      <c r="N149" s="13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75" customHeight="1">
      <c r="A150" s="37"/>
      <c r="B150" s="38">
        <f t="shared" si="4"/>
        <v>140</v>
      </c>
      <c r="C150" s="11">
        <f t="shared" si="5"/>
        <v>141867.49751944342</v>
      </c>
      <c r="D150" s="11">
        <f t="shared" si="0"/>
        <v>857.57753468394151</v>
      </c>
      <c r="E150" s="11">
        <f t="shared" si="1"/>
        <v>142725.07505412737</v>
      </c>
      <c r="F150" s="11">
        <f t="shared" si="2"/>
        <v>193.21205715169242</v>
      </c>
      <c r="G150" s="11">
        <f t="shared" si="6"/>
        <v>1050.7895918356339</v>
      </c>
      <c r="H150" s="11">
        <f t="shared" si="3"/>
        <v>141674.28546229174</v>
      </c>
      <c r="I150" s="13"/>
      <c r="J150" s="13"/>
      <c r="K150" s="13"/>
      <c r="L150" s="13"/>
      <c r="M150" s="13"/>
      <c r="N150" s="13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75" customHeight="1">
      <c r="A151" s="37"/>
      <c r="B151" s="38">
        <f t="shared" si="4"/>
        <v>141</v>
      </c>
      <c r="C151" s="11">
        <f t="shared" si="5"/>
        <v>141674.28546229174</v>
      </c>
      <c r="D151" s="11">
        <f t="shared" si="0"/>
        <v>856.40958344394278</v>
      </c>
      <c r="E151" s="11">
        <f t="shared" si="1"/>
        <v>142530.69504573569</v>
      </c>
      <c r="F151" s="11">
        <f t="shared" si="2"/>
        <v>194.38000839169115</v>
      </c>
      <c r="G151" s="11">
        <f t="shared" si="6"/>
        <v>1050.7895918356339</v>
      </c>
      <c r="H151" s="11">
        <f t="shared" si="3"/>
        <v>141479.90545390005</v>
      </c>
      <c r="I151" s="13"/>
      <c r="J151" s="13"/>
      <c r="K151" s="13"/>
      <c r="L151" s="13"/>
      <c r="M151" s="13"/>
      <c r="N151" s="13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75" customHeight="1">
      <c r="A152" s="37"/>
      <c r="B152" s="38">
        <f t="shared" si="4"/>
        <v>142</v>
      </c>
      <c r="C152" s="11">
        <f t="shared" si="5"/>
        <v>141479.90545390005</v>
      </c>
      <c r="D152" s="11">
        <f t="shared" si="0"/>
        <v>855.23457203327393</v>
      </c>
      <c r="E152" s="11">
        <f t="shared" si="1"/>
        <v>142335.14002593333</v>
      </c>
      <c r="F152" s="11">
        <f t="shared" si="2"/>
        <v>195.55501980235999</v>
      </c>
      <c r="G152" s="11">
        <f t="shared" si="6"/>
        <v>1050.7895918356339</v>
      </c>
      <c r="H152" s="11">
        <f t="shared" si="3"/>
        <v>141284.35043409769</v>
      </c>
      <c r="I152" s="13"/>
      <c r="J152" s="13"/>
      <c r="K152" s="13"/>
      <c r="L152" s="13"/>
      <c r="M152" s="13"/>
      <c r="N152" s="13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75" customHeight="1">
      <c r="A153" s="37"/>
      <c r="B153" s="38">
        <f t="shared" si="4"/>
        <v>143</v>
      </c>
      <c r="C153" s="11">
        <f t="shared" si="5"/>
        <v>141284.35043409769</v>
      </c>
      <c r="D153" s="11">
        <f t="shared" si="0"/>
        <v>854.0524577737749</v>
      </c>
      <c r="E153" s="11">
        <f t="shared" si="1"/>
        <v>142138.40289187146</v>
      </c>
      <c r="F153" s="11">
        <f t="shared" si="2"/>
        <v>196.73713406185902</v>
      </c>
      <c r="G153" s="11">
        <f t="shared" si="6"/>
        <v>1050.7895918356339</v>
      </c>
      <c r="H153" s="11">
        <f t="shared" si="3"/>
        <v>141087.61330003582</v>
      </c>
      <c r="I153" s="13"/>
      <c r="J153" s="13"/>
      <c r="K153" s="13"/>
      <c r="L153" s="13"/>
      <c r="M153" s="13"/>
      <c r="N153" s="13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75" customHeight="1">
      <c r="A154" s="37"/>
      <c r="B154" s="38">
        <f t="shared" si="4"/>
        <v>144</v>
      </c>
      <c r="C154" s="11">
        <f t="shared" si="5"/>
        <v>141087.61330003582</v>
      </c>
      <c r="D154" s="11">
        <f t="shared" si="0"/>
        <v>852.86319772929971</v>
      </c>
      <c r="E154" s="11">
        <f t="shared" si="1"/>
        <v>141940.47649776514</v>
      </c>
      <c r="F154" s="11">
        <f t="shared" si="2"/>
        <v>197.92639410633421</v>
      </c>
      <c r="G154" s="11">
        <f t="shared" si="6"/>
        <v>1050.7895918356339</v>
      </c>
      <c r="H154" s="11">
        <f t="shared" si="3"/>
        <v>140889.6869059295</v>
      </c>
      <c r="I154" s="13"/>
      <c r="J154" s="13"/>
      <c r="K154" s="13"/>
      <c r="L154" s="13"/>
      <c r="M154" s="13"/>
      <c r="N154" s="13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75" customHeight="1">
      <c r="A155" s="37"/>
      <c r="B155" s="38">
        <f t="shared" si="4"/>
        <v>145</v>
      </c>
      <c r="C155" s="11">
        <f t="shared" si="5"/>
        <v>140889.6869059295</v>
      </c>
      <c r="D155" s="11">
        <f t="shared" si="0"/>
        <v>851.66674870415693</v>
      </c>
      <c r="E155" s="11">
        <f t="shared" si="1"/>
        <v>141741.35365463365</v>
      </c>
      <c r="F155" s="11">
        <f t="shared" si="2"/>
        <v>199.122843131477</v>
      </c>
      <c r="G155" s="11">
        <f t="shared" si="6"/>
        <v>1050.7895918356339</v>
      </c>
      <c r="H155" s="11">
        <f t="shared" si="3"/>
        <v>140690.56406279802</v>
      </c>
      <c r="I155" s="13"/>
      <c r="J155" s="13"/>
      <c r="K155" s="13"/>
      <c r="L155" s="13"/>
      <c r="M155" s="13"/>
      <c r="N155" s="13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75" customHeight="1">
      <c r="A156" s="37"/>
      <c r="B156" s="38">
        <f t="shared" si="4"/>
        <v>146</v>
      </c>
      <c r="C156" s="11">
        <f t="shared" si="5"/>
        <v>140690.56406279802</v>
      </c>
      <c r="D156" s="11">
        <f t="shared" si="0"/>
        <v>850.46306724154033</v>
      </c>
      <c r="E156" s="11">
        <f t="shared" si="1"/>
        <v>141541.02713003955</v>
      </c>
      <c r="F156" s="11">
        <f t="shared" si="2"/>
        <v>200.3265245940936</v>
      </c>
      <c r="G156" s="11">
        <f t="shared" si="6"/>
        <v>1050.7895918356339</v>
      </c>
      <c r="H156" s="11">
        <f t="shared" si="3"/>
        <v>140490.23753820392</v>
      </c>
      <c r="I156" s="13"/>
      <c r="J156" s="13"/>
      <c r="K156" s="13"/>
      <c r="L156" s="13"/>
      <c r="M156" s="13"/>
      <c r="N156" s="13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75" customHeight="1">
      <c r="A157" s="37"/>
      <c r="B157" s="38">
        <f t="shared" si="4"/>
        <v>147</v>
      </c>
      <c r="C157" s="11">
        <f t="shared" si="5"/>
        <v>140490.23753820392</v>
      </c>
      <c r="D157" s="11">
        <f t="shared" si="0"/>
        <v>849.25210962195126</v>
      </c>
      <c r="E157" s="11">
        <f t="shared" si="1"/>
        <v>141339.48964782586</v>
      </c>
      <c r="F157" s="11">
        <f t="shared" si="2"/>
        <v>201.53748221368267</v>
      </c>
      <c r="G157" s="11">
        <f t="shared" si="6"/>
        <v>1050.7895918356339</v>
      </c>
      <c r="H157" s="11">
        <f t="shared" si="3"/>
        <v>140288.70005599022</v>
      </c>
      <c r="I157" s="13"/>
      <c r="J157" s="13"/>
      <c r="K157" s="13"/>
      <c r="L157" s="13"/>
      <c r="M157" s="13"/>
      <c r="N157" s="13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75" customHeight="1">
      <c r="A158" s="37"/>
      <c r="B158" s="38">
        <f t="shared" si="4"/>
        <v>148</v>
      </c>
      <c r="C158" s="11">
        <f t="shared" si="5"/>
        <v>140288.70005599022</v>
      </c>
      <c r="D158" s="11">
        <f t="shared" si="0"/>
        <v>848.03383186160977</v>
      </c>
      <c r="E158" s="11">
        <f t="shared" si="1"/>
        <v>141136.73388785182</v>
      </c>
      <c r="F158" s="11">
        <f t="shared" si="2"/>
        <v>202.75575997402416</v>
      </c>
      <c r="G158" s="11">
        <f t="shared" si="6"/>
        <v>1050.7895918356339</v>
      </c>
      <c r="H158" s="11">
        <f t="shared" si="3"/>
        <v>140085.94429601618</v>
      </c>
      <c r="I158" s="13"/>
      <c r="J158" s="13"/>
      <c r="K158" s="13"/>
      <c r="L158" s="13"/>
      <c r="M158" s="13"/>
      <c r="N158" s="13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75" customHeight="1">
      <c r="A159" s="37"/>
      <c r="B159" s="38">
        <f t="shared" si="4"/>
        <v>149</v>
      </c>
      <c r="C159" s="11">
        <f t="shared" si="5"/>
        <v>140085.94429601618</v>
      </c>
      <c r="D159" s="11">
        <f t="shared" si="0"/>
        <v>846.80818971085796</v>
      </c>
      <c r="E159" s="11">
        <f t="shared" si="1"/>
        <v>140932.75248572705</v>
      </c>
      <c r="F159" s="11">
        <f t="shared" si="2"/>
        <v>203.98140212477597</v>
      </c>
      <c r="G159" s="11">
        <f t="shared" si="6"/>
        <v>1050.7895918356339</v>
      </c>
      <c r="H159" s="11">
        <f t="shared" si="3"/>
        <v>139881.96289389141</v>
      </c>
      <c r="I159" s="13"/>
      <c r="J159" s="13"/>
      <c r="K159" s="13"/>
      <c r="L159" s="13"/>
      <c r="M159" s="13"/>
      <c r="N159" s="13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75" customHeight="1">
      <c r="A160" s="37"/>
      <c r="B160" s="38">
        <f t="shared" si="4"/>
        <v>150</v>
      </c>
      <c r="C160" s="11">
        <f t="shared" si="5"/>
        <v>139881.96289389141</v>
      </c>
      <c r="D160" s="11">
        <f t="shared" si="0"/>
        <v>845.57513865255225</v>
      </c>
      <c r="E160" s="11">
        <f t="shared" si="1"/>
        <v>140727.53803254396</v>
      </c>
      <c r="F160" s="11">
        <f t="shared" si="2"/>
        <v>205.21445318308167</v>
      </c>
      <c r="G160" s="11">
        <f t="shared" si="6"/>
        <v>1050.7895918356339</v>
      </c>
      <c r="H160" s="11">
        <f t="shared" si="3"/>
        <v>139676.74844070832</v>
      </c>
      <c r="I160" s="13"/>
      <c r="J160" s="13"/>
      <c r="K160" s="13"/>
      <c r="L160" s="13"/>
      <c r="M160" s="13"/>
      <c r="N160" s="13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75" customHeight="1">
      <c r="A161" s="37"/>
      <c r="B161" s="38">
        <f t="shared" si="4"/>
        <v>151</v>
      </c>
      <c r="C161" s="11">
        <f t="shared" si="5"/>
        <v>139676.74844070832</v>
      </c>
      <c r="D161" s="11">
        <f t="shared" si="0"/>
        <v>844.33463390044619</v>
      </c>
      <c r="E161" s="11">
        <f t="shared" si="1"/>
        <v>140521.08307460876</v>
      </c>
      <c r="F161" s="11">
        <f t="shared" si="2"/>
        <v>206.45495793518774</v>
      </c>
      <c r="G161" s="11">
        <f t="shared" si="6"/>
        <v>1050.7895918356339</v>
      </c>
      <c r="H161" s="11">
        <f t="shared" si="3"/>
        <v>139470.29348277312</v>
      </c>
      <c r="I161" s="13"/>
      <c r="J161" s="13"/>
      <c r="K161" s="13"/>
      <c r="L161" s="13"/>
      <c r="M161" s="13"/>
      <c r="N161" s="13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75" customHeight="1">
      <c r="A162" s="37"/>
      <c r="B162" s="38">
        <f t="shared" si="4"/>
        <v>152</v>
      </c>
      <c r="C162" s="11">
        <f t="shared" si="5"/>
        <v>139470.29348277312</v>
      </c>
      <c r="D162" s="11">
        <f t="shared" si="0"/>
        <v>843.08663039756436</v>
      </c>
      <c r="E162" s="11">
        <f t="shared" si="1"/>
        <v>140313.38011317069</v>
      </c>
      <c r="F162" s="11">
        <f t="shared" si="2"/>
        <v>207.70296143806956</v>
      </c>
      <c r="G162" s="11">
        <f t="shared" si="6"/>
        <v>1050.7895918356339</v>
      </c>
      <c r="H162" s="11">
        <f t="shared" si="3"/>
        <v>139262.59052133505</v>
      </c>
      <c r="I162" s="13"/>
      <c r="J162" s="13"/>
      <c r="K162" s="13"/>
      <c r="L162" s="13"/>
      <c r="M162" s="13"/>
      <c r="N162" s="13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75" customHeight="1">
      <c r="A163" s="37"/>
      <c r="B163" s="38">
        <f t="shared" si="4"/>
        <v>153</v>
      </c>
      <c r="C163" s="11">
        <f t="shared" si="5"/>
        <v>139262.59052133505</v>
      </c>
      <c r="D163" s="11">
        <f t="shared" si="0"/>
        <v>841.83108281456566</v>
      </c>
      <c r="E163" s="11">
        <f t="shared" si="1"/>
        <v>140104.42160414963</v>
      </c>
      <c r="F163" s="11">
        <f t="shared" si="2"/>
        <v>208.95850902106827</v>
      </c>
      <c r="G163" s="11">
        <f t="shared" si="6"/>
        <v>1050.7895918356339</v>
      </c>
      <c r="H163" s="11">
        <f t="shared" si="3"/>
        <v>139053.63201231399</v>
      </c>
      <c r="I163" s="13"/>
      <c r="J163" s="13"/>
      <c r="K163" s="13"/>
      <c r="L163" s="13"/>
      <c r="M163" s="13"/>
      <c r="N163" s="13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75" customHeight="1">
      <c r="A164" s="37"/>
      <c r="B164" s="38">
        <f t="shared" si="4"/>
        <v>154</v>
      </c>
      <c r="C164" s="11">
        <f t="shared" si="5"/>
        <v>139053.63201231399</v>
      </c>
      <c r="D164" s="11">
        <f t="shared" si="0"/>
        <v>840.56794554809653</v>
      </c>
      <c r="E164" s="11">
        <f t="shared" si="1"/>
        <v>139894.19995786209</v>
      </c>
      <c r="F164" s="11">
        <f t="shared" si="2"/>
        <v>210.2216462875374</v>
      </c>
      <c r="G164" s="11">
        <f t="shared" si="6"/>
        <v>1050.7895918356339</v>
      </c>
      <c r="H164" s="11">
        <f t="shared" si="3"/>
        <v>138843.41036602645</v>
      </c>
      <c r="I164" s="13"/>
      <c r="J164" s="13"/>
      <c r="K164" s="13"/>
      <c r="L164" s="13"/>
      <c r="M164" s="13"/>
      <c r="N164" s="13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75" customHeight="1">
      <c r="A165" s="37"/>
      <c r="B165" s="38">
        <f t="shared" si="4"/>
        <v>155</v>
      </c>
      <c r="C165" s="11">
        <f t="shared" si="5"/>
        <v>138843.41036602645</v>
      </c>
      <c r="D165" s="11">
        <f t="shared" si="0"/>
        <v>839.29717271913512</v>
      </c>
      <c r="E165" s="11">
        <f t="shared" si="1"/>
        <v>139682.7075387456</v>
      </c>
      <c r="F165" s="11">
        <f t="shared" si="2"/>
        <v>211.49241911649881</v>
      </c>
      <c r="G165" s="11">
        <f t="shared" si="6"/>
        <v>1050.7895918356339</v>
      </c>
      <c r="H165" s="11">
        <f t="shared" si="3"/>
        <v>138631.91794690996</v>
      </c>
      <c r="I165" s="13"/>
      <c r="J165" s="13"/>
      <c r="K165" s="13"/>
      <c r="L165" s="13"/>
      <c r="M165" s="13"/>
      <c r="N165" s="13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75" customHeight="1">
      <c r="A166" s="37"/>
      <c r="B166" s="38">
        <f t="shared" si="4"/>
        <v>156</v>
      </c>
      <c r="C166" s="11">
        <f t="shared" si="5"/>
        <v>138631.91794690996</v>
      </c>
      <c r="D166" s="11">
        <f t="shared" si="0"/>
        <v>838.01871817132439</v>
      </c>
      <c r="E166" s="11">
        <f t="shared" si="1"/>
        <v>139469.93666508127</v>
      </c>
      <c r="F166" s="11">
        <f t="shared" si="2"/>
        <v>212.77087366430953</v>
      </c>
      <c r="G166" s="11">
        <f t="shared" si="6"/>
        <v>1050.7895918356339</v>
      </c>
      <c r="H166" s="11">
        <f t="shared" si="3"/>
        <v>138419.14707324564</v>
      </c>
      <c r="I166" s="13"/>
      <c r="J166" s="13"/>
      <c r="K166" s="13"/>
      <c r="L166" s="13"/>
      <c r="M166" s="13"/>
      <c r="N166" s="13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75" customHeight="1">
      <c r="A167" s="37"/>
      <c r="B167" s="38">
        <f t="shared" si="4"/>
        <v>157</v>
      </c>
      <c r="C167" s="11">
        <f t="shared" si="5"/>
        <v>138419.14707324564</v>
      </c>
      <c r="D167" s="11">
        <f t="shared" si="0"/>
        <v>836.73253546929573</v>
      </c>
      <c r="E167" s="11">
        <f t="shared" si="1"/>
        <v>139255.87960871492</v>
      </c>
      <c r="F167" s="11">
        <f t="shared" si="2"/>
        <v>214.0570563663382</v>
      </c>
      <c r="G167" s="11">
        <f t="shared" si="6"/>
        <v>1050.7895918356339</v>
      </c>
      <c r="H167" s="11">
        <f t="shared" si="3"/>
        <v>138205.09001687929</v>
      </c>
      <c r="I167" s="13"/>
      <c r="J167" s="13"/>
      <c r="K167" s="13"/>
      <c r="L167" s="13"/>
      <c r="M167" s="13"/>
      <c r="N167" s="13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75" customHeight="1">
      <c r="A168" s="37"/>
      <c r="B168" s="38">
        <f t="shared" si="4"/>
        <v>158</v>
      </c>
      <c r="C168" s="11">
        <f t="shared" si="5"/>
        <v>138205.09001687929</v>
      </c>
      <c r="D168" s="11">
        <f t="shared" si="0"/>
        <v>835.43857789698291</v>
      </c>
      <c r="E168" s="11">
        <f t="shared" si="1"/>
        <v>139040.52859477626</v>
      </c>
      <c r="F168" s="11">
        <f t="shared" si="2"/>
        <v>215.35101393865102</v>
      </c>
      <c r="G168" s="11">
        <f t="shared" si="6"/>
        <v>1050.7895918356339</v>
      </c>
      <c r="H168" s="11">
        <f t="shared" si="3"/>
        <v>137989.73900294062</v>
      </c>
      <c r="I168" s="13"/>
      <c r="J168" s="13"/>
      <c r="K168" s="13"/>
      <c r="L168" s="13"/>
      <c r="M168" s="13"/>
      <c r="N168" s="13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75" customHeight="1">
      <c r="A169" s="37"/>
      <c r="B169" s="38">
        <f t="shared" si="4"/>
        <v>159</v>
      </c>
      <c r="C169" s="11">
        <f t="shared" si="5"/>
        <v>137989.73900294062</v>
      </c>
      <c r="D169" s="11">
        <f t="shared" si="0"/>
        <v>834.13679845592458</v>
      </c>
      <c r="E169" s="11">
        <f t="shared" si="1"/>
        <v>138823.87580139656</v>
      </c>
      <c r="F169" s="11">
        <f t="shared" si="2"/>
        <v>216.65279337970935</v>
      </c>
      <c r="G169" s="11">
        <f t="shared" si="6"/>
        <v>1050.7895918356339</v>
      </c>
      <c r="H169" s="11">
        <f t="shared" si="3"/>
        <v>137773.08620956092</v>
      </c>
      <c r="I169" s="13"/>
      <c r="J169" s="13"/>
      <c r="K169" s="13"/>
      <c r="L169" s="13"/>
      <c r="M169" s="13"/>
      <c r="N169" s="13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75" customHeight="1">
      <c r="A170" s="37"/>
      <c r="B170" s="38">
        <f t="shared" si="4"/>
        <v>160</v>
      </c>
      <c r="C170" s="11">
        <f t="shared" si="5"/>
        <v>137773.08620956092</v>
      </c>
      <c r="D170" s="11">
        <f t="shared" si="0"/>
        <v>832.82714986355768</v>
      </c>
      <c r="E170" s="11">
        <f t="shared" si="1"/>
        <v>138605.91335942448</v>
      </c>
      <c r="F170" s="11">
        <f t="shared" si="2"/>
        <v>217.96244197207625</v>
      </c>
      <c r="G170" s="11">
        <f t="shared" si="6"/>
        <v>1050.7895918356339</v>
      </c>
      <c r="H170" s="11">
        <f t="shared" si="3"/>
        <v>137555.12376758884</v>
      </c>
      <c r="I170" s="13"/>
      <c r="J170" s="13"/>
      <c r="K170" s="13"/>
      <c r="L170" s="13"/>
      <c r="M170" s="13"/>
      <c r="N170" s="13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75" customHeight="1">
      <c r="A171" s="37"/>
      <c r="B171" s="38">
        <f t="shared" si="4"/>
        <v>161</v>
      </c>
      <c r="C171" s="11">
        <f t="shared" si="5"/>
        <v>137555.12376758884</v>
      </c>
      <c r="D171" s="11">
        <f t="shared" si="0"/>
        <v>831.50958455149953</v>
      </c>
      <c r="E171" s="11">
        <f t="shared" si="1"/>
        <v>138386.63335214034</v>
      </c>
      <c r="F171" s="11">
        <f t="shared" si="2"/>
        <v>219.2800072841344</v>
      </c>
      <c r="G171" s="11">
        <f t="shared" si="6"/>
        <v>1050.7895918356339</v>
      </c>
      <c r="H171" s="11">
        <f t="shared" si="3"/>
        <v>137335.84376030471</v>
      </c>
      <c r="I171" s="13"/>
      <c r="J171" s="13"/>
      <c r="K171" s="13"/>
      <c r="L171" s="13"/>
      <c r="M171" s="13"/>
      <c r="N171" s="13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75" customHeight="1">
      <c r="A172" s="37"/>
      <c r="B172" s="38">
        <f t="shared" si="4"/>
        <v>162</v>
      </c>
      <c r="C172" s="11">
        <f t="shared" si="5"/>
        <v>137335.84376030471</v>
      </c>
      <c r="D172" s="11">
        <f t="shared" si="0"/>
        <v>830.1840546638208</v>
      </c>
      <c r="E172" s="11">
        <f t="shared" si="1"/>
        <v>138166.02781496852</v>
      </c>
      <c r="F172" s="11">
        <f t="shared" si="2"/>
        <v>220.60553717181313</v>
      </c>
      <c r="G172" s="11">
        <f t="shared" si="6"/>
        <v>1050.7895918356339</v>
      </c>
      <c r="H172" s="11">
        <f t="shared" si="3"/>
        <v>137115.23822313288</v>
      </c>
      <c r="I172" s="13"/>
      <c r="J172" s="13"/>
      <c r="K172" s="13"/>
      <c r="L172" s="13"/>
      <c r="M172" s="13"/>
      <c r="N172" s="13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75" customHeight="1">
      <c r="A173" s="37"/>
      <c r="B173" s="38">
        <f t="shared" si="4"/>
        <v>163</v>
      </c>
      <c r="C173" s="11">
        <f t="shared" si="5"/>
        <v>137115.23822313288</v>
      </c>
      <c r="D173" s="11">
        <f t="shared" si="0"/>
        <v>828.85051205530681</v>
      </c>
      <c r="E173" s="11">
        <f t="shared" si="1"/>
        <v>137944.08873518818</v>
      </c>
      <c r="F173" s="11">
        <f t="shared" si="2"/>
        <v>221.93907978032712</v>
      </c>
      <c r="G173" s="11">
        <f t="shared" si="6"/>
        <v>1050.7895918356339</v>
      </c>
      <c r="H173" s="11">
        <f t="shared" si="3"/>
        <v>136893.29914335255</v>
      </c>
      <c r="I173" s="13"/>
      <c r="J173" s="13"/>
      <c r="K173" s="13"/>
      <c r="L173" s="13"/>
      <c r="M173" s="13"/>
      <c r="N173" s="13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75" customHeight="1">
      <c r="A174" s="37"/>
      <c r="B174" s="38">
        <f t="shared" si="4"/>
        <v>164</v>
      </c>
      <c r="C174" s="11">
        <f t="shared" si="5"/>
        <v>136893.29914335255</v>
      </c>
      <c r="D174" s="11">
        <f t="shared" si="0"/>
        <v>827.50890828970887</v>
      </c>
      <c r="E174" s="11">
        <f t="shared" si="1"/>
        <v>137720.80805164226</v>
      </c>
      <c r="F174" s="11">
        <f t="shared" si="2"/>
        <v>223.28068354592506</v>
      </c>
      <c r="G174" s="11">
        <f t="shared" si="6"/>
        <v>1050.7895918356339</v>
      </c>
      <c r="H174" s="11">
        <f t="shared" si="3"/>
        <v>136670.01845980663</v>
      </c>
      <c r="I174" s="13"/>
      <c r="J174" s="13"/>
      <c r="K174" s="13"/>
      <c r="L174" s="13"/>
      <c r="M174" s="13"/>
      <c r="N174" s="13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75" customHeight="1">
      <c r="A175" s="37"/>
      <c r="B175" s="38">
        <f t="shared" si="4"/>
        <v>165</v>
      </c>
      <c r="C175" s="11">
        <f t="shared" si="5"/>
        <v>136670.01845980663</v>
      </c>
      <c r="D175" s="11">
        <f t="shared" si="0"/>
        <v>826.15919463798525</v>
      </c>
      <c r="E175" s="11">
        <f t="shared" si="1"/>
        <v>137496.17765444462</v>
      </c>
      <c r="F175" s="11">
        <f t="shared" si="2"/>
        <v>224.63039719764868</v>
      </c>
      <c r="G175" s="11">
        <f t="shared" si="6"/>
        <v>1050.7895918356339</v>
      </c>
      <c r="H175" s="11">
        <f t="shared" si="3"/>
        <v>136445.38806260898</v>
      </c>
      <c r="I175" s="13"/>
      <c r="J175" s="13"/>
      <c r="K175" s="13"/>
      <c r="L175" s="13"/>
      <c r="M175" s="13"/>
      <c r="N175" s="13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75" customHeight="1">
      <c r="A176" s="37"/>
      <c r="B176" s="38">
        <f t="shared" si="4"/>
        <v>166</v>
      </c>
      <c r="C176" s="11">
        <f t="shared" si="5"/>
        <v>136445.38806260898</v>
      </c>
      <c r="D176" s="11">
        <f t="shared" si="0"/>
        <v>824.80132207653105</v>
      </c>
      <c r="E176" s="11">
        <f t="shared" si="1"/>
        <v>137270.18938468551</v>
      </c>
      <c r="F176" s="11">
        <f t="shared" si="2"/>
        <v>225.98826975910288</v>
      </c>
      <c r="G176" s="11">
        <f t="shared" si="6"/>
        <v>1050.7895918356339</v>
      </c>
      <c r="H176" s="11">
        <f t="shared" si="3"/>
        <v>136219.39979284987</v>
      </c>
      <c r="I176" s="13"/>
      <c r="J176" s="13"/>
      <c r="K176" s="13"/>
      <c r="L176" s="13"/>
      <c r="M176" s="13"/>
      <c r="N176" s="13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75" customHeight="1">
      <c r="A177" s="37"/>
      <c r="B177" s="38">
        <f t="shared" si="4"/>
        <v>167</v>
      </c>
      <c r="C177" s="11">
        <f t="shared" si="5"/>
        <v>136219.39979284987</v>
      </c>
      <c r="D177" s="11">
        <f t="shared" si="0"/>
        <v>823.43524128539741</v>
      </c>
      <c r="E177" s="11">
        <f t="shared" si="1"/>
        <v>137042.83503413526</v>
      </c>
      <c r="F177" s="11">
        <f t="shared" si="2"/>
        <v>227.35435055023652</v>
      </c>
      <c r="G177" s="11">
        <f t="shared" si="6"/>
        <v>1050.7895918356339</v>
      </c>
      <c r="H177" s="11">
        <f t="shared" si="3"/>
        <v>135992.04544229963</v>
      </c>
      <c r="I177" s="13"/>
      <c r="J177" s="13"/>
      <c r="K177" s="13"/>
      <c r="L177" s="13"/>
      <c r="M177" s="13"/>
      <c r="N177" s="13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75" customHeight="1">
      <c r="A178" s="37"/>
      <c r="B178" s="38">
        <f t="shared" si="4"/>
        <v>168</v>
      </c>
      <c r="C178" s="11">
        <f t="shared" si="5"/>
        <v>135992.04544229963</v>
      </c>
      <c r="D178" s="11">
        <f t="shared" si="0"/>
        <v>822.06090264650072</v>
      </c>
      <c r="E178" s="11">
        <f t="shared" si="1"/>
        <v>136814.10634494614</v>
      </c>
      <c r="F178" s="11">
        <f t="shared" si="2"/>
        <v>228.72868918913321</v>
      </c>
      <c r="G178" s="11">
        <f t="shared" si="6"/>
        <v>1050.7895918356339</v>
      </c>
      <c r="H178" s="11">
        <f t="shared" si="3"/>
        <v>135763.3167531105</v>
      </c>
      <c r="I178" s="13"/>
      <c r="J178" s="13"/>
      <c r="K178" s="13"/>
      <c r="L178" s="13"/>
      <c r="M178" s="13"/>
      <c r="N178" s="13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75" customHeight="1">
      <c r="A179" s="37"/>
      <c r="B179" s="38">
        <f t="shared" si="4"/>
        <v>169</v>
      </c>
      <c r="C179" s="11">
        <f t="shared" si="5"/>
        <v>135763.3167531105</v>
      </c>
      <c r="D179" s="11">
        <f t="shared" si="0"/>
        <v>820.67825624182012</v>
      </c>
      <c r="E179" s="11">
        <f t="shared" si="1"/>
        <v>136583.99500935231</v>
      </c>
      <c r="F179" s="11">
        <f t="shared" si="2"/>
        <v>230.11133559381381</v>
      </c>
      <c r="G179" s="11">
        <f t="shared" si="6"/>
        <v>1050.7895918356339</v>
      </c>
      <c r="H179" s="11">
        <f t="shared" si="3"/>
        <v>135533.20541751667</v>
      </c>
      <c r="I179" s="13"/>
      <c r="J179" s="13"/>
      <c r="K179" s="13"/>
      <c r="L179" s="13"/>
      <c r="M179" s="13"/>
      <c r="N179" s="13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75" customHeight="1">
      <c r="A180" s="37"/>
      <c r="B180" s="38">
        <f t="shared" si="4"/>
        <v>170</v>
      </c>
      <c r="C180" s="11">
        <f t="shared" si="5"/>
        <v>135533.20541751667</v>
      </c>
      <c r="D180" s="11">
        <f t="shared" si="0"/>
        <v>819.28725185158373</v>
      </c>
      <c r="E180" s="11">
        <f t="shared" si="1"/>
        <v>136352.49266936825</v>
      </c>
      <c r="F180" s="11">
        <f t="shared" si="2"/>
        <v>231.5023399840502</v>
      </c>
      <c r="G180" s="11">
        <f t="shared" si="6"/>
        <v>1050.7895918356339</v>
      </c>
      <c r="H180" s="11">
        <f t="shared" si="3"/>
        <v>135301.70307753261</v>
      </c>
      <c r="I180" s="13"/>
      <c r="J180" s="13"/>
      <c r="K180" s="13"/>
      <c r="L180" s="13"/>
      <c r="M180" s="13"/>
      <c r="N180" s="13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75" customHeight="1">
      <c r="A181" s="37"/>
      <c r="B181" s="38">
        <f t="shared" si="4"/>
        <v>171</v>
      </c>
      <c r="C181" s="11">
        <f t="shared" si="5"/>
        <v>135301.70307753261</v>
      </c>
      <c r="D181" s="11">
        <f t="shared" si="0"/>
        <v>817.88783895244603</v>
      </c>
      <c r="E181" s="11">
        <f t="shared" si="1"/>
        <v>136119.59091648506</v>
      </c>
      <c r="F181" s="11">
        <f t="shared" si="2"/>
        <v>232.9017528831879</v>
      </c>
      <c r="G181" s="11">
        <f t="shared" si="6"/>
        <v>1050.7895918356339</v>
      </c>
      <c r="H181" s="11">
        <f t="shared" si="3"/>
        <v>135068.80132464942</v>
      </c>
      <c r="I181" s="13"/>
      <c r="J181" s="13"/>
      <c r="K181" s="13"/>
      <c r="L181" s="13"/>
      <c r="M181" s="13"/>
      <c r="N181" s="13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75" customHeight="1">
      <c r="A182" s="37"/>
      <c r="B182" s="38">
        <f t="shared" si="4"/>
        <v>172</v>
      </c>
      <c r="C182" s="11">
        <f t="shared" si="5"/>
        <v>135068.80132464942</v>
      </c>
      <c r="D182" s="11">
        <f t="shared" si="0"/>
        <v>816.47996671565159</v>
      </c>
      <c r="E182" s="11">
        <f t="shared" si="1"/>
        <v>135885.28129136507</v>
      </c>
      <c r="F182" s="11">
        <f t="shared" si="2"/>
        <v>234.30962511998234</v>
      </c>
      <c r="G182" s="11">
        <f t="shared" si="6"/>
        <v>1050.7895918356339</v>
      </c>
      <c r="H182" s="11">
        <f t="shared" si="3"/>
        <v>134834.49169952943</v>
      </c>
      <c r="I182" s="13"/>
      <c r="J182" s="13"/>
      <c r="K182" s="13"/>
      <c r="L182" s="13"/>
      <c r="M182" s="13"/>
      <c r="N182" s="13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75" customHeight="1">
      <c r="A183" s="37"/>
      <c r="B183" s="38">
        <f t="shared" si="4"/>
        <v>173</v>
      </c>
      <c r="C183" s="11">
        <f t="shared" si="5"/>
        <v>134834.49169952943</v>
      </c>
      <c r="D183" s="11">
        <f t="shared" si="0"/>
        <v>815.06358400518911</v>
      </c>
      <c r="E183" s="11">
        <f t="shared" si="1"/>
        <v>135649.55528353463</v>
      </c>
      <c r="F183" s="11">
        <f t="shared" si="2"/>
        <v>235.72600783044481</v>
      </c>
      <c r="G183" s="11">
        <f t="shared" si="6"/>
        <v>1050.7895918356339</v>
      </c>
      <c r="H183" s="11">
        <f t="shared" si="3"/>
        <v>134598.76569169899</v>
      </c>
      <c r="I183" s="13"/>
      <c r="J183" s="13"/>
      <c r="K183" s="13"/>
      <c r="L183" s="13"/>
      <c r="M183" s="13"/>
      <c r="N183" s="13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75" customHeight="1">
      <c r="A184" s="37"/>
      <c r="B184" s="38">
        <f t="shared" si="4"/>
        <v>174</v>
      </c>
      <c r="C184" s="11">
        <f t="shared" si="5"/>
        <v>134598.76569169899</v>
      </c>
      <c r="D184" s="11">
        <f t="shared" si="0"/>
        <v>813.63863937593453</v>
      </c>
      <c r="E184" s="11">
        <f t="shared" si="1"/>
        <v>135412.40433107494</v>
      </c>
      <c r="F184" s="11">
        <f t="shared" si="2"/>
        <v>237.1509524596994</v>
      </c>
      <c r="G184" s="11">
        <f t="shared" si="6"/>
        <v>1050.7895918356339</v>
      </c>
      <c r="H184" s="11">
        <f t="shared" si="3"/>
        <v>134361.6147392393</v>
      </c>
      <c r="I184" s="13"/>
      <c r="J184" s="13"/>
      <c r="K184" s="13"/>
      <c r="L184" s="13"/>
      <c r="M184" s="13"/>
      <c r="N184" s="13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75" customHeight="1">
      <c r="A185" s="37"/>
      <c r="B185" s="38">
        <f t="shared" si="4"/>
        <v>175</v>
      </c>
      <c r="C185" s="11">
        <f t="shared" si="5"/>
        <v>134361.6147392393</v>
      </c>
      <c r="D185" s="11">
        <f t="shared" si="0"/>
        <v>812.20508107178205</v>
      </c>
      <c r="E185" s="11">
        <f t="shared" si="1"/>
        <v>135173.8198203111</v>
      </c>
      <c r="F185" s="11">
        <f t="shared" si="2"/>
        <v>238.58451076385188</v>
      </c>
      <c r="G185" s="11">
        <f t="shared" si="6"/>
        <v>1050.7895918356339</v>
      </c>
      <c r="H185" s="11">
        <f t="shared" si="3"/>
        <v>134123.03022847546</v>
      </c>
      <c r="I185" s="13"/>
      <c r="J185" s="13"/>
      <c r="K185" s="13"/>
      <c r="L185" s="13"/>
      <c r="M185" s="13"/>
      <c r="N185" s="13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75" customHeight="1">
      <c r="A186" s="37"/>
      <c r="B186" s="38">
        <f t="shared" si="4"/>
        <v>176</v>
      </c>
      <c r="C186" s="11">
        <f t="shared" si="5"/>
        <v>134123.03022847546</v>
      </c>
      <c r="D186" s="11">
        <f t="shared" si="0"/>
        <v>810.76285702376435</v>
      </c>
      <c r="E186" s="11">
        <f t="shared" si="1"/>
        <v>134933.79308549923</v>
      </c>
      <c r="F186" s="11">
        <f t="shared" si="2"/>
        <v>240.02673481186957</v>
      </c>
      <c r="G186" s="11">
        <f t="shared" si="6"/>
        <v>1050.7895918356339</v>
      </c>
      <c r="H186" s="11">
        <f t="shared" si="3"/>
        <v>133883.00349366359</v>
      </c>
      <c r="I186" s="13"/>
      <c r="J186" s="13"/>
      <c r="K186" s="13"/>
      <c r="L186" s="13"/>
      <c r="M186" s="13"/>
      <c r="N186" s="13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75" customHeight="1">
      <c r="A187" s="37"/>
      <c r="B187" s="38">
        <f t="shared" si="4"/>
        <v>177</v>
      </c>
      <c r="C187" s="11">
        <f t="shared" si="5"/>
        <v>133883.00349366359</v>
      </c>
      <c r="D187" s="11">
        <f t="shared" si="0"/>
        <v>809.31191484816145</v>
      </c>
      <c r="E187" s="11">
        <f t="shared" si="1"/>
        <v>134692.31540851176</v>
      </c>
      <c r="F187" s="11">
        <f t="shared" si="2"/>
        <v>241.47767698747248</v>
      </c>
      <c r="G187" s="11">
        <f t="shared" si="6"/>
        <v>1050.7895918356339</v>
      </c>
      <c r="H187" s="11">
        <f t="shared" si="3"/>
        <v>133641.52581667612</v>
      </c>
      <c r="I187" s="13"/>
      <c r="J187" s="13"/>
      <c r="K187" s="13"/>
      <c r="L187" s="13"/>
      <c r="M187" s="13"/>
      <c r="N187" s="13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75" customHeight="1">
      <c r="A188" s="37"/>
      <c r="B188" s="38">
        <f t="shared" si="4"/>
        <v>178</v>
      </c>
      <c r="C188" s="11">
        <f t="shared" si="5"/>
        <v>133641.52581667612</v>
      </c>
      <c r="D188" s="11">
        <f t="shared" si="0"/>
        <v>807.8522018445982</v>
      </c>
      <c r="E188" s="11">
        <f t="shared" si="1"/>
        <v>134449.37801852071</v>
      </c>
      <c r="F188" s="11">
        <f t="shared" si="2"/>
        <v>242.93738999103573</v>
      </c>
      <c r="G188" s="11">
        <f t="shared" si="6"/>
        <v>1050.7895918356339</v>
      </c>
      <c r="H188" s="11">
        <f t="shared" si="3"/>
        <v>133398.58842668508</v>
      </c>
      <c r="I188" s="13"/>
      <c r="J188" s="13"/>
      <c r="K188" s="13"/>
      <c r="L188" s="13"/>
      <c r="M188" s="13"/>
      <c r="N188" s="13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75" customHeight="1">
      <c r="A189" s="37"/>
      <c r="B189" s="38">
        <f t="shared" si="4"/>
        <v>179</v>
      </c>
      <c r="C189" s="11">
        <f t="shared" si="5"/>
        <v>133398.58842668508</v>
      </c>
      <c r="D189" s="11">
        <f t="shared" si="0"/>
        <v>806.3836649941295</v>
      </c>
      <c r="E189" s="11">
        <f t="shared" si="1"/>
        <v>134204.9720916792</v>
      </c>
      <c r="F189" s="11">
        <f t="shared" si="2"/>
        <v>244.40592684150442</v>
      </c>
      <c r="G189" s="11">
        <f t="shared" si="6"/>
        <v>1050.7895918356339</v>
      </c>
      <c r="H189" s="11">
        <f t="shared" si="3"/>
        <v>133154.18249984356</v>
      </c>
      <c r="I189" s="13"/>
      <c r="J189" s="13"/>
      <c r="K189" s="13"/>
      <c r="L189" s="13"/>
      <c r="M189" s="13"/>
      <c r="N189" s="13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75" customHeight="1">
      <c r="A190" s="37"/>
      <c r="B190" s="38">
        <f t="shared" si="4"/>
        <v>180</v>
      </c>
      <c r="C190" s="11">
        <f t="shared" si="5"/>
        <v>133154.18249984356</v>
      </c>
      <c r="D190" s="11">
        <f t="shared" si="0"/>
        <v>804.90625095731559</v>
      </c>
      <c r="E190" s="11">
        <f t="shared" si="1"/>
        <v>133959.08875080087</v>
      </c>
      <c r="F190" s="11">
        <f t="shared" si="2"/>
        <v>245.88334087831834</v>
      </c>
      <c r="G190" s="11">
        <f t="shared" si="6"/>
        <v>1050.7895918356339</v>
      </c>
      <c r="H190" s="11">
        <f t="shared" si="3"/>
        <v>132908.29915896524</v>
      </c>
      <c r="I190" s="13"/>
      <c r="J190" s="13"/>
      <c r="K190" s="13"/>
      <c r="L190" s="13"/>
      <c r="M190" s="13"/>
      <c r="N190" s="13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75" customHeight="1">
      <c r="A191" s="37"/>
      <c r="B191" s="38">
        <f t="shared" si="4"/>
        <v>181</v>
      </c>
      <c r="C191" s="11">
        <f t="shared" si="5"/>
        <v>132908.29915896524</v>
      </c>
      <c r="D191" s="11">
        <f t="shared" si="0"/>
        <v>803.41990607228377</v>
      </c>
      <c r="E191" s="11">
        <f t="shared" si="1"/>
        <v>133711.71906503753</v>
      </c>
      <c r="F191" s="11">
        <f t="shared" si="2"/>
        <v>247.36968576335016</v>
      </c>
      <c r="G191" s="11">
        <f t="shared" si="6"/>
        <v>1050.7895918356339</v>
      </c>
      <c r="H191" s="11">
        <f t="shared" si="3"/>
        <v>132660.92947320189</v>
      </c>
      <c r="I191" s="13"/>
      <c r="J191" s="13"/>
      <c r="K191" s="13"/>
      <c r="L191" s="13"/>
      <c r="M191" s="13"/>
      <c r="N191" s="13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75" customHeight="1">
      <c r="A192" s="37"/>
      <c r="B192" s="38">
        <f t="shared" si="4"/>
        <v>182</v>
      </c>
      <c r="C192" s="11">
        <f t="shared" si="5"/>
        <v>132660.92947320189</v>
      </c>
      <c r="D192" s="11">
        <f t="shared" si="0"/>
        <v>801.92457635277992</v>
      </c>
      <c r="E192" s="11">
        <f t="shared" si="1"/>
        <v>133462.85404955468</v>
      </c>
      <c r="F192" s="11">
        <f t="shared" si="2"/>
        <v>248.86501548285401</v>
      </c>
      <c r="G192" s="11">
        <f t="shared" si="6"/>
        <v>1050.7895918356339</v>
      </c>
      <c r="H192" s="11">
        <f t="shared" si="3"/>
        <v>132412.06445771904</v>
      </c>
      <c r="I192" s="13"/>
      <c r="J192" s="13"/>
      <c r="K192" s="13"/>
      <c r="L192" s="13"/>
      <c r="M192" s="13"/>
      <c r="N192" s="13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75" customHeight="1">
      <c r="A193" s="37"/>
      <c r="B193" s="38">
        <f t="shared" si="4"/>
        <v>183</v>
      </c>
      <c r="C193" s="11">
        <f t="shared" si="5"/>
        <v>132412.06445771904</v>
      </c>
      <c r="D193" s="11">
        <f t="shared" si="0"/>
        <v>800.42020748620689</v>
      </c>
      <c r="E193" s="11">
        <f t="shared" si="1"/>
        <v>133212.48466520524</v>
      </c>
      <c r="F193" s="11">
        <f t="shared" si="2"/>
        <v>250.36938434942704</v>
      </c>
      <c r="G193" s="11">
        <f t="shared" si="6"/>
        <v>1050.7895918356339</v>
      </c>
      <c r="H193" s="11">
        <f t="shared" si="3"/>
        <v>132161.6950733696</v>
      </c>
      <c r="I193" s="13"/>
      <c r="J193" s="13"/>
      <c r="K193" s="13"/>
      <c r="L193" s="13"/>
      <c r="M193" s="13"/>
      <c r="N193" s="13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75" customHeight="1">
      <c r="A194" s="37"/>
      <c r="B194" s="38">
        <f t="shared" si="4"/>
        <v>184</v>
      </c>
      <c r="C194" s="11">
        <f t="shared" si="5"/>
        <v>132161.6950733696</v>
      </c>
      <c r="D194" s="11">
        <f t="shared" si="0"/>
        <v>798.90674483165276</v>
      </c>
      <c r="E194" s="11">
        <f t="shared" si="1"/>
        <v>132960.60181820125</v>
      </c>
      <c r="F194" s="11">
        <f t="shared" si="2"/>
        <v>251.88284700398117</v>
      </c>
      <c r="G194" s="11">
        <f t="shared" si="6"/>
        <v>1050.7895918356339</v>
      </c>
      <c r="H194" s="11">
        <f t="shared" si="3"/>
        <v>131909.81222636561</v>
      </c>
      <c r="I194" s="13"/>
      <c r="J194" s="13"/>
      <c r="K194" s="13"/>
      <c r="L194" s="13"/>
      <c r="M194" s="13"/>
      <c r="N194" s="13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75" customHeight="1">
      <c r="A195" s="37"/>
      <c r="B195" s="38">
        <f t="shared" si="4"/>
        <v>185</v>
      </c>
      <c r="C195" s="11">
        <f t="shared" si="5"/>
        <v>131909.81222636561</v>
      </c>
      <c r="D195" s="11">
        <f t="shared" si="0"/>
        <v>797.38413341790567</v>
      </c>
      <c r="E195" s="11">
        <f t="shared" si="1"/>
        <v>132707.19635978353</v>
      </c>
      <c r="F195" s="11">
        <f t="shared" si="2"/>
        <v>253.40545841772825</v>
      </c>
      <c r="G195" s="11">
        <f t="shared" si="6"/>
        <v>1050.7895918356339</v>
      </c>
      <c r="H195" s="11">
        <f t="shared" si="3"/>
        <v>131656.40676794789</v>
      </c>
      <c r="I195" s="13"/>
      <c r="J195" s="13"/>
      <c r="K195" s="13"/>
      <c r="L195" s="13"/>
      <c r="M195" s="13"/>
      <c r="N195" s="13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75" customHeight="1">
      <c r="A196" s="37"/>
      <c r="B196" s="38">
        <f t="shared" si="4"/>
        <v>186</v>
      </c>
      <c r="C196" s="11">
        <f t="shared" si="5"/>
        <v>131656.40676794789</v>
      </c>
      <c r="D196" s="11">
        <f t="shared" si="0"/>
        <v>795.85231794145704</v>
      </c>
      <c r="E196" s="11">
        <f t="shared" si="1"/>
        <v>132452.25908588935</v>
      </c>
      <c r="F196" s="11">
        <f t="shared" si="2"/>
        <v>254.93727389417688</v>
      </c>
      <c r="G196" s="11">
        <f t="shared" si="6"/>
        <v>1050.7895918356339</v>
      </c>
      <c r="H196" s="11">
        <f t="shared" si="3"/>
        <v>131401.46949405372</v>
      </c>
      <c r="I196" s="13"/>
      <c r="J196" s="13"/>
      <c r="K196" s="13"/>
      <c r="L196" s="13"/>
      <c r="M196" s="13"/>
      <c r="N196" s="13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75" customHeight="1">
      <c r="A197" s="37"/>
      <c r="B197" s="38">
        <f t="shared" si="4"/>
        <v>187</v>
      </c>
      <c r="C197" s="11">
        <f t="shared" si="5"/>
        <v>131401.46949405372</v>
      </c>
      <c r="D197" s="11">
        <f t="shared" si="0"/>
        <v>794.31124276449304</v>
      </c>
      <c r="E197" s="11">
        <f t="shared" si="1"/>
        <v>132195.78073681821</v>
      </c>
      <c r="F197" s="11">
        <f t="shared" si="2"/>
        <v>256.47834907114088</v>
      </c>
      <c r="G197" s="11">
        <f t="shared" si="6"/>
        <v>1050.7895918356339</v>
      </c>
      <c r="H197" s="11">
        <f t="shared" si="3"/>
        <v>131144.99114498257</v>
      </c>
      <c r="I197" s="13"/>
      <c r="J197" s="13"/>
      <c r="K197" s="13"/>
      <c r="L197" s="13"/>
      <c r="M197" s="13"/>
      <c r="N197" s="13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75" customHeight="1">
      <c r="A198" s="37"/>
      <c r="B198" s="38">
        <f t="shared" si="4"/>
        <v>188</v>
      </c>
      <c r="C198" s="11">
        <f t="shared" si="5"/>
        <v>131144.99114498257</v>
      </c>
      <c r="D198" s="11">
        <f t="shared" si="0"/>
        <v>792.76085191287393</v>
      </c>
      <c r="E198" s="11">
        <f t="shared" si="1"/>
        <v>131937.75199689544</v>
      </c>
      <c r="F198" s="11">
        <f t="shared" si="2"/>
        <v>258.02873992276</v>
      </c>
      <c r="G198" s="11">
        <f t="shared" si="6"/>
        <v>1050.7895918356339</v>
      </c>
      <c r="H198" s="11">
        <f t="shared" si="3"/>
        <v>130886.96240505981</v>
      </c>
      <c r="I198" s="13"/>
      <c r="J198" s="13"/>
      <c r="K198" s="13"/>
      <c r="L198" s="13"/>
      <c r="M198" s="13"/>
      <c r="N198" s="13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75" customHeight="1">
      <c r="A199" s="37"/>
      <c r="B199" s="38">
        <f t="shared" si="4"/>
        <v>189</v>
      </c>
      <c r="C199" s="11">
        <f t="shared" si="5"/>
        <v>130886.96240505981</v>
      </c>
      <c r="D199" s="11">
        <f t="shared" si="0"/>
        <v>791.20108907410076</v>
      </c>
      <c r="E199" s="11">
        <f t="shared" si="1"/>
        <v>131678.16349413391</v>
      </c>
      <c r="F199" s="11">
        <f t="shared" si="2"/>
        <v>259.58850276153316</v>
      </c>
      <c r="G199" s="11">
        <f t="shared" si="6"/>
        <v>1050.7895918356339</v>
      </c>
      <c r="H199" s="11">
        <f t="shared" si="3"/>
        <v>130627.37390229828</v>
      </c>
      <c r="I199" s="13"/>
      <c r="J199" s="13"/>
      <c r="K199" s="13"/>
      <c r="L199" s="13"/>
      <c r="M199" s="13"/>
      <c r="N199" s="13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75" customHeight="1">
      <c r="A200" s="37"/>
      <c r="B200" s="38">
        <f t="shared" si="4"/>
        <v>190</v>
      </c>
      <c r="C200" s="11">
        <f t="shared" si="5"/>
        <v>130627.37390229828</v>
      </c>
      <c r="D200" s="11">
        <f t="shared" si="0"/>
        <v>789.63189759527017</v>
      </c>
      <c r="E200" s="11">
        <f t="shared" si="1"/>
        <v>131417.00579989355</v>
      </c>
      <c r="F200" s="11">
        <f t="shared" si="2"/>
        <v>261.15769424036375</v>
      </c>
      <c r="G200" s="11">
        <f t="shared" si="6"/>
        <v>1050.7895918356339</v>
      </c>
      <c r="H200" s="11">
        <f t="shared" si="3"/>
        <v>130366.21620805791</v>
      </c>
      <c r="I200" s="13"/>
      <c r="J200" s="13"/>
      <c r="K200" s="13"/>
      <c r="L200" s="13"/>
      <c r="M200" s="13"/>
      <c r="N200" s="13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75" customHeight="1">
      <c r="A201" s="37"/>
      <c r="B201" s="38">
        <f t="shared" si="4"/>
        <v>191</v>
      </c>
      <c r="C201" s="11">
        <f t="shared" si="5"/>
        <v>130366.21620805791</v>
      </c>
      <c r="D201" s="11">
        <f t="shared" si="0"/>
        <v>788.05322048101652</v>
      </c>
      <c r="E201" s="11">
        <f t="shared" si="1"/>
        <v>131154.26942853894</v>
      </c>
      <c r="F201" s="11">
        <f t="shared" si="2"/>
        <v>262.7363713546174</v>
      </c>
      <c r="G201" s="11">
        <f t="shared" si="6"/>
        <v>1050.7895918356339</v>
      </c>
      <c r="H201" s="11">
        <f t="shared" si="3"/>
        <v>130103.47983670331</v>
      </c>
      <c r="I201" s="13"/>
      <c r="J201" s="13"/>
      <c r="K201" s="13"/>
      <c r="L201" s="13"/>
      <c r="M201" s="13"/>
      <c r="N201" s="13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75" customHeight="1">
      <c r="A202" s="37"/>
      <c r="B202" s="38">
        <f t="shared" si="4"/>
        <v>192</v>
      </c>
      <c r="C202" s="11">
        <f t="shared" si="5"/>
        <v>130103.47983670331</v>
      </c>
      <c r="D202" s="11">
        <f t="shared" si="0"/>
        <v>786.46500039144166</v>
      </c>
      <c r="E202" s="11">
        <f t="shared" si="1"/>
        <v>130889.94483709475</v>
      </c>
      <c r="F202" s="11">
        <f t="shared" si="2"/>
        <v>264.32459144419227</v>
      </c>
      <c r="G202" s="11">
        <f t="shared" si="6"/>
        <v>1050.7895918356339</v>
      </c>
      <c r="H202" s="11">
        <f t="shared" si="3"/>
        <v>129839.15524525911</v>
      </c>
      <c r="I202" s="13"/>
      <c r="J202" s="13"/>
      <c r="K202" s="13"/>
      <c r="L202" s="13"/>
      <c r="M202" s="13"/>
      <c r="N202" s="13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75" customHeight="1">
      <c r="A203" s="37"/>
      <c r="B203" s="38">
        <f t="shared" si="4"/>
        <v>193</v>
      </c>
      <c r="C203" s="11">
        <f t="shared" si="5"/>
        <v>129839.15524525911</v>
      </c>
      <c r="D203" s="11">
        <f t="shared" si="0"/>
        <v>784.86717964003253</v>
      </c>
      <c r="E203" s="11">
        <f t="shared" si="1"/>
        <v>130624.02242489914</v>
      </c>
      <c r="F203" s="11">
        <f t="shared" si="2"/>
        <v>265.9224121956014</v>
      </c>
      <c r="G203" s="11">
        <f t="shared" si="6"/>
        <v>1050.7895918356339</v>
      </c>
      <c r="H203" s="11">
        <f t="shared" si="3"/>
        <v>129573.23283306351</v>
      </c>
      <c r="I203" s="13"/>
      <c r="J203" s="13"/>
      <c r="K203" s="13"/>
      <c r="L203" s="13"/>
      <c r="M203" s="13"/>
      <c r="N203" s="13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75" customHeight="1">
      <c r="A204" s="37"/>
      <c r="B204" s="38">
        <f t="shared" si="4"/>
        <v>194</v>
      </c>
      <c r="C204" s="11">
        <f t="shared" si="5"/>
        <v>129573.23283306351</v>
      </c>
      <c r="D204" s="11">
        <f t="shared" si="0"/>
        <v>783.2597001915658</v>
      </c>
      <c r="E204" s="11">
        <f t="shared" si="1"/>
        <v>130356.49253325508</v>
      </c>
      <c r="F204" s="11">
        <f t="shared" si="2"/>
        <v>267.52989164406813</v>
      </c>
      <c r="G204" s="11">
        <f t="shared" si="6"/>
        <v>1050.7895918356339</v>
      </c>
      <c r="H204" s="11">
        <f t="shared" si="3"/>
        <v>129305.70294141944</v>
      </c>
      <c r="I204" s="13"/>
      <c r="J204" s="13"/>
      <c r="K204" s="13"/>
      <c r="L204" s="13"/>
      <c r="M204" s="13"/>
      <c r="N204" s="13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75" customHeight="1">
      <c r="A205" s="37"/>
      <c r="B205" s="38">
        <f t="shared" si="4"/>
        <v>195</v>
      </c>
      <c r="C205" s="11">
        <f t="shared" si="5"/>
        <v>129305.70294141944</v>
      </c>
      <c r="D205" s="11">
        <f t="shared" si="0"/>
        <v>781.64250365999987</v>
      </c>
      <c r="E205" s="11">
        <f t="shared" si="1"/>
        <v>130087.34544507944</v>
      </c>
      <c r="F205" s="11">
        <f t="shared" si="2"/>
        <v>269.14708817563405</v>
      </c>
      <c r="G205" s="11">
        <f t="shared" si="6"/>
        <v>1050.7895918356339</v>
      </c>
      <c r="H205" s="11">
        <f t="shared" si="3"/>
        <v>129036.5558532438</v>
      </c>
      <c r="I205" s="13"/>
      <c r="J205" s="13"/>
      <c r="K205" s="13"/>
      <c r="L205" s="13"/>
      <c r="M205" s="13"/>
      <c r="N205" s="13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75" customHeight="1">
      <c r="A206" s="37"/>
      <c r="B206" s="38">
        <f t="shared" si="4"/>
        <v>196</v>
      </c>
      <c r="C206" s="11">
        <f t="shared" si="5"/>
        <v>129036.5558532438</v>
      </c>
      <c r="D206" s="11">
        <f t="shared" si="0"/>
        <v>780.01553130635421</v>
      </c>
      <c r="E206" s="11">
        <f t="shared" si="1"/>
        <v>129816.57138455016</v>
      </c>
      <c r="F206" s="11">
        <f t="shared" si="2"/>
        <v>270.77406052927972</v>
      </c>
      <c r="G206" s="11">
        <f t="shared" si="6"/>
        <v>1050.7895918356339</v>
      </c>
      <c r="H206" s="11">
        <f t="shared" si="3"/>
        <v>128765.78179271452</v>
      </c>
      <c r="I206" s="13"/>
      <c r="J206" s="13"/>
      <c r="K206" s="13"/>
      <c r="L206" s="13"/>
      <c r="M206" s="13"/>
      <c r="N206" s="13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75" customHeight="1">
      <c r="A207" s="37"/>
      <c r="B207" s="38">
        <f t="shared" si="4"/>
        <v>197</v>
      </c>
      <c r="C207" s="11">
        <f t="shared" si="5"/>
        <v>128765.78179271452</v>
      </c>
      <c r="D207" s="11">
        <f t="shared" si="0"/>
        <v>778.37872403657605</v>
      </c>
      <c r="E207" s="11">
        <f t="shared" si="1"/>
        <v>129544.1605167511</v>
      </c>
      <c r="F207" s="11">
        <f t="shared" si="2"/>
        <v>272.41086779905788</v>
      </c>
      <c r="G207" s="11">
        <f t="shared" si="6"/>
        <v>1050.7895918356339</v>
      </c>
      <c r="H207" s="11">
        <f t="shared" si="3"/>
        <v>128493.37092491546</v>
      </c>
      <c r="I207" s="13"/>
      <c r="J207" s="13"/>
      <c r="K207" s="13"/>
      <c r="L207" s="13"/>
      <c r="M207" s="13"/>
      <c r="N207" s="13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75" customHeight="1">
      <c r="A208" s="37"/>
      <c r="B208" s="38">
        <f t="shared" si="4"/>
        <v>198</v>
      </c>
      <c r="C208" s="11">
        <f t="shared" si="5"/>
        <v>128493.37092491546</v>
      </c>
      <c r="D208" s="11">
        <f t="shared" si="0"/>
        <v>776.73202239939371</v>
      </c>
      <c r="E208" s="11">
        <f t="shared" si="1"/>
        <v>129270.10294731485</v>
      </c>
      <c r="F208" s="11">
        <f t="shared" si="2"/>
        <v>274.05756943624021</v>
      </c>
      <c r="G208" s="11">
        <f t="shared" si="6"/>
        <v>1050.7895918356339</v>
      </c>
      <c r="H208" s="11">
        <f t="shared" si="3"/>
        <v>128219.31335547921</v>
      </c>
      <c r="I208" s="13"/>
      <c r="J208" s="13"/>
      <c r="K208" s="13"/>
      <c r="L208" s="13"/>
      <c r="M208" s="13"/>
      <c r="N208" s="13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75" customHeight="1">
      <c r="A209" s="37"/>
      <c r="B209" s="38">
        <f t="shared" si="4"/>
        <v>199</v>
      </c>
      <c r="C209" s="11">
        <f t="shared" si="5"/>
        <v>128219.31335547921</v>
      </c>
      <c r="D209" s="11">
        <f t="shared" si="0"/>
        <v>775.07536658415734</v>
      </c>
      <c r="E209" s="11">
        <f t="shared" si="1"/>
        <v>128994.38872206338</v>
      </c>
      <c r="F209" s="11">
        <f t="shared" si="2"/>
        <v>275.71422525147659</v>
      </c>
      <c r="G209" s="11">
        <f t="shared" si="6"/>
        <v>1050.7895918356339</v>
      </c>
      <c r="H209" s="11">
        <f t="shared" si="3"/>
        <v>127943.59913022774</v>
      </c>
      <c r="I209" s="13"/>
      <c r="J209" s="13"/>
      <c r="K209" s="13"/>
      <c r="L209" s="13"/>
      <c r="M209" s="13"/>
      <c r="N209" s="13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75" customHeight="1">
      <c r="A210" s="37"/>
      <c r="B210" s="38">
        <f t="shared" si="4"/>
        <v>200</v>
      </c>
      <c r="C210" s="11">
        <f t="shared" si="5"/>
        <v>127943.59913022774</v>
      </c>
      <c r="D210" s="11">
        <f t="shared" si="0"/>
        <v>773.40869641866686</v>
      </c>
      <c r="E210" s="11">
        <f t="shared" si="1"/>
        <v>128717.00782664641</v>
      </c>
      <c r="F210" s="11">
        <f t="shared" si="2"/>
        <v>277.38089541696706</v>
      </c>
      <c r="G210" s="11">
        <f t="shared" si="6"/>
        <v>1050.7895918356339</v>
      </c>
      <c r="H210" s="11">
        <f t="shared" si="3"/>
        <v>127666.21823481077</v>
      </c>
      <c r="I210" s="13"/>
      <c r="J210" s="13"/>
      <c r="K210" s="13"/>
      <c r="L210" s="13"/>
      <c r="M210" s="13"/>
      <c r="N210" s="13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75" customHeight="1">
      <c r="A211" s="37"/>
      <c r="B211" s="38">
        <f t="shared" si="4"/>
        <v>201</v>
      </c>
      <c r="C211" s="11">
        <f t="shared" si="5"/>
        <v>127666.21823481077</v>
      </c>
      <c r="D211" s="11">
        <f t="shared" si="0"/>
        <v>771.73195136698575</v>
      </c>
      <c r="E211" s="11">
        <f t="shared" si="1"/>
        <v>128437.95018617775</v>
      </c>
      <c r="F211" s="11">
        <f t="shared" si="2"/>
        <v>279.05764046864817</v>
      </c>
      <c r="G211" s="11">
        <f t="shared" si="6"/>
        <v>1050.7895918356339</v>
      </c>
      <c r="H211" s="11">
        <f t="shared" si="3"/>
        <v>127387.16059434212</v>
      </c>
      <c r="I211" s="13"/>
      <c r="J211" s="13"/>
      <c r="K211" s="13"/>
      <c r="L211" s="13"/>
      <c r="M211" s="13"/>
      <c r="N211" s="13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75" customHeight="1">
      <c r="A212" s="37"/>
      <c r="B212" s="38">
        <f t="shared" si="4"/>
        <v>202</v>
      </c>
      <c r="C212" s="11">
        <f t="shared" si="5"/>
        <v>127387.16059434212</v>
      </c>
      <c r="D212" s="11">
        <f t="shared" si="0"/>
        <v>770.04507052724284</v>
      </c>
      <c r="E212" s="11">
        <f t="shared" si="1"/>
        <v>128157.20566486935</v>
      </c>
      <c r="F212" s="11">
        <f t="shared" si="2"/>
        <v>280.74452130839109</v>
      </c>
      <c r="G212" s="11">
        <f t="shared" si="6"/>
        <v>1050.7895918356339</v>
      </c>
      <c r="H212" s="11">
        <f t="shared" si="3"/>
        <v>127106.41607303372</v>
      </c>
      <c r="I212" s="13"/>
      <c r="J212" s="13"/>
      <c r="K212" s="13"/>
      <c r="L212" s="13"/>
      <c r="M212" s="13"/>
      <c r="N212" s="13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75" customHeight="1">
      <c r="A213" s="37"/>
      <c r="B213" s="38">
        <f t="shared" si="4"/>
        <v>203</v>
      </c>
      <c r="C213" s="11">
        <f t="shared" si="5"/>
        <v>127106.41607303372</v>
      </c>
      <c r="D213" s="11">
        <f t="shared" si="0"/>
        <v>768.34799262941999</v>
      </c>
      <c r="E213" s="11">
        <f t="shared" si="1"/>
        <v>127874.76406566314</v>
      </c>
      <c r="F213" s="11">
        <f t="shared" si="2"/>
        <v>282.44159920621394</v>
      </c>
      <c r="G213" s="11">
        <f t="shared" si="6"/>
        <v>1050.7895918356339</v>
      </c>
      <c r="H213" s="11">
        <f t="shared" si="3"/>
        <v>126823.9744738275</v>
      </c>
      <c r="I213" s="13"/>
      <c r="J213" s="13"/>
      <c r="K213" s="13"/>
      <c r="L213" s="13"/>
      <c r="M213" s="13"/>
      <c r="N213" s="13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75" customHeight="1">
      <c r="A214" s="37"/>
      <c r="B214" s="38">
        <f t="shared" si="4"/>
        <v>204</v>
      </c>
      <c r="C214" s="11">
        <f t="shared" si="5"/>
        <v>126823.9744738275</v>
      </c>
      <c r="D214" s="11">
        <f t="shared" si="0"/>
        <v>766.64065603312702</v>
      </c>
      <c r="E214" s="11">
        <f t="shared" si="1"/>
        <v>127590.61512986063</v>
      </c>
      <c r="F214" s="11">
        <f t="shared" si="2"/>
        <v>284.14893580250691</v>
      </c>
      <c r="G214" s="11">
        <f t="shared" si="6"/>
        <v>1050.7895918356339</v>
      </c>
      <c r="H214" s="11">
        <f t="shared" si="3"/>
        <v>126539.82553802499</v>
      </c>
      <c r="I214" s="13"/>
      <c r="J214" s="13"/>
      <c r="K214" s="13"/>
      <c r="L214" s="13"/>
      <c r="M214" s="13"/>
      <c r="N214" s="13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75" customHeight="1">
      <c r="A215" s="37"/>
      <c r="B215" s="38">
        <f t="shared" si="4"/>
        <v>205</v>
      </c>
      <c r="C215" s="11">
        <f t="shared" si="5"/>
        <v>126539.82553802499</v>
      </c>
      <c r="D215" s="11">
        <f t="shared" si="0"/>
        <v>764.92299872536216</v>
      </c>
      <c r="E215" s="11">
        <f t="shared" si="1"/>
        <v>127304.74853675035</v>
      </c>
      <c r="F215" s="11">
        <f t="shared" si="2"/>
        <v>285.86659311027176</v>
      </c>
      <c r="G215" s="11">
        <f t="shared" si="6"/>
        <v>1050.7895918356339</v>
      </c>
      <c r="H215" s="11">
        <f t="shared" si="3"/>
        <v>126253.95894491472</v>
      </c>
      <c r="I215" s="13"/>
      <c r="J215" s="13"/>
      <c r="K215" s="13"/>
      <c r="L215" s="13"/>
      <c r="M215" s="13"/>
      <c r="N215" s="13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75" customHeight="1">
      <c r="A216" s="37"/>
      <c r="B216" s="38">
        <f t="shared" si="4"/>
        <v>206</v>
      </c>
      <c r="C216" s="11">
        <f t="shared" si="5"/>
        <v>126253.95894491472</v>
      </c>
      <c r="D216" s="11">
        <f t="shared" si="0"/>
        <v>763.19495831826043</v>
      </c>
      <c r="E216" s="11">
        <f t="shared" si="1"/>
        <v>127017.15390323297</v>
      </c>
      <c r="F216" s="11">
        <f t="shared" si="2"/>
        <v>287.5946335173735</v>
      </c>
      <c r="G216" s="11">
        <f t="shared" si="6"/>
        <v>1050.7895918356339</v>
      </c>
      <c r="H216" s="11">
        <f t="shared" si="3"/>
        <v>125966.36431139734</v>
      </c>
      <c r="I216" s="13"/>
      <c r="J216" s="13"/>
      <c r="K216" s="13"/>
      <c r="L216" s="13"/>
      <c r="M216" s="13"/>
      <c r="N216" s="13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75" customHeight="1">
      <c r="A217" s="37"/>
      <c r="B217" s="38">
        <f t="shared" si="4"/>
        <v>207</v>
      </c>
      <c r="C217" s="11">
        <f t="shared" si="5"/>
        <v>125966.36431139734</v>
      </c>
      <c r="D217" s="11">
        <f t="shared" si="0"/>
        <v>761.456472046827</v>
      </c>
      <c r="E217" s="11">
        <f t="shared" si="1"/>
        <v>126727.82078344417</v>
      </c>
      <c r="F217" s="11">
        <f t="shared" si="2"/>
        <v>289.33311978880693</v>
      </c>
      <c r="G217" s="11">
        <f t="shared" si="6"/>
        <v>1050.7895918356339</v>
      </c>
      <c r="H217" s="11">
        <f t="shared" si="3"/>
        <v>125677.03119160853</v>
      </c>
      <c r="I217" s="13"/>
      <c r="J217" s="13"/>
      <c r="K217" s="13"/>
      <c r="L217" s="13"/>
      <c r="M217" s="13"/>
      <c r="N217" s="13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75" customHeight="1">
      <c r="A218" s="37"/>
      <c r="B218" s="38">
        <f t="shared" si="4"/>
        <v>208</v>
      </c>
      <c r="C218" s="11">
        <f t="shared" si="5"/>
        <v>125677.03119160853</v>
      </c>
      <c r="D218" s="11">
        <f t="shared" si="0"/>
        <v>759.70747676665792</v>
      </c>
      <c r="E218" s="11">
        <f t="shared" si="1"/>
        <v>126436.7386683752</v>
      </c>
      <c r="F218" s="11">
        <f t="shared" si="2"/>
        <v>291.08211506897601</v>
      </c>
      <c r="G218" s="11">
        <f t="shared" si="6"/>
        <v>1050.7895918356339</v>
      </c>
      <c r="H218" s="11">
        <f t="shared" si="3"/>
        <v>125385.94907653956</v>
      </c>
      <c r="I218" s="13"/>
      <c r="J218" s="13"/>
      <c r="K218" s="13"/>
      <c r="L218" s="13"/>
      <c r="M218" s="13"/>
      <c r="N218" s="13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75" customHeight="1">
      <c r="A219" s="37"/>
      <c r="B219" s="38">
        <f t="shared" si="4"/>
        <v>209</v>
      </c>
      <c r="C219" s="11">
        <f t="shared" si="5"/>
        <v>125385.94907653956</v>
      </c>
      <c r="D219" s="11">
        <f t="shared" si="0"/>
        <v>757.94790895164647</v>
      </c>
      <c r="E219" s="11">
        <f t="shared" si="1"/>
        <v>126143.89698549121</v>
      </c>
      <c r="F219" s="11">
        <f t="shared" si="2"/>
        <v>292.84168288398746</v>
      </c>
      <c r="G219" s="11">
        <f t="shared" si="6"/>
        <v>1050.7895918356339</v>
      </c>
      <c r="H219" s="11">
        <f t="shared" si="3"/>
        <v>125093.10739365558</v>
      </c>
      <c r="I219" s="13"/>
      <c r="J219" s="13"/>
      <c r="K219" s="13"/>
      <c r="L219" s="13"/>
      <c r="M219" s="13"/>
      <c r="N219" s="13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75" customHeight="1">
      <c r="A220" s="37"/>
      <c r="B220" s="38">
        <f t="shared" si="4"/>
        <v>210</v>
      </c>
      <c r="C220" s="11">
        <f t="shared" si="5"/>
        <v>125093.10739365558</v>
      </c>
      <c r="D220" s="11">
        <f t="shared" si="0"/>
        <v>756.17770469167544</v>
      </c>
      <c r="E220" s="11">
        <f t="shared" si="1"/>
        <v>125849.28509834725</v>
      </c>
      <c r="F220" s="11">
        <f t="shared" si="2"/>
        <v>294.61188714395848</v>
      </c>
      <c r="G220" s="11">
        <f t="shared" si="6"/>
        <v>1050.7895918356339</v>
      </c>
      <c r="H220" s="11">
        <f t="shared" si="3"/>
        <v>124798.49550651161</v>
      </c>
      <c r="I220" s="13"/>
      <c r="J220" s="13"/>
      <c r="K220" s="13"/>
      <c r="L220" s="13"/>
      <c r="M220" s="13"/>
      <c r="N220" s="13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75" customHeight="1">
      <c r="A221" s="37"/>
      <c r="B221" s="38">
        <f t="shared" si="4"/>
        <v>211</v>
      </c>
      <c r="C221" s="11">
        <f t="shared" si="5"/>
        <v>124798.49550651161</v>
      </c>
      <c r="D221" s="11">
        <f t="shared" si="0"/>
        <v>754.39679969029646</v>
      </c>
      <c r="E221" s="11">
        <f t="shared" si="1"/>
        <v>125552.8923062019</v>
      </c>
      <c r="F221" s="11">
        <f t="shared" si="2"/>
        <v>296.39279214533747</v>
      </c>
      <c r="G221" s="11">
        <f t="shared" si="6"/>
        <v>1050.7895918356339</v>
      </c>
      <c r="H221" s="11">
        <f t="shared" si="3"/>
        <v>124502.10271436626</v>
      </c>
      <c r="I221" s="13"/>
      <c r="J221" s="13"/>
      <c r="K221" s="13"/>
      <c r="L221" s="13"/>
      <c r="M221" s="13"/>
      <c r="N221" s="13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75" customHeight="1">
      <c r="A222" s="37"/>
      <c r="B222" s="38">
        <f t="shared" si="4"/>
        <v>212</v>
      </c>
      <c r="C222" s="11">
        <f t="shared" si="5"/>
        <v>124502.10271436626</v>
      </c>
      <c r="D222" s="11">
        <f t="shared" si="0"/>
        <v>752.60512926239403</v>
      </c>
      <c r="E222" s="11">
        <f t="shared" si="1"/>
        <v>125254.70784362865</v>
      </c>
      <c r="F222" s="11">
        <f t="shared" si="2"/>
        <v>298.1844625732399</v>
      </c>
      <c r="G222" s="11">
        <f t="shared" si="6"/>
        <v>1050.7895918356339</v>
      </c>
      <c r="H222" s="11">
        <f t="shared" si="3"/>
        <v>124203.91825179302</v>
      </c>
      <c r="I222" s="13"/>
      <c r="J222" s="13"/>
      <c r="K222" s="13"/>
      <c r="L222" s="13"/>
      <c r="M222" s="13"/>
      <c r="N222" s="13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75" customHeight="1">
      <c r="A223" s="37"/>
      <c r="B223" s="38">
        <f t="shared" si="4"/>
        <v>213</v>
      </c>
      <c r="C223" s="11">
        <f t="shared" si="5"/>
        <v>124203.91825179302</v>
      </c>
      <c r="D223" s="11">
        <f t="shared" si="0"/>
        <v>750.8026283318369</v>
      </c>
      <c r="E223" s="11">
        <f t="shared" si="1"/>
        <v>124954.72088012485</v>
      </c>
      <c r="F223" s="11">
        <f t="shared" si="2"/>
        <v>299.98696350379703</v>
      </c>
      <c r="G223" s="11">
        <f t="shared" si="6"/>
        <v>1050.7895918356339</v>
      </c>
      <c r="H223" s="11">
        <f t="shared" si="3"/>
        <v>123903.93128828921</v>
      </c>
      <c r="I223" s="13"/>
      <c r="J223" s="13"/>
      <c r="K223" s="13"/>
      <c r="L223" s="13"/>
      <c r="M223" s="13"/>
      <c r="N223" s="13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75" customHeight="1">
      <c r="A224" s="37"/>
      <c r="B224" s="38">
        <f t="shared" si="4"/>
        <v>214</v>
      </c>
      <c r="C224" s="11">
        <f t="shared" si="5"/>
        <v>123903.93128828921</v>
      </c>
      <c r="D224" s="11">
        <f t="shared" si="0"/>
        <v>748.98923142911315</v>
      </c>
      <c r="E224" s="11">
        <f t="shared" si="1"/>
        <v>124652.92051971832</v>
      </c>
      <c r="F224" s="11">
        <f t="shared" si="2"/>
        <v>301.80036040652078</v>
      </c>
      <c r="G224" s="11">
        <f t="shared" si="6"/>
        <v>1050.7895918356339</v>
      </c>
      <c r="H224" s="11">
        <f t="shared" si="3"/>
        <v>123602.13092788268</v>
      </c>
      <c r="I224" s="13"/>
      <c r="J224" s="13"/>
      <c r="K224" s="13"/>
      <c r="L224" s="13"/>
      <c r="M224" s="13"/>
      <c r="N224" s="13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75" customHeight="1">
      <c r="A225" s="37"/>
      <c r="B225" s="38">
        <f t="shared" si="4"/>
        <v>215</v>
      </c>
      <c r="C225" s="11">
        <f t="shared" si="5"/>
        <v>123602.13092788268</v>
      </c>
      <c r="D225" s="11">
        <f t="shared" si="0"/>
        <v>747.16487268895366</v>
      </c>
      <c r="E225" s="11">
        <f t="shared" si="1"/>
        <v>124349.29580057164</v>
      </c>
      <c r="F225" s="11">
        <f t="shared" si="2"/>
        <v>303.62471914668026</v>
      </c>
      <c r="G225" s="11">
        <f t="shared" si="6"/>
        <v>1050.7895918356339</v>
      </c>
      <c r="H225" s="11">
        <f t="shared" si="3"/>
        <v>123298.506208736</v>
      </c>
      <c r="I225" s="13"/>
      <c r="J225" s="13"/>
      <c r="K225" s="13"/>
      <c r="L225" s="13"/>
      <c r="M225" s="13"/>
      <c r="N225" s="13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>
      <c r="A226" s="37"/>
      <c r="B226" s="38">
        <f t="shared" si="4"/>
        <v>216</v>
      </c>
      <c r="C226" s="11">
        <f t="shared" si="5"/>
        <v>123298.506208736</v>
      </c>
      <c r="D226" s="11">
        <f t="shared" si="0"/>
        <v>745.3294858479386</v>
      </c>
      <c r="E226" s="11">
        <f t="shared" si="1"/>
        <v>124043.83569458393</v>
      </c>
      <c r="F226" s="11">
        <f t="shared" si="2"/>
        <v>305.46010598769533</v>
      </c>
      <c r="G226" s="11">
        <f t="shared" si="6"/>
        <v>1050.7895918356339</v>
      </c>
      <c r="H226" s="11">
        <f t="shared" si="3"/>
        <v>122993.0461027483</v>
      </c>
      <c r="I226" s="13"/>
      <c r="J226" s="13"/>
      <c r="K226" s="13"/>
      <c r="L226" s="13"/>
      <c r="M226" s="13"/>
      <c r="N226" s="13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75" customHeight="1">
      <c r="A227" s="37"/>
      <c r="B227" s="38">
        <f t="shared" si="4"/>
        <v>217</v>
      </c>
      <c r="C227" s="11">
        <f t="shared" si="5"/>
        <v>122993.0461027483</v>
      </c>
      <c r="D227" s="11">
        <f t="shared" si="0"/>
        <v>743.4830042420914</v>
      </c>
      <c r="E227" s="11">
        <f t="shared" si="1"/>
        <v>123736.52910699039</v>
      </c>
      <c r="F227" s="11">
        <f t="shared" si="2"/>
        <v>307.30658759354253</v>
      </c>
      <c r="G227" s="11">
        <f t="shared" si="6"/>
        <v>1050.7895918356339</v>
      </c>
      <c r="H227" s="11">
        <f t="shared" si="3"/>
        <v>122685.73951515475</v>
      </c>
      <c r="I227" s="13"/>
      <c r="J227" s="13"/>
      <c r="K227" s="13"/>
      <c r="L227" s="13"/>
      <c r="M227" s="13"/>
      <c r="N227" s="13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75" customHeight="1">
      <c r="A228" s="37"/>
      <c r="B228" s="38">
        <f t="shared" si="4"/>
        <v>218</v>
      </c>
      <c r="C228" s="11">
        <f t="shared" si="5"/>
        <v>122685.73951515475</v>
      </c>
      <c r="D228" s="11">
        <f t="shared" si="0"/>
        <v>741.62536080445705</v>
      </c>
      <c r="E228" s="11">
        <f t="shared" si="1"/>
        <v>123427.3648759592</v>
      </c>
      <c r="F228" s="11">
        <f t="shared" si="2"/>
        <v>309.16423103117688</v>
      </c>
      <c r="G228" s="11">
        <f t="shared" si="6"/>
        <v>1050.7895918356339</v>
      </c>
      <c r="H228" s="11">
        <f t="shared" si="3"/>
        <v>122376.57528412357</v>
      </c>
      <c r="I228" s="13"/>
      <c r="J228" s="13"/>
      <c r="K228" s="13"/>
      <c r="L228" s="13"/>
      <c r="M228" s="13"/>
      <c r="N228" s="13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75" customHeight="1">
      <c r="A229" s="37"/>
      <c r="B229" s="38">
        <f t="shared" si="4"/>
        <v>219</v>
      </c>
      <c r="C229" s="11">
        <f t="shared" si="5"/>
        <v>122376.57528412357</v>
      </c>
      <c r="D229" s="11">
        <f t="shared" si="0"/>
        <v>739.75648806266611</v>
      </c>
      <c r="E229" s="11">
        <f t="shared" si="1"/>
        <v>123116.33177218623</v>
      </c>
      <c r="F229" s="11">
        <f t="shared" si="2"/>
        <v>311.03310377296782</v>
      </c>
      <c r="G229" s="11">
        <f t="shared" si="6"/>
        <v>1050.7895918356339</v>
      </c>
      <c r="H229" s="11">
        <f t="shared" si="3"/>
        <v>122065.54218035059</v>
      </c>
      <c r="I229" s="13"/>
      <c r="J229" s="13"/>
      <c r="K229" s="13"/>
      <c r="L229" s="13"/>
      <c r="M229" s="13"/>
      <c r="N229" s="13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75" customHeight="1">
      <c r="A230" s="37"/>
      <c r="B230" s="38">
        <f t="shared" si="4"/>
        <v>220</v>
      </c>
      <c r="C230" s="11">
        <f t="shared" si="5"/>
        <v>122065.54218035059</v>
      </c>
      <c r="D230" s="11">
        <f t="shared" si="0"/>
        <v>737.87631813648431</v>
      </c>
      <c r="E230" s="11">
        <f t="shared" si="1"/>
        <v>122803.41849848707</v>
      </c>
      <c r="F230" s="11">
        <f t="shared" si="2"/>
        <v>312.91327369914961</v>
      </c>
      <c r="G230" s="11">
        <f t="shared" si="6"/>
        <v>1050.7895918356339</v>
      </c>
      <c r="H230" s="11">
        <f t="shared" si="3"/>
        <v>121752.62890665143</v>
      </c>
      <c r="I230" s="13"/>
      <c r="J230" s="13"/>
      <c r="K230" s="13"/>
      <c r="L230" s="13"/>
      <c r="M230" s="13"/>
      <c r="N230" s="13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75" customHeight="1">
      <c r="A231" s="37"/>
      <c r="B231" s="38">
        <f t="shared" si="4"/>
        <v>221</v>
      </c>
      <c r="C231" s="11">
        <f t="shared" si="5"/>
        <v>121752.62890665143</v>
      </c>
      <c r="D231" s="11">
        <f t="shared" si="0"/>
        <v>735.98478273534693</v>
      </c>
      <c r="E231" s="11">
        <f t="shared" si="1"/>
        <v>122488.61368938678</v>
      </c>
      <c r="F231" s="11">
        <f t="shared" si="2"/>
        <v>314.804809100287</v>
      </c>
      <c r="G231" s="11">
        <f t="shared" si="6"/>
        <v>1050.7895918356339</v>
      </c>
      <c r="H231" s="11">
        <f t="shared" si="3"/>
        <v>121437.82409755114</v>
      </c>
      <c r="I231" s="13"/>
      <c r="J231" s="13"/>
      <c r="K231" s="13"/>
      <c r="L231" s="13"/>
      <c r="M231" s="13"/>
      <c r="N231" s="13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75" customHeight="1">
      <c r="A232" s="37"/>
      <c r="B232" s="38">
        <f t="shared" si="4"/>
        <v>222</v>
      </c>
      <c r="C232" s="11">
        <f t="shared" si="5"/>
        <v>121437.82409755114</v>
      </c>
      <c r="D232" s="11">
        <f t="shared" si="0"/>
        <v>734.08181315587808</v>
      </c>
      <c r="E232" s="11">
        <f t="shared" si="1"/>
        <v>122171.90591070702</v>
      </c>
      <c r="F232" s="11">
        <f t="shared" si="2"/>
        <v>316.70777867975585</v>
      </c>
      <c r="G232" s="11">
        <f t="shared" si="6"/>
        <v>1050.7895918356339</v>
      </c>
      <c r="H232" s="11">
        <f t="shared" si="3"/>
        <v>121121.11631887138</v>
      </c>
      <c r="I232" s="13"/>
      <c r="J232" s="13"/>
      <c r="K232" s="13"/>
      <c r="L232" s="13"/>
      <c r="M232" s="13"/>
      <c r="N232" s="13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75" customHeight="1">
      <c r="A233" s="37"/>
      <c r="B233" s="38">
        <f t="shared" si="4"/>
        <v>223</v>
      </c>
      <c r="C233" s="11">
        <f t="shared" si="5"/>
        <v>121121.11631887138</v>
      </c>
      <c r="D233" s="11">
        <f t="shared" si="0"/>
        <v>732.1673402793956</v>
      </c>
      <c r="E233" s="11">
        <f t="shared" si="1"/>
        <v>121853.28365915078</v>
      </c>
      <c r="F233" s="11">
        <f t="shared" si="2"/>
        <v>318.62225155623833</v>
      </c>
      <c r="G233" s="11">
        <f t="shared" si="6"/>
        <v>1050.7895918356339</v>
      </c>
      <c r="H233" s="11">
        <f t="shared" si="3"/>
        <v>120802.49406731514</v>
      </c>
      <c r="I233" s="13"/>
      <c r="J233" s="13"/>
      <c r="K233" s="13"/>
      <c r="L233" s="13"/>
      <c r="M233" s="13"/>
      <c r="N233" s="13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75" customHeight="1">
      <c r="A234" s="37"/>
      <c r="B234" s="38">
        <f t="shared" si="4"/>
        <v>224</v>
      </c>
      <c r="C234" s="11">
        <f t="shared" si="5"/>
        <v>120802.49406731514</v>
      </c>
      <c r="D234" s="11">
        <f t="shared" si="0"/>
        <v>730.24129456940057</v>
      </c>
      <c r="E234" s="11">
        <f t="shared" si="1"/>
        <v>121532.73536188454</v>
      </c>
      <c r="F234" s="11">
        <f t="shared" si="2"/>
        <v>320.54829726623336</v>
      </c>
      <c r="G234" s="11">
        <f t="shared" si="6"/>
        <v>1050.7895918356339</v>
      </c>
      <c r="H234" s="11">
        <f t="shared" si="3"/>
        <v>120481.9457700489</v>
      </c>
      <c r="I234" s="13"/>
      <c r="J234" s="13"/>
      <c r="K234" s="13"/>
      <c r="L234" s="13"/>
      <c r="M234" s="13"/>
      <c r="N234" s="13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75" customHeight="1">
      <c r="A235" s="37"/>
      <c r="B235" s="38">
        <f t="shared" si="4"/>
        <v>225</v>
      </c>
      <c r="C235" s="11">
        <f t="shared" si="5"/>
        <v>120481.9457700489</v>
      </c>
      <c r="D235" s="11">
        <f t="shared" si="0"/>
        <v>728.30360606905163</v>
      </c>
      <c r="E235" s="11">
        <f t="shared" si="1"/>
        <v>121210.24937611795</v>
      </c>
      <c r="F235" s="11">
        <f t="shared" si="2"/>
        <v>322.4859857665823</v>
      </c>
      <c r="G235" s="11">
        <f t="shared" si="6"/>
        <v>1050.7895918356339</v>
      </c>
      <c r="H235" s="11">
        <f t="shared" si="3"/>
        <v>120159.45978428231</v>
      </c>
      <c r="I235" s="13"/>
      <c r="J235" s="13"/>
      <c r="K235" s="13"/>
      <c r="L235" s="13"/>
      <c r="M235" s="13"/>
      <c r="N235" s="13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75" customHeight="1">
      <c r="A236" s="37"/>
      <c r="B236" s="38">
        <f t="shared" si="4"/>
        <v>226</v>
      </c>
      <c r="C236" s="11">
        <f t="shared" si="5"/>
        <v>120159.45978428231</v>
      </c>
      <c r="D236" s="11">
        <f t="shared" si="0"/>
        <v>726.35420439862366</v>
      </c>
      <c r="E236" s="11">
        <f t="shared" si="1"/>
        <v>120885.81398868094</v>
      </c>
      <c r="F236" s="11">
        <f t="shared" si="2"/>
        <v>324.43538743701026</v>
      </c>
      <c r="G236" s="11">
        <f t="shared" si="6"/>
        <v>1050.7895918356339</v>
      </c>
      <c r="H236" s="11">
        <f t="shared" si="3"/>
        <v>119835.0243968453</v>
      </c>
      <c r="I236" s="13"/>
      <c r="J236" s="13"/>
      <c r="K236" s="13"/>
      <c r="L236" s="13"/>
      <c r="M236" s="13"/>
      <c r="N236" s="13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75" customHeight="1">
      <c r="A237" s="37"/>
      <c r="B237" s="38">
        <f t="shared" si="4"/>
        <v>227</v>
      </c>
      <c r="C237" s="11">
        <f t="shared" si="5"/>
        <v>119835.0243968453</v>
      </c>
      <c r="D237" s="11">
        <f t="shared" si="0"/>
        <v>724.39301875295223</v>
      </c>
      <c r="E237" s="11">
        <f t="shared" si="1"/>
        <v>120559.41741559825</v>
      </c>
      <c r="F237" s="11">
        <f t="shared" si="2"/>
        <v>326.3965730826817</v>
      </c>
      <c r="G237" s="11">
        <f t="shared" si="6"/>
        <v>1050.7895918356339</v>
      </c>
      <c r="H237" s="11">
        <f t="shared" si="3"/>
        <v>119508.62782376261</v>
      </c>
      <c r="I237" s="13"/>
      <c r="J237" s="13"/>
      <c r="K237" s="13"/>
      <c r="L237" s="13"/>
      <c r="M237" s="13"/>
      <c r="N237" s="13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>
      <c r="A238" s="37"/>
      <c r="B238" s="38">
        <f t="shared" si="4"/>
        <v>228</v>
      </c>
      <c r="C238" s="11">
        <f t="shared" si="5"/>
        <v>119508.62782376261</v>
      </c>
      <c r="D238" s="11">
        <f t="shared" si="0"/>
        <v>722.41997789886102</v>
      </c>
      <c r="E238" s="11">
        <f t="shared" si="1"/>
        <v>120231.04780166147</v>
      </c>
      <c r="F238" s="11">
        <f t="shared" si="2"/>
        <v>328.36961393677291</v>
      </c>
      <c r="G238" s="11">
        <f t="shared" si="6"/>
        <v>1050.7895918356339</v>
      </c>
      <c r="H238" s="11">
        <f t="shared" si="3"/>
        <v>119180.25820982583</v>
      </c>
      <c r="I238" s="13"/>
      <c r="J238" s="13"/>
      <c r="K238" s="13"/>
      <c r="L238" s="13"/>
      <c r="M238" s="13"/>
      <c r="N238" s="13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>
      <c r="A239" s="37"/>
      <c r="B239" s="38">
        <f t="shared" si="4"/>
        <v>229</v>
      </c>
      <c r="C239" s="11">
        <f t="shared" si="5"/>
        <v>119180.25820982583</v>
      </c>
      <c r="D239" s="11">
        <f t="shared" si="0"/>
        <v>720.43501017257529</v>
      </c>
      <c r="E239" s="11">
        <f t="shared" si="1"/>
        <v>119900.6932199984</v>
      </c>
      <c r="F239" s="11">
        <f t="shared" si="2"/>
        <v>330.35458166305864</v>
      </c>
      <c r="G239" s="11">
        <f t="shared" si="6"/>
        <v>1050.7895918356339</v>
      </c>
      <c r="H239" s="11">
        <f t="shared" si="3"/>
        <v>118849.90362816276</v>
      </c>
      <c r="I239" s="13"/>
      <c r="J239" s="13"/>
      <c r="K239" s="13"/>
      <c r="L239" s="13"/>
      <c r="M239" s="13"/>
      <c r="N239" s="13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75" customHeight="1">
      <c r="A240" s="37"/>
      <c r="B240" s="38">
        <f t="shared" si="4"/>
        <v>230</v>
      </c>
      <c r="C240" s="11">
        <f t="shared" si="5"/>
        <v>118849.90362816276</v>
      </c>
      <c r="D240" s="11">
        <f t="shared" si="0"/>
        <v>718.4380434771183</v>
      </c>
      <c r="E240" s="11">
        <f t="shared" si="1"/>
        <v>119568.34167163988</v>
      </c>
      <c r="F240" s="11">
        <f t="shared" si="2"/>
        <v>332.35154835851563</v>
      </c>
      <c r="G240" s="11">
        <f t="shared" si="6"/>
        <v>1050.7895918356339</v>
      </c>
      <c r="H240" s="11">
        <f t="shared" si="3"/>
        <v>118517.55207980424</v>
      </c>
      <c r="I240" s="13"/>
      <c r="J240" s="13"/>
      <c r="K240" s="13"/>
      <c r="L240" s="13"/>
      <c r="M240" s="13"/>
      <c r="N240" s="13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75" customHeight="1">
      <c r="A241" s="37"/>
      <c r="B241" s="38">
        <f t="shared" si="4"/>
        <v>231</v>
      </c>
      <c r="C241" s="11">
        <f t="shared" si="5"/>
        <v>118517.55207980424</v>
      </c>
      <c r="D241" s="11">
        <f t="shared" si="0"/>
        <v>716.429005279693</v>
      </c>
      <c r="E241" s="11">
        <f t="shared" si="1"/>
        <v>119233.98108508393</v>
      </c>
      <c r="F241" s="11">
        <f t="shared" si="2"/>
        <v>334.36058655594093</v>
      </c>
      <c r="G241" s="11">
        <f t="shared" si="6"/>
        <v>1050.7895918356339</v>
      </c>
      <c r="H241" s="11">
        <f t="shared" si="3"/>
        <v>118183.19149324829</v>
      </c>
      <c r="I241" s="13"/>
      <c r="J241" s="13"/>
      <c r="K241" s="13"/>
      <c r="L241" s="13"/>
      <c r="M241" s="13"/>
      <c r="N241" s="13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75" customHeight="1">
      <c r="A242" s="37"/>
      <c r="B242" s="38">
        <f t="shared" si="4"/>
        <v>232</v>
      </c>
      <c r="C242" s="11">
        <f t="shared" si="5"/>
        <v>118183.19149324829</v>
      </c>
      <c r="D242" s="11">
        <f t="shared" si="0"/>
        <v>714.40782260904768</v>
      </c>
      <c r="E242" s="11">
        <f t="shared" si="1"/>
        <v>118897.59931585734</v>
      </c>
      <c r="F242" s="11">
        <f t="shared" si="2"/>
        <v>336.38176922658624</v>
      </c>
      <c r="G242" s="11">
        <f t="shared" si="6"/>
        <v>1050.7895918356339</v>
      </c>
      <c r="H242" s="11">
        <f t="shared" si="3"/>
        <v>117846.8097240217</v>
      </c>
      <c r="I242" s="13"/>
      <c r="J242" s="13"/>
      <c r="K242" s="13"/>
      <c r="L242" s="13"/>
      <c r="M242" s="13"/>
      <c r="N242" s="13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75" customHeight="1">
      <c r="A243" s="37"/>
      <c r="B243" s="38">
        <f t="shared" si="4"/>
        <v>233</v>
      </c>
      <c r="C243" s="11">
        <f t="shared" si="5"/>
        <v>117846.8097240217</v>
      </c>
      <c r="D243" s="11">
        <f t="shared" si="0"/>
        <v>712.37442205282491</v>
      </c>
      <c r="E243" s="11">
        <f t="shared" si="1"/>
        <v>118559.18414607453</v>
      </c>
      <c r="F243" s="11">
        <f t="shared" si="2"/>
        <v>338.41516978280902</v>
      </c>
      <c r="G243" s="11">
        <f t="shared" si="6"/>
        <v>1050.7895918356339</v>
      </c>
      <c r="H243" s="11">
        <f t="shared" si="3"/>
        <v>117508.3945542389</v>
      </c>
      <c r="I243" s="13"/>
      <c r="J243" s="13"/>
      <c r="K243" s="13"/>
      <c r="L243" s="13"/>
      <c r="M243" s="13"/>
      <c r="N243" s="13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75" customHeight="1">
      <c r="A244" s="37"/>
      <c r="B244" s="38">
        <f t="shared" si="4"/>
        <v>234</v>
      </c>
      <c r="C244" s="11">
        <f t="shared" si="5"/>
        <v>117508.3945542389</v>
      </c>
      <c r="D244" s="11">
        <f t="shared" si="0"/>
        <v>710.3287297548959</v>
      </c>
      <c r="E244" s="11">
        <f t="shared" si="1"/>
        <v>118218.72328399379</v>
      </c>
      <c r="F244" s="11">
        <f t="shared" si="2"/>
        <v>340.46086208073802</v>
      </c>
      <c r="G244" s="11">
        <f t="shared" si="6"/>
        <v>1050.7895918356339</v>
      </c>
      <c r="H244" s="11">
        <f t="shared" si="3"/>
        <v>117167.93369215816</v>
      </c>
      <c r="I244" s="13"/>
      <c r="J244" s="13"/>
      <c r="K244" s="13"/>
      <c r="L244" s="13"/>
      <c r="M244" s="13"/>
      <c r="N244" s="13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75" customHeight="1">
      <c r="A245" s="37"/>
      <c r="B245" s="38">
        <f t="shared" si="4"/>
        <v>235</v>
      </c>
      <c r="C245" s="11">
        <f t="shared" si="5"/>
        <v>117167.93369215816</v>
      </c>
      <c r="D245" s="11">
        <f t="shared" si="0"/>
        <v>708.2706714126773</v>
      </c>
      <c r="E245" s="11">
        <f t="shared" si="1"/>
        <v>117876.20436357084</v>
      </c>
      <c r="F245" s="11">
        <f t="shared" si="2"/>
        <v>342.51892042295663</v>
      </c>
      <c r="G245" s="11">
        <f t="shared" si="6"/>
        <v>1050.7895918356339</v>
      </c>
      <c r="H245" s="11">
        <f t="shared" si="3"/>
        <v>116825.4147717352</v>
      </c>
      <c r="I245" s="13"/>
      <c r="J245" s="13"/>
      <c r="K245" s="13"/>
      <c r="L245" s="13"/>
      <c r="M245" s="13"/>
      <c r="N245" s="13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75" customHeight="1">
      <c r="A246" s="37"/>
      <c r="B246" s="38">
        <f t="shared" si="4"/>
        <v>236</v>
      </c>
      <c r="C246" s="11">
        <f t="shared" si="5"/>
        <v>116825.4147717352</v>
      </c>
      <c r="D246" s="11">
        <f t="shared" si="0"/>
        <v>706.2001722744327</v>
      </c>
      <c r="E246" s="11">
        <f t="shared" si="1"/>
        <v>117531.61494400963</v>
      </c>
      <c r="F246" s="11">
        <f t="shared" si="2"/>
        <v>344.58941956120123</v>
      </c>
      <c r="G246" s="11">
        <f t="shared" si="6"/>
        <v>1050.7895918356339</v>
      </c>
      <c r="H246" s="11">
        <f t="shared" si="3"/>
        <v>116480.825352174</v>
      </c>
      <c r="I246" s="13"/>
      <c r="J246" s="13"/>
      <c r="K246" s="13"/>
      <c r="L246" s="13"/>
      <c r="M246" s="13"/>
      <c r="N246" s="13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75" customHeight="1">
      <c r="A247" s="37"/>
      <c r="B247" s="38">
        <f t="shared" si="4"/>
        <v>237</v>
      </c>
      <c r="C247" s="11">
        <f t="shared" si="5"/>
        <v>116480.825352174</v>
      </c>
      <c r="D247" s="11">
        <f t="shared" si="0"/>
        <v>704.11715713655758</v>
      </c>
      <c r="E247" s="11">
        <f t="shared" si="1"/>
        <v>117184.94250931055</v>
      </c>
      <c r="F247" s="11">
        <f t="shared" si="2"/>
        <v>346.67243469907635</v>
      </c>
      <c r="G247" s="11">
        <f t="shared" si="6"/>
        <v>1050.7895918356339</v>
      </c>
      <c r="H247" s="11">
        <f t="shared" si="3"/>
        <v>116134.15291747492</v>
      </c>
      <c r="I247" s="13"/>
      <c r="J247" s="13"/>
      <c r="K247" s="13"/>
      <c r="L247" s="13"/>
      <c r="M247" s="13"/>
      <c r="N247" s="13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75" customHeight="1">
      <c r="A248" s="37"/>
      <c r="B248" s="38">
        <f t="shared" si="4"/>
        <v>238</v>
      </c>
      <c r="C248" s="11">
        <f t="shared" si="5"/>
        <v>116134.15291747492</v>
      </c>
      <c r="D248" s="11">
        <f t="shared" si="0"/>
        <v>702.02155034084751</v>
      </c>
      <c r="E248" s="11">
        <f t="shared" si="1"/>
        <v>116836.17446781577</v>
      </c>
      <c r="F248" s="11">
        <f t="shared" si="2"/>
        <v>348.76804149478642</v>
      </c>
      <c r="G248" s="11">
        <f t="shared" si="6"/>
        <v>1050.7895918356339</v>
      </c>
      <c r="H248" s="11">
        <f t="shared" si="3"/>
        <v>115785.38487598013</v>
      </c>
      <c r="I248" s="13"/>
      <c r="J248" s="13"/>
      <c r="K248" s="13"/>
      <c r="L248" s="13"/>
      <c r="M248" s="13"/>
      <c r="N248" s="13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75" customHeight="1">
      <c r="A249" s="37"/>
      <c r="B249" s="38">
        <f t="shared" si="4"/>
        <v>239</v>
      </c>
      <c r="C249" s="11">
        <f t="shared" si="5"/>
        <v>115785.38487598013</v>
      </c>
      <c r="D249" s="11">
        <f t="shared" si="0"/>
        <v>699.91327577175082</v>
      </c>
      <c r="E249" s="11">
        <f t="shared" si="1"/>
        <v>116485.29815175188</v>
      </c>
      <c r="F249" s="11">
        <f t="shared" si="2"/>
        <v>350.87631606388311</v>
      </c>
      <c r="G249" s="11">
        <f t="shared" si="6"/>
        <v>1050.7895918356339</v>
      </c>
      <c r="H249" s="11">
        <f t="shared" si="3"/>
        <v>115434.50855991624</v>
      </c>
      <c r="I249" s="13"/>
      <c r="J249" s="13"/>
      <c r="K249" s="13"/>
      <c r="L249" s="13"/>
      <c r="M249" s="13"/>
      <c r="N249" s="13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75" customHeight="1">
      <c r="A250" s="37"/>
      <c r="B250" s="38">
        <f t="shared" si="4"/>
        <v>240</v>
      </c>
      <c r="C250" s="11">
        <f t="shared" si="5"/>
        <v>115434.50855991624</v>
      </c>
      <c r="D250" s="11">
        <f t="shared" si="0"/>
        <v>697.79225685360279</v>
      </c>
      <c r="E250" s="11">
        <f t="shared" si="1"/>
        <v>116132.30081676984</v>
      </c>
      <c r="F250" s="11">
        <f t="shared" si="2"/>
        <v>352.99733498203113</v>
      </c>
      <c r="G250" s="11">
        <f t="shared" si="6"/>
        <v>1050.7895918356339</v>
      </c>
      <c r="H250" s="11">
        <f t="shared" si="3"/>
        <v>115081.51122493421</v>
      </c>
      <c r="I250" s="13"/>
      <c r="J250" s="13"/>
      <c r="K250" s="13"/>
      <c r="L250" s="13"/>
      <c r="M250" s="13"/>
      <c r="N250" s="13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75" customHeight="1">
      <c r="A251" s="37"/>
      <c r="B251" s="38">
        <f t="shared" si="4"/>
        <v>241</v>
      </c>
      <c r="C251" s="11">
        <f t="shared" si="5"/>
        <v>115081.51122493421</v>
      </c>
      <c r="D251" s="11">
        <f t="shared" si="0"/>
        <v>695.6584165478456</v>
      </c>
      <c r="E251" s="11">
        <f t="shared" si="1"/>
        <v>115777.16964148205</v>
      </c>
      <c r="F251" s="11">
        <f t="shared" si="2"/>
        <v>355.13117528778832</v>
      </c>
      <c r="G251" s="11">
        <f t="shared" si="6"/>
        <v>1050.7895918356339</v>
      </c>
      <c r="H251" s="11">
        <f t="shared" si="3"/>
        <v>114726.38004964641</v>
      </c>
      <c r="I251" s="13"/>
      <c r="J251" s="13"/>
      <c r="K251" s="13"/>
      <c r="L251" s="13"/>
      <c r="M251" s="13"/>
      <c r="N251" s="13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75" customHeight="1">
      <c r="A252" s="37"/>
      <c r="B252" s="38">
        <f t="shared" si="4"/>
        <v>242</v>
      </c>
      <c r="C252" s="11">
        <f t="shared" si="5"/>
        <v>114726.38004964641</v>
      </c>
      <c r="D252" s="11">
        <f t="shared" si="0"/>
        <v>693.51167735022932</v>
      </c>
      <c r="E252" s="11">
        <f t="shared" si="1"/>
        <v>115419.89172699663</v>
      </c>
      <c r="F252" s="11">
        <f t="shared" si="2"/>
        <v>357.27791448540461</v>
      </c>
      <c r="G252" s="11">
        <f t="shared" si="6"/>
        <v>1050.7895918356339</v>
      </c>
      <c r="H252" s="11">
        <f t="shared" si="3"/>
        <v>114369.102135161</v>
      </c>
      <c r="I252" s="13"/>
      <c r="J252" s="13"/>
      <c r="K252" s="13"/>
      <c r="L252" s="13"/>
      <c r="M252" s="13"/>
      <c r="N252" s="13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75" customHeight="1">
      <c r="A253" s="37"/>
      <c r="B253" s="38">
        <f t="shared" si="4"/>
        <v>243</v>
      </c>
      <c r="C253" s="11">
        <f t="shared" si="5"/>
        <v>114369.102135161</v>
      </c>
      <c r="D253" s="11">
        <f t="shared" si="0"/>
        <v>691.35196128799714</v>
      </c>
      <c r="E253" s="11">
        <f t="shared" si="1"/>
        <v>115060.45409644899</v>
      </c>
      <c r="F253" s="11">
        <f t="shared" si="2"/>
        <v>359.43763054763679</v>
      </c>
      <c r="G253" s="11">
        <f t="shared" si="6"/>
        <v>1050.7895918356339</v>
      </c>
      <c r="H253" s="11">
        <f t="shared" si="3"/>
        <v>114009.66450461335</v>
      </c>
      <c r="I253" s="13"/>
      <c r="J253" s="13"/>
      <c r="K253" s="13"/>
      <c r="L253" s="13"/>
      <c r="M253" s="13"/>
      <c r="N253" s="13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75" customHeight="1">
      <c r="A254" s="37"/>
      <c r="B254" s="38">
        <f t="shared" si="4"/>
        <v>244</v>
      </c>
      <c r="C254" s="11">
        <f t="shared" si="5"/>
        <v>114009.66450461335</v>
      </c>
      <c r="D254" s="11">
        <f t="shared" si="0"/>
        <v>689.17918991705335</v>
      </c>
      <c r="E254" s="11">
        <f t="shared" si="1"/>
        <v>114698.8436945304</v>
      </c>
      <c r="F254" s="11">
        <f t="shared" si="2"/>
        <v>361.61040191858058</v>
      </c>
      <c r="G254" s="11">
        <f t="shared" si="6"/>
        <v>1050.7895918356339</v>
      </c>
      <c r="H254" s="11">
        <f t="shared" si="3"/>
        <v>113648.05410269476</v>
      </c>
      <c r="I254" s="13"/>
      <c r="J254" s="13"/>
      <c r="K254" s="13"/>
      <c r="L254" s="13"/>
      <c r="M254" s="13"/>
      <c r="N254" s="13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75" customHeight="1">
      <c r="A255" s="37"/>
      <c r="B255" s="38">
        <f t="shared" si="4"/>
        <v>245</v>
      </c>
      <c r="C255" s="11">
        <f t="shared" si="5"/>
        <v>113648.05410269476</v>
      </c>
      <c r="D255" s="11">
        <f t="shared" si="0"/>
        <v>686.99328431911385</v>
      </c>
      <c r="E255" s="11">
        <f t="shared" si="1"/>
        <v>114335.04738701388</v>
      </c>
      <c r="F255" s="11">
        <f t="shared" si="2"/>
        <v>363.79630751652007</v>
      </c>
      <c r="G255" s="11">
        <f t="shared" si="6"/>
        <v>1050.7895918356339</v>
      </c>
      <c r="H255" s="11">
        <f t="shared" si="3"/>
        <v>113284.25779517824</v>
      </c>
      <c r="I255" s="13"/>
      <c r="J255" s="13"/>
      <c r="K255" s="13"/>
      <c r="L255" s="13"/>
      <c r="M255" s="13"/>
      <c r="N255" s="13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75" customHeight="1">
      <c r="A256" s="37"/>
      <c r="B256" s="38">
        <f t="shared" si="4"/>
        <v>246</v>
      </c>
      <c r="C256" s="11">
        <f t="shared" si="5"/>
        <v>113284.25779517824</v>
      </c>
      <c r="D256" s="11">
        <f t="shared" si="0"/>
        <v>684.79416509884027</v>
      </c>
      <c r="E256" s="11">
        <f t="shared" si="1"/>
        <v>113969.05196027708</v>
      </c>
      <c r="F256" s="11">
        <f t="shared" si="2"/>
        <v>365.99542673679366</v>
      </c>
      <c r="G256" s="11">
        <f t="shared" si="6"/>
        <v>1050.7895918356339</v>
      </c>
      <c r="H256" s="11">
        <f t="shared" si="3"/>
        <v>112918.26236844144</v>
      </c>
      <c r="I256" s="13"/>
      <c r="J256" s="13"/>
      <c r="K256" s="13"/>
      <c r="L256" s="13"/>
      <c r="M256" s="13"/>
      <c r="N256" s="13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75" customHeight="1">
      <c r="A257" s="37"/>
      <c r="B257" s="38">
        <f t="shared" si="4"/>
        <v>247</v>
      </c>
      <c r="C257" s="11">
        <f t="shared" si="5"/>
        <v>112918.26236844144</v>
      </c>
      <c r="D257" s="11">
        <f t="shared" si="0"/>
        <v>682.58175238095521</v>
      </c>
      <c r="E257" s="11">
        <f t="shared" si="1"/>
        <v>113600.8441208224</v>
      </c>
      <c r="F257" s="11">
        <f t="shared" si="2"/>
        <v>368.20783945467872</v>
      </c>
      <c r="G257" s="11">
        <f t="shared" si="6"/>
        <v>1050.7895918356339</v>
      </c>
      <c r="H257" s="11">
        <f t="shared" si="3"/>
        <v>112550.05452898676</v>
      </c>
      <c r="I257" s="13"/>
      <c r="J257" s="13"/>
      <c r="K257" s="13"/>
      <c r="L257" s="13"/>
      <c r="M257" s="13"/>
      <c r="N257" s="13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75" customHeight="1">
      <c r="A258" s="37"/>
      <c r="B258" s="38">
        <f t="shared" si="4"/>
        <v>248</v>
      </c>
      <c r="C258" s="11">
        <f t="shared" si="5"/>
        <v>112550.05452898676</v>
      </c>
      <c r="D258" s="11">
        <f t="shared" si="0"/>
        <v>680.35596580734216</v>
      </c>
      <c r="E258" s="11">
        <f t="shared" si="1"/>
        <v>113230.41049479409</v>
      </c>
      <c r="F258" s="11">
        <f t="shared" si="2"/>
        <v>370.43362602829177</v>
      </c>
      <c r="G258" s="11">
        <f t="shared" si="6"/>
        <v>1050.7895918356339</v>
      </c>
      <c r="H258" s="11">
        <f t="shared" si="3"/>
        <v>112179.62090295846</v>
      </c>
      <c r="I258" s="13"/>
      <c r="J258" s="13"/>
      <c r="K258" s="13"/>
      <c r="L258" s="13"/>
      <c r="M258" s="13"/>
      <c r="N258" s="13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75" customHeight="1">
      <c r="A259" s="37"/>
      <c r="B259" s="38">
        <f t="shared" si="4"/>
        <v>249</v>
      </c>
      <c r="C259" s="11">
        <f t="shared" si="5"/>
        <v>112179.62090295846</v>
      </c>
      <c r="D259" s="11">
        <f t="shared" si="0"/>
        <v>678.11672453412632</v>
      </c>
      <c r="E259" s="11">
        <f t="shared" si="1"/>
        <v>112857.73762749258</v>
      </c>
      <c r="F259" s="11">
        <f t="shared" si="2"/>
        <v>372.67286730150761</v>
      </c>
      <c r="G259" s="11">
        <f t="shared" si="6"/>
        <v>1050.7895918356339</v>
      </c>
      <c r="H259" s="11">
        <f t="shared" si="3"/>
        <v>111806.94803565694</v>
      </c>
      <c r="I259" s="13"/>
      <c r="J259" s="13"/>
      <c r="K259" s="13"/>
      <c r="L259" s="13"/>
      <c r="M259" s="13"/>
      <c r="N259" s="13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75" customHeight="1">
      <c r="A260" s="37"/>
      <c r="B260" s="38">
        <f t="shared" si="4"/>
        <v>250</v>
      </c>
      <c r="C260" s="11">
        <f t="shared" si="5"/>
        <v>111806.94803565694</v>
      </c>
      <c r="D260" s="11">
        <f t="shared" si="0"/>
        <v>675.86394722873808</v>
      </c>
      <c r="E260" s="11">
        <f t="shared" si="1"/>
        <v>112482.81198288567</v>
      </c>
      <c r="F260" s="11">
        <f t="shared" si="2"/>
        <v>374.92564460689584</v>
      </c>
      <c r="G260" s="11">
        <f t="shared" si="6"/>
        <v>1050.7895918356339</v>
      </c>
      <c r="H260" s="11">
        <f t="shared" si="3"/>
        <v>111432.02239105004</v>
      </c>
      <c r="I260" s="13"/>
      <c r="J260" s="13"/>
      <c r="K260" s="13"/>
      <c r="L260" s="13"/>
      <c r="M260" s="13"/>
      <c r="N260" s="13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75" customHeight="1">
      <c r="A261" s="37"/>
      <c r="B261" s="38">
        <f t="shared" si="4"/>
        <v>251</v>
      </c>
      <c r="C261" s="11">
        <f t="shared" si="5"/>
        <v>111432.02239105004</v>
      </c>
      <c r="D261" s="11">
        <f t="shared" si="0"/>
        <v>673.597552066959</v>
      </c>
      <c r="E261" s="11">
        <f t="shared" si="1"/>
        <v>112105.619943117</v>
      </c>
      <c r="F261" s="11">
        <f t="shared" si="2"/>
        <v>377.19203976867493</v>
      </c>
      <c r="G261" s="11">
        <f t="shared" si="6"/>
        <v>1050.7895918356339</v>
      </c>
      <c r="H261" s="11">
        <f t="shared" si="3"/>
        <v>111054.83035128136</v>
      </c>
      <c r="I261" s="13"/>
      <c r="J261" s="13"/>
      <c r="K261" s="13"/>
      <c r="L261" s="13"/>
      <c r="M261" s="13"/>
      <c r="N261" s="13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75" customHeight="1">
      <c r="A262" s="37"/>
      <c r="B262" s="38">
        <f t="shared" si="4"/>
        <v>252</v>
      </c>
      <c r="C262" s="11">
        <f t="shared" si="5"/>
        <v>111054.83035128136</v>
      </c>
      <c r="D262" s="11">
        <f t="shared" si="0"/>
        <v>671.31745672994987</v>
      </c>
      <c r="E262" s="11">
        <f t="shared" si="1"/>
        <v>111726.1478080113</v>
      </c>
      <c r="F262" s="11">
        <f t="shared" si="2"/>
        <v>379.47213510568406</v>
      </c>
      <c r="G262" s="11">
        <f t="shared" si="6"/>
        <v>1050.7895918356339</v>
      </c>
      <c r="H262" s="11">
        <f t="shared" si="3"/>
        <v>110675.35821617566</v>
      </c>
      <c r="I262" s="13"/>
      <c r="J262" s="13"/>
      <c r="K262" s="13"/>
      <c r="L262" s="13"/>
      <c r="M262" s="13"/>
      <c r="N262" s="13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75" customHeight="1">
      <c r="A263" s="37"/>
      <c r="B263" s="38">
        <f t="shared" si="4"/>
        <v>253</v>
      </c>
      <c r="C263" s="11">
        <f t="shared" si="5"/>
        <v>110675.35821617566</v>
      </c>
      <c r="D263" s="11">
        <f t="shared" si="0"/>
        <v>669.02357840126092</v>
      </c>
      <c r="E263" s="11">
        <f t="shared" si="1"/>
        <v>111344.38179457693</v>
      </c>
      <c r="F263" s="11">
        <f t="shared" si="2"/>
        <v>381.76601343437301</v>
      </c>
      <c r="G263" s="11">
        <f t="shared" si="6"/>
        <v>1050.7895918356339</v>
      </c>
      <c r="H263" s="11">
        <f t="shared" si="3"/>
        <v>110293.59220274129</v>
      </c>
      <c r="I263" s="13"/>
      <c r="J263" s="13"/>
      <c r="K263" s="13"/>
      <c r="L263" s="13"/>
      <c r="M263" s="13"/>
      <c r="N263" s="13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75" customHeight="1">
      <c r="A264" s="37"/>
      <c r="B264" s="38">
        <f t="shared" si="4"/>
        <v>254</v>
      </c>
      <c r="C264" s="11">
        <f t="shared" si="5"/>
        <v>110293.59220274129</v>
      </c>
      <c r="D264" s="11">
        <f t="shared" si="0"/>
        <v>666.71583376382341</v>
      </c>
      <c r="E264" s="11">
        <f t="shared" si="1"/>
        <v>110960.30803650511</v>
      </c>
      <c r="F264" s="11">
        <f t="shared" si="2"/>
        <v>384.07375807181052</v>
      </c>
      <c r="G264" s="11">
        <f t="shared" si="6"/>
        <v>1050.7895918356339</v>
      </c>
      <c r="H264" s="11">
        <f t="shared" si="3"/>
        <v>109909.51844466948</v>
      </c>
      <c r="I264" s="13"/>
      <c r="J264" s="13"/>
      <c r="K264" s="13"/>
      <c r="L264" s="13"/>
      <c r="M264" s="13"/>
      <c r="N264" s="13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75" customHeight="1">
      <c r="A265" s="37"/>
      <c r="B265" s="38">
        <f t="shared" si="4"/>
        <v>255</v>
      </c>
      <c r="C265" s="11">
        <f t="shared" si="5"/>
        <v>109909.51844466948</v>
      </c>
      <c r="D265" s="11">
        <f t="shared" si="0"/>
        <v>664.39413899692386</v>
      </c>
      <c r="E265" s="11">
        <f t="shared" si="1"/>
        <v>110573.9125836664</v>
      </c>
      <c r="F265" s="11">
        <f t="shared" si="2"/>
        <v>386.39545283871007</v>
      </c>
      <c r="G265" s="11">
        <f t="shared" si="6"/>
        <v>1050.7895918356339</v>
      </c>
      <c r="H265" s="11">
        <f t="shared" si="3"/>
        <v>109523.12299183077</v>
      </c>
      <c r="I265" s="13"/>
      <c r="J265" s="13"/>
      <c r="K265" s="13"/>
      <c r="L265" s="13"/>
      <c r="M265" s="13"/>
      <c r="N265" s="13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75" customHeight="1">
      <c r="A266" s="37"/>
      <c r="B266" s="38">
        <f t="shared" si="4"/>
        <v>256</v>
      </c>
      <c r="C266" s="11">
        <f t="shared" si="5"/>
        <v>109523.12299183077</v>
      </c>
      <c r="D266" s="11">
        <f t="shared" ref="D266:D430" si="7">IF(B266&gt;0,C266*$I$8,0)</f>
        <v>662.05840977315938</v>
      </c>
      <c r="E266" s="11">
        <f t="shared" ref="E266:E430" si="8">IF(B266&gt;0,C266+D266,0)</f>
        <v>110185.18140160393</v>
      </c>
      <c r="F266" s="11">
        <f t="shared" ref="F266:F430" si="9">IF($E$8&gt;0,G266-D266,0)</f>
        <v>388.73118206247455</v>
      </c>
      <c r="G266" s="11">
        <f t="shared" si="6"/>
        <v>1050.7895918356339</v>
      </c>
      <c r="H266" s="11">
        <f t="shared" ref="H266:H430" si="10">IF(B266&gt;0,E266-G266,0)</f>
        <v>109134.39180976829</v>
      </c>
      <c r="I266" s="13"/>
      <c r="J266" s="13"/>
      <c r="K266" s="13"/>
      <c r="L266" s="13"/>
      <c r="M266" s="13"/>
      <c r="N266" s="13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75" customHeight="1">
      <c r="A267" s="37"/>
      <c r="B267" s="38">
        <f t="shared" ref="B267:B430" si="11">IF(AND(B266&gt;0,B266&lt;$E$8),B266+1,0)</f>
        <v>257</v>
      </c>
      <c r="C267" s="11">
        <f t="shared" ref="C267:C430" si="12">IF(B267&gt;0,H266,0)</f>
        <v>109134.39180976829</v>
      </c>
      <c r="D267" s="11">
        <f t="shared" si="7"/>
        <v>659.70856125537455</v>
      </c>
      <c r="E267" s="11">
        <f t="shared" si="8"/>
        <v>109794.10037102367</v>
      </c>
      <c r="F267" s="11">
        <f t="shared" si="9"/>
        <v>391.08103058025938</v>
      </c>
      <c r="G267" s="11">
        <f t="shared" ref="G267:G430" si="13">IF(B267&gt;0,G266,0)</f>
        <v>1050.7895918356339</v>
      </c>
      <c r="H267" s="11">
        <f t="shared" si="10"/>
        <v>108743.31077918803</v>
      </c>
      <c r="I267" s="13"/>
      <c r="J267" s="13"/>
      <c r="K267" s="13"/>
      <c r="L267" s="13"/>
      <c r="M267" s="13"/>
      <c r="N267" s="13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75" customHeight="1">
      <c r="A268" s="37"/>
      <c r="B268" s="38">
        <f t="shared" si="11"/>
        <v>258</v>
      </c>
      <c r="C268" s="11">
        <f t="shared" si="12"/>
        <v>108743.31077918803</v>
      </c>
      <c r="D268" s="11">
        <f t="shared" si="7"/>
        <v>657.34450809358032</v>
      </c>
      <c r="E268" s="11">
        <f t="shared" si="8"/>
        <v>109400.65528728161</v>
      </c>
      <c r="F268" s="11">
        <f t="shared" si="9"/>
        <v>393.44508374205361</v>
      </c>
      <c r="G268" s="11">
        <f t="shared" si="13"/>
        <v>1050.7895918356339</v>
      </c>
      <c r="H268" s="11">
        <f t="shared" si="10"/>
        <v>108349.86569544597</v>
      </c>
      <c r="I268" s="13"/>
      <c r="J268" s="13"/>
      <c r="K268" s="13"/>
      <c r="L268" s="13"/>
      <c r="M268" s="13"/>
      <c r="N268" s="13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75" customHeight="1">
      <c r="A269" s="37"/>
      <c r="B269" s="38">
        <f t="shared" si="11"/>
        <v>259</v>
      </c>
      <c r="C269" s="11">
        <f t="shared" si="12"/>
        <v>108349.86569544597</v>
      </c>
      <c r="D269" s="11">
        <f t="shared" si="7"/>
        <v>654.96616442185382</v>
      </c>
      <c r="E269" s="11">
        <f t="shared" si="8"/>
        <v>109004.83185986783</v>
      </c>
      <c r="F269" s="11">
        <f t="shared" si="9"/>
        <v>395.82342741378011</v>
      </c>
      <c r="G269" s="11">
        <f t="shared" si="13"/>
        <v>1050.7895918356339</v>
      </c>
      <c r="H269" s="11">
        <f t="shared" si="10"/>
        <v>107954.04226803219</v>
      </c>
      <c r="I269" s="13"/>
      <c r="J269" s="13"/>
      <c r="K269" s="13"/>
      <c r="L269" s="13"/>
      <c r="M269" s="13"/>
      <c r="N269" s="13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75" customHeight="1">
      <c r="A270" s="37"/>
      <c r="B270" s="38">
        <f t="shared" si="11"/>
        <v>260</v>
      </c>
      <c r="C270" s="11">
        <f t="shared" si="12"/>
        <v>107954.04226803219</v>
      </c>
      <c r="D270" s="11">
        <f t="shared" si="7"/>
        <v>652.57344385521992</v>
      </c>
      <c r="E270" s="11">
        <f t="shared" si="8"/>
        <v>108606.61571188741</v>
      </c>
      <c r="F270" s="11">
        <f t="shared" si="9"/>
        <v>398.21614798041401</v>
      </c>
      <c r="G270" s="11">
        <f t="shared" si="13"/>
        <v>1050.7895918356339</v>
      </c>
      <c r="H270" s="11">
        <f t="shared" si="10"/>
        <v>107555.82612005177</v>
      </c>
      <c r="I270" s="13"/>
      <c r="J270" s="13"/>
      <c r="K270" s="13"/>
      <c r="L270" s="13"/>
      <c r="M270" s="13"/>
      <c r="N270" s="13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75" customHeight="1">
      <c r="A271" s="37"/>
      <c r="B271" s="38">
        <f t="shared" si="11"/>
        <v>261</v>
      </c>
      <c r="C271" s="11">
        <f t="shared" si="12"/>
        <v>107555.82612005177</v>
      </c>
      <c r="D271" s="11">
        <f t="shared" si="7"/>
        <v>650.16625948651301</v>
      </c>
      <c r="E271" s="11">
        <f t="shared" si="8"/>
        <v>108205.99237953829</v>
      </c>
      <c r="F271" s="11">
        <f t="shared" si="9"/>
        <v>400.62333234912091</v>
      </c>
      <c r="G271" s="11">
        <f t="shared" si="13"/>
        <v>1050.7895918356339</v>
      </c>
      <c r="H271" s="11">
        <f t="shared" si="10"/>
        <v>107155.20278770266</v>
      </c>
      <c r="I271" s="13"/>
      <c r="J271" s="13"/>
      <c r="K271" s="13"/>
      <c r="L271" s="13"/>
      <c r="M271" s="13"/>
      <c r="N271" s="13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75" customHeight="1">
      <c r="A272" s="37"/>
      <c r="B272" s="38">
        <f t="shared" si="11"/>
        <v>262</v>
      </c>
      <c r="C272" s="11">
        <f t="shared" si="12"/>
        <v>107155.20278770266</v>
      </c>
      <c r="D272" s="11">
        <f t="shared" si="7"/>
        <v>647.74452388322061</v>
      </c>
      <c r="E272" s="11">
        <f t="shared" si="8"/>
        <v>107802.94731158587</v>
      </c>
      <c r="F272" s="11">
        <f t="shared" si="9"/>
        <v>403.04506795241332</v>
      </c>
      <c r="G272" s="11">
        <f t="shared" si="13"/>
        <v>1050.7895918356339</v>
      </c>
      <c r="H272" s="11">
        <f t="shared" si="10"/>
        <v>106752.15771975023</v>
      </c>
      <c r="I272" s="13"/>
      <c r="J272" s="13"/>
      <c r="K272" s="13"/>
      <c r="L272" s="13"/>
      <c r="M272" s="13"/>
      <c r="N272" s="13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75" customHeight="1">
      <c r="A273" s="37"/>
      <c r="B273" s="38">
        <f t="shared" si="11"/>
        <v>263</v>
      </c>
      <c r="C273" s="11">
        <f t="shared" si="12"/>
        <v>106752.15771975023</v>
      </c>
      <c r="D273" s="11">
        <f t="shared" si="7"/>
        <v>645.30814908430807</v>
      </c>
      <c r="E273" s="11">
        <f t="shared" si="8"/>
        <v>107397.46586883454</v>
      </c>
      <c r="F273" s="11">
        <f t="shared" si="9"/>
        <v>405.48144275132586</v>
      </c>
      <c r="G273" s="11">
        <f t="shared" si="13"/>
        <v>1050.7895918356339</v>
      </c>
      <c r="H273" s="11">
        <f t="shared" si="10"/>
        <v>106346.6762769989</v>
      </c>
      <c r="I273" s="13"/>
      <c r="J273" s="13"/>
      <c r="K273" s="13"/>
      <c r="L273" s="13"/>
      <c r="M273" s="13"/>
      <c r="N273" s="13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75" customHeight="1">
      <c r="A274" s="37"/>
      <c r="B274" s="38">
        <f t="shared" si="11"/>
        <v>264</v>
      </c>
      <c r="C274" s="11">
        <f t="shared" si="12"/>
        <v>106346.6762769989</v>
      </c>
      <c r="D274" s="11">
        <f t="shared" si="7"/>
        <v>642.85704659702333</v>
      </c>
      <c r="E274" s="11">
        <f t="shared" si="8"/>
        <v>106989.53332359593</v>
      </c>
      <c r="F274" s="11">
        <f t="shared" si="9"/>
        <v>407.9325452386106</v>
      </c>
      <c r="G274" s="11">
        <f t="shared" si="13"/>
        <v>1050.7895918356339</v>
      </c>
      <c r="H274" s="11">
        <f t="shared" si="10"/>
        <v>105938.74373176029</v>
      </c>
      <c r="I274" s="13"/>
      <c r="J274" s="13"/>
      <c r="K274" s="13"/>
      <c r="L274" s="13"/>
      <c r="M274" s="13"/>
      <c r="N274" s="13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75" customHeight="1">
      <c r="A275" s="37"/>
      <c r="B275" s="38">
        <f t="shared" si="11"/>
        <v>265</v>
      </c>
      <c r="C275" s="11">
        <f t="shared" si="12"/>
        <v>105938.74373176029</v>
      </c>
      <c r="D275" s="11">
        <f t="shared" si="7"/>
        <v>640.39112739368272</v>
      </c>
      <c r="E275" s="11">
        <f t="shared" si="8"/>
        <v>106579.13485915397</v>
      </c>
      <c r="F275" s="11">
        <f t="shared" si="9"/>
        <v>410.39846444195121</v>
      </c>
      <c r="G275" s="11">
        <f t="shared" si="13"/>
        <v>1050.7895918356339</v>
      </c>
      <c r="H275" s="11">
        <f t="shared" si="10"/>
        <v>105528.34526731833</v>
      </c>
      <c r="I275" s="13"/>
      <c r="J275" s="13"/>
      <c r="K275" s="13"/>
      <c r="L275" s="13"/>
      <c r="M275" s="13"/>
      <c r="N275" s="13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75" customHeight="1">
      <c r="A276" s="37"/>
      <c r="B276" s="38">
        <f t="shared" si="11"/>
        <v>266</v>
      </c>
      <c r="C276" s="11">
        <f t="shared" si="12"/>
        <v>105528.34526731833</v>
      </c>
      <c r="D276" s="11">
        <f t="shared" si="7"/>
        <v>637.91030190843742</v>
      </c>
      <c r="E276" s="11">
        <f t="shared" si="8"/>
        <v>106166.25556922678</v>
      </c>
      <c r="F276" s="11">
        <f t="shared" si="9"/>
        <v>412.87928992719651</v>
      </c>
      <c r="G276" s="11">
        <f t="shared" si="13"/>
        <v>1050.7895918356339</v>
      </c>
      <c r="H276" s="11">
        <f t="shared" si="10"/>
        <v>105115.46597739114</v>
      </c>
      <c r="I276" s="13"/>
      <c r="J276" s="13"/>
      <c r="K276" s="13"/>
      <c r="L276" s="13"/>
      <c r="M276" s="13"/>
      <c r="N276" s="13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75" customHeight="1">
      <c r="A277" s="37"/>
      <c r="B277" s="38">
        <f t="shared" si="11"/>
        <v>267</v>
      </c>
      <c r="C277" s="11">
        <f t="shared" si="12"/>
        <v>105115.46597739114</v>
      </c>
      <c r="D277" s="11">
        <f t="shared" si="7"/>
        <v>635.41448003402047</v>
      </c>
      <c r="E277" s="11">
        <f t="shared" si="8"/>
        <v>105750.88045742516</v>
      </c>
      <c r="F277" s="11">
        <f t="shared" si="9"/>
        <v>415.37511180161346</v>
      </c>
      <c r="G277" s="11">
        <f t="shared" si="13"/>
        <v>1050.7895918356339</v>
      </c>
      <c r="H277" s="11">
        <f t="shared" si="10"/>
        <v>104700.09086558952</v>
      </c>
      <c r="I277" s="13"/>
      <c r="J277" s="13"/>
      <c r="K277" s="13"/>
      <c r="L277" s="13"/>
      <c r="M277" s="13"/>
      <c r="N277" s="13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75" customHeight="1">
      <c r="A278" s="37"/>
      <c r="B278" s="38">
        <f t="shared" si="11"/>
        <v>268</v>
      </c>
      <c r="C278" s="11">
        <f t="shared" si="12"/>
        <v>104700.09086558952</v>
      </c>
      <c r="D278" s="11">
        <f t="shared" si="7"/>
        <v>632.90357111847356</v>
      </c>
      <c r="E278" s="11">
        <f t="shared" si="8"/>
        <v>105332.99443670799</v>
      </c>
      <c r="F278" s="11">
        <f t="shared" si="9"/>
        <v>417.88602071716036</v>
      </c>
      <c r="G278" s="11">
        <f t="shared" si="13"/>
        <v>1050.7895918356339</v>
      </c>
      <c r="H278" s="11">
        <f t="shared" si="10"/>
        <v>104282.20484487235</v>
      </c>
      <c r="I278" s="13"/>
      <c r="J278" s="13"/>
      <c r="K278" s="13"/>
      <c r="L278" s="13"/>
      <c r="M278" s="13"/>
      <c r="N278" s="13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75" customHeight="1">
      <c r="A279" s="37"/>
      <c r="B279" s="38">
        <f t="shared" si="11"/>
        <v>269</v>
      </c>
      <c r="C279" s="11">
        <f t="shared" si="12"/>
        <v>104282.20484487235</v>
      </c>
      <c r="D279" s="11">
        <f t="shared" si="7"/>
        <v>630.37748396185475</v>
      </c>
      <c r="E279" s="11">
        <f t="shared" si="8"/>
        <v>104912.58232883421</v>
      </c>
      <c r="F279" s="11">
        <f t="shared" si="9"/>
        <v>420.41210787377918</v>
      </c>
      <c r="G279" s="11">
        <f t="shared" si="13"/>
        <v>1050.7895918356339</v>
      </c>
      <c r="H279" s="11">
        <f t="shared" si="10"/>
        <v>103861.79273699857</v>
      </c>
      <c r="I279" s="13"/>
      <c r="J279" s="13"/>
      <c r="K279" s="13"/>
      <c r="L279" s="13"/>
      <c r="M279" s="13"/>
      <c r="N279" s="13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75" customHeight="1">
      <c r="A280" s="37"/>
      <c r="B280" s="38">
        <f t="shared" si="11"/>
        <v>270</v>
      </c>
      <c r="C280" s="11">
        <f t="shared" si="12"/>
        <v>103861.79273699857</v>
      </c>
      <c r="D280" s="11">
        <f t="shared" si="7"/>
        <v>627.83612681292595</v>
      </c>
      <c r="E280" s="11">
        <f t="shared" si="8"/>
        <v>104489.62886381149</v>
      </c>
      <c r="F280" s="11">
        <f t="shared" si="9"/>
        <v>422.95346502270797</v>
      </c>
      <c r="G280" s="11">
        <f t="shared" si="13"/>
        <v>1050.7895918356339</v>
      </c>
      <c r="H280" s="11">
        <f t="shared" si="10"/>
        <v>103438.83927197586</v>
      </c>
      <c r="I280" s="13"/>
      <c r="J280" s="13"/>
      <c r="K280" s="13"/>
      <c r="L280" s="13"/>
      <c r="M280" s="13"/>
      <c r="N280" s="13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75" customHeight="1">
      <c r="A281" s="37"/>
      <c r="B281" s="38">
        <f t="shared" si="11"/>
        <v>271</v>
      </c>
      <c r="C281" s="11">
        <f t="shared" si="12"/>
        <v>103438.83927197586</v>
      </c>
      <c r="D281" s="11">
        <f t="shared" si="7"/>
        <v>625.27940736582002</v>
      </c>
      <c r="E281" s="11">
        <f t="shared" si="8"/>
        <v>104064.11867934167</v>
      </c>
      <c r="F281" s="11">
        <f t="shared" si="9"/>
        <v>425.51018446981391</v>
      </c>
      <c r="G281" s="11">
        <f t="shared" si="13"/>
        <v>1050.7895918356339</v>
      </c>
      <c r="H281" s="11">
        <f t="shared" si="10"/>
        <v>103013.32908750603</v>
      </c>
      <c r="I281" s="13"/>
      <c r="J281" s="13"/>
      <c r="K281" s="13"/>
      <c r="L281" s="13"/>
      <c r="M281" s="13"/>
      <c r="N281" s="13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75" customHeight="1">
      <c r="A282" s="37"/>
      <c r="B282" s="38">
        <f t="shared" si="11"/>
        <v>272</v>
      </c>
      <c r="C282" s="11">
        <f t="shared" si="12"/>
        <v>103013.32908750603</v>
      </c>
      <c r="D282" s="11">
        <f t="shared" si="7"/>
        <v>622.70723275668854</v>
      </c>
      <c r="E282" s="11">
        <f t="shared" si="8"/>
        <v>103636.03632026272</v>
      </c>
      <c r="F282" s="11">
        <f t="shared" si="9"/>
        <v>428.08235907894539</v>
      </c>
      <c r="G282" s="11">
        <f t="shared" si="13"/>
        <v>1050.7895918356339</v>
      </c>
      <c r="H282" s="11">
        <f t="shared" si="10"/>
        <v>102585.24672842708</v>
      </c>
      <c r="I282" s="13"/>
      <c r="J282" s="13"/>
      <c r="K282" s="13"/>
      <c r="L282" s="13"/>
      <c r="M282" s="13"/>
      <c r="N282" s="13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75" customHeight="1">
      <c r="A283" s="37"/>
      <c r="B283" s="38">
        <f t="shared" si="11"/>
        <v>273</v>
      </c>
      <c r="C283" s="11">
        <f t="shared" si="12"/>
        <v>102585.24672842708</v>
      </c>
      <c r="D283" s="11">
        <f t="shared" si="7"/>
        <v>620.11950956032854</v>
      </c>
      <c r="E283" s="11">
        <f t="shared" si="8"/>
        <v>103205.36623798741</v>
      </c>
      <c r="F283" s="11">
        <f t="shared" si="9"/>
        <v>430.67008227530539</v>
      </c>
      <c r="G283" s="11">
        <f t="shared" si="13"/>
        <v>1050.7895918356339</v>
      </c>
      <c r="H283" s="11">
        <f t="shared" si="10"/>
        <v>102154.57664615178</v>
      </c>
      <c r="I283" s="13"/>
      <c r="J283" s="13"/>
      <c r="K283" s="13"/>
      <c r="L283" s="13"/>
      <c r="M283" s="13"/>
      <c r="N283" s="13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75" customHeight="1">
      <c r="A284" s="37"/>
      <c r="B284" s="38">
        <f t="shared" si="11"/>
        <v>274</v>
      </c>
      <c r="C284" s="11">
        <f t="shared" si="12"/>
        <v>102154.57664615178</v>
      </c>
      <c r="D284" s="11">
        <f t="shared" si="7"/>
        <v>617.51614378678926</v>
      </c>
      <c r="E284" s="11">
        <f t="shared" si="8"/>
        <v>102772.09278993857</v>
      </c>
      <c r="F284" s="11">
        <f t="shared" si="9"/>
        <v>433.27344804884467</v>
      </c>
      <c r="G284" s="11">
        <f t="shared" si="13"/>
        <v>1050.7895918356339</v>
      </c>
      <c r="H284" s="11">
        <f t="shared" si="10"/>
        <v>101721.30319810293</v>
      </c>
      <c r="I284" s="13"/>
      <c r="J284" s="13"/>
      <c r="K284" s="13"/>
      <c r="L284" s="13"/>
      <c r="M284" s="13"/>
      <c r="N284" s="13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75" customHeight="1">
      <c r="A285" s="37"/>
      <c r="B285" s="38">
        <f t="shared" si="11"/>
        <v>275</v>
      </c>
      <c r="C285" s="11">
        <f t="shared" si="12"/>
        <v>101721.30319810293</v>
      </c>
      <c r="D285" s="11">
        <f t="shared" si="7"/>
        <v>614.89704087795837</v>
      </c>
      <c r="E285" s="11">
        <f t="shared" si="8"/>
        <v>102336.20023898089</v>
      </c>
      <c r="F285" s="11">
        <f t="shared" si="9"/>
        <v>435.89255095767555</v>
      </c>
      <c r="G285" s="11">
        <f t="shared" si="13"/>
        <v>1050.7895918356339</v>
      </c>
      <c r="H285" s="11">
        <f t="shared" si="10"/>
        <v>101285.41064714525</v>
      </c>
      <c r="I285" s="13"/>
      <c r="J285" s="13"/>
      <c r="K285" s="13"/>
      <c r="L285" s="13"/>
      <c r="M285" s="13"/>
      <c r="N285" s="13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75" customHeight="1">
      <c r="A286" s="37"/>
      <c r="B286" s="38">
        <f t="shared" si="11"/>
        <v>276</v>
      </c>
      <c r="C286" s="11">
        <f t="shared" si="12"/>
        <v>101285.41064714525</v>
      </c>
      <c r="D286" s="11">
        <f t="shared" si="7"/>
        <v>612.26210570412718</v>
      </c>
      <c r="E286" s="11">
        <f t="shared" si="8"/>
        <v>101897.67275284938</v>
      </c>
      <c r="F286" s="11">
        <f t="shared" si="9"/>
        <v>438.52748613150675</v>
      </c>
      <c r="G286" s="11">
        <f t="shared" si="13"/>
        <v>1050.7895918356339</v>
      </c>
      <c r="H286" s="11">
        <f t="shared" si="10"/>
        <v>100846.88316101374</v>
      </c>
      <c r="I286" s="13"/>
      <c r="J286" s="13"/>
      <c r="K286" s="13"/>
      <c r="L286" s="13"/>
      <c r="M286" s="13"/>
      <c r="N286" s="13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75" customHeight="1">
      <c r="A287" s="37"/>
      <c r="B287" s="38">
        <f t="shared" si="11"/>
        <v>277</v>
      </c>
      <c r="C287" s="11">
        <f t="shared" si="12"/>
        <v>100846.88316101374</v>
      </c>
      <c r="D287" s="11">
        <f t="shared" si="7"/>
        <v>609.61124256053597</v>
      </c>
      <c r="E287" s="11">
        <f t="shared" si="8"/>
        <v>101456.49440357428</v>
      </c>
      <c r="F287" s="11">
        <f t="shared" si="9"/>
        <v>441.17834927509796</v>
      </c>
      <c r="G287" s="11">
        <f t="shared" si="13"/>
        <v>1050.7895918356339</v>
      </c>
      <c r="H287" s="11">
        <f t="shared" si="10"/>
        <v>100405.70481173864</v>
      </c>
      <c r="I287" s="13"/>
      <c r="J287" s="13"/>
      <c r="K287" s="13"/>
      <c r="L287" s="13"/>
      <c r="M287" s="13"/>
      <c r="N287" s="13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75" customHeight="1">
      <c r="A288" s="37"/>
      <c r="B288" s="38">
        <f t="shared" si="11"/>
        <v>278</v>
      </c>
      <c r="C288" s="11">
        <f t="shared" si="12"/>
        <v>100405.70481173864</v>
      </c>
      <c r="D288" s="11">
        <f t="shared" si="7"/>
        <v>606.9443551638974</v>
      </c>
      <c r="E288" s="11">
        <f t="shared" si="8"/>
        <v>101012.64916690254</v>
      </c>
      <c r="F288" s="11">
        <f t="shared" si="9"/>
        <v>443.84523667173653</v>
      </c>
      <c r="G288" s="11">
        <f t="shared" si="13"/>
        <v>1050.7895918356339</v>
      </c>
      <c r="H288" s="11">
        <f t="shared" si="10"/>
        <v>99961.859575066905</v>
      </c>
      <c r="I288" s="13"/>
      <c r="J288" s="13"/>
      <c r="K288" s="13"/>
      <c r="L288" s="13"/>
      <c r="M288" s="13"/>
      <c r="N288" s="13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75" customHeight="1">
      <c r="A289" s="37"/>
      <c r="B289" s="38">
        <f t="shared" si="11"/>
        <v>279</v>
      </c>
      <c r="C289" s="11">
        <f t="shared" si="12"/>
        <v>99961.859575066905</v>
      </c>
      <c r="D289" s="11">
        <f t="shared" si="7"/>
        <v>604.26134664889912</v>
      </c>
      <c r="E289" s="11">
        <f t="shared" si="8"/>
        <v>100566.1209217158</v>
      </c>
      <c r="F289" s="11">
        <f t="shared" si="9"/>
        <v>446.52824518673481</v>
      </c>
      <c r="G289" s="11">
        <f t="shared" si="13"/>
        <v>1050.7895918356339</v>
      </c>
      <c r="H289" s="11">
        <f t="shared" si="10"/>
        <v>99515.331329880166</v>
      </c>
      <c r="I289" s="13"/>
      <c r="J289" s="13"/>
      <c r="K289" s="13"/>
      <c r="L289" s="13"/>
      <c r="M289" s="13"/>
      <c r="N289" s="13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75" customHeight="1">
      <c r="A290" s="37"/>
      <c r="B290" s="38">
        <f t="shared" si="11"/>
        <v>280</v>
      </c>
      <c r="C290" s="11">
        <f t="shared" si="12"/>
        <v>99515.331329880166</v>
      </c>
      <c r="D290" s="11">
        <f t="shared" si="7"/>
        <v>601.56211956468621</v>
      </c>
      <c r="E290" s="11">
        <f t="shared" si="8"/>
        <v>100116.89344944485</v>
      </c>
      <c r="F290" s="11">
        <f t="shared" si="9"/>
        <v>449.22747227094771</v>
      </c>
      <c r="G290" s="11">
        <f t="shared" si="13"/>
        <v>1050.7895918356339</v>
      </c>
      <c r="H290" s="11">
        <f t="shared" si="10"/>
        <v>99066.103857609211</v>
      </c>
      <c r="I290" s="13"/>
      <c r="J290" s="13"/>
      <c r="K290" s="13"/>
      <c r="L290" s="13"/>
      <c r="M290" s="13"/>
      <c r="N290" s="13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75" customHeight="1">
      <c r="A291" s="37"/>
      <c r="B291" s="38">
        <f t="shared" si="11"/>
        <v>281</v>
      </c>
      <c r="C291" s="11">
        <f t="shared" si="12"/>
        <v>99066.103857609211</v>
      </c>
      <c r="D291" s="11">
        <f t="shared" si="7"/>
        <v>598.84657587132097</v>
      </c>
      <c r="E291" s="11">
        <f t="shared" si="8"/>
        <v>99664.950433480524</v>
      </c>
      <c r="F291" s="11">
        <f t="shared" si="9"/>
        <v>451.94301596431296</v>
      </c>
      <c r="G291" s="11">
        <f t="shared" si="13"/>
        <v>1050.7895918356339</v>
      </c>
      <c r="H291" s="11">
        <f t="shared" si="10"/>
        <v>98614.160841644887</v>
      </c>
      <c r="I291" s="13"/>
      <c r="J291" s="13"/>
      <c r="K291" s="13"/>
      <c r="L291" s="13"/>
      <c r="M291" s="13"/>
      <c r="N291" s="13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75" customHeight="1">
      <c r="A292" s="37"/>
      <c r="B292" s="38">
        <f t="shared" si="11"/>
        <v>282</v>
      </c>
      <c r="C292" s="11">
        <f t="shared" si="12"/>
        <v>98614.160841644887</v>
      </c>
      <c r="D292" s="11">
        <f t="shared" si="7"/>
        <v>596.11461693622243</v>
      </c>
      <c r="E292" s="11">
        <f t="shared" si="8"/>
        <v>99210.275458581105</v>
      </c>
      <c r="F292" s="11">
        <f t="shared" si="9"/>
        <v>454.6749748994115</v>
      </c>
      <c r="G292" s="11">
        <f t="shared" si="13"/>
        <v>1050.7895918356339</v>
      </c>
      <c r="H292" s="11">
        <f t="shared" si="10"/>
        <v>98159.485866745468</v>
      </c>
      <c r="I292" s="13"/>
      <c r="J292" s="13"/>
      <c r="K292" s="13"/>
      <c r="L292" s="13"/>
      <c r="M292" s="13"/>
      <c r="N292" s="13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75" customHeight="1">
      <c r="A293" s="37"/>
      <c r="B293" s="38">
        <f t="shared" si="11"/>
        <v>283</v>
      </c>
      <c r="C293" s="11">
        <f t="shared" si="12"/>
        <v>98159.485866745468</v>
      </c>
      <c r="D293" s="11">
        <f t="shared" si="7"/>
        <v>593.3661435305836</v>
      </c>
      <c r="E293" s="11">
        <f t="shared" si="8"/>
        <v>98752.852010276052</v>
      </c>
      <c r="F293" s="11">
        <f t="shared" si="9"/>
        <v>457.42344830505033</v>
      </c>
      <c r="G293" s="11">
        <f t="shared" si="13"/>
        <v>1050.7895918356339</v>
      </c>
      <c r="H293" s="11">
        <f t="shared" si="10"/>
        <v>97702.062418440415</v>
      </c>
      <c r="I293" s="13"/>
      <c r="J293" s="13"/>
      <c r="K293" s="13"/>
      <c r="L293" s="13"/>
      <c r="M293" s="13"/>
      <c r="N293" s="13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75" customHeight="1">
      <c r="A294" s="37"/>
      <c r="B294" s="38">
        <f t="shared" si="11"/>
        <v>284</v>
      </c>
      <c r="C294" s="11">
        <f t="shared" si="12"/>
        <v>97702.062418440415</v>
      </c>
      <c r="D294" s="11">
        <f t="shared" si="7"/>
        <v>590.60105582576728</v>
      </c>
      <c r="E294" s="11">
        <f t="shared" si="8"/>
        <v>98292.663474266184</v>
      </c>
      <c r="F294" s="11">
        <f t="shared" si="9"/>
        <v>460.18853600986665</v>
      </c>
      <c r="G294" s="11">
        <f t="shared" si="13"/>
        <v>1050.7895918356339</v>
      </c>
      <c r="H294" s="11">
        <f t="shared" si="10"/>
        <v>97241.873882430547</v>
      </c>
      <c r="I294" s="13"/>
      <c r="J294" s="13"/>
      <c r="K294" s="13"/>
      <c r="L294" s="13"/>
      <c r="M294" s="13"/>
      <c r="N294" s="13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75" customHeight="1">
      <c r="A295" s="37"/>
      <c r="B295" s="38">
        <f t="shared" si="11"/>
        <v>285</v>
      </c>
      <c r="C295" s="11">
        <f t="shared" si="12"/>
        <v>97241.873882430547</v>
      </c>
      <c r="D295" s="11">
        <f t="shared" si="7"/>
        <v>587.81925338968028</v>
      </c>
      <c r="E295" s="11">
        <f t="shared" si="8"/>
        <v>97829.693135820227</v>
      </c>
      <c r="F295" s="11">
        <f t="shared" si="9"/>
        <v>462.97033844595364</v>
      </c>
      <c r="G295" s="11">
        <f t="shared" si="13"/>
        <v>1050.7895918356339</v>
      </c>
      <c r="H295" s="11">
        <f t="shared" si="10"/>
        <v>96778.90354398459</v>
      </c>
      <c r="I295" s="13"/>
      <c r="J295" s="13"/>
      <c r="K295" s="13"/>
      <c r="L295" s="13"/>
      <c r="M295" s="13"/>
      <c r="N295" s="13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75" customHeight="1">
      <c r="A296" s="37"/>
      <c r="B296" s="38">
        <f t="shared" si="11"/>
        <v>286</v>
      </c>
      <c r="C296" s="11">
        <f t="shared" si="12"/>
        <v>96778.90354398459</v>
      </c>
      <c r="D296" s="11">
        <f t="shared" si="7"/>
        <v>585.02063518312559</v>
      </c>
      <c r="E296" s="11">
        <f t="shared" si="8"/>
        <v>97363.92417916772</v>
      </c>
      <c r="F296" s="11">
        <f t="shared" si="9"/>
        <v>465.76895665250834</v>
      </c>
      <c r="G296" s="11">
        <f t="shared" si="13"/>
        <v>1050.7895918356339</v>
      </c>
      <c r="H296" s="11">
        <f t="shared" si="10"/>
        <v>96313.134587332082</v>
      </c>
      <c r="I296" s="13"/>
      <c r="J296" s="13"/>
      <c r="K296" s="13"/>
      <c r="L296" s="13"/>
      <c r="M296" s="13"/>
      <c r="N296" s="13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75" customHeight="1">
      <c r="A297" s="37"/>
      <c r="B297" s="38">
        <f t="shared" si="11"/>
        <v>287</v>
      </c>
      <c r="C297" s="11">
        <f t="shared" si="12"/>
        <v>96313.134587332082</v>
      </c>
      <c r="D297" s="11">
        <f t="shared" si="7"/>
        <v>582.20509955613227</v>
      </c>
      <c r="E297" s="11">
        <f t="shared" si="8"/>
        <v>96895.339686888212</v>
      </c>
      <c r="F297" s="11">
        <f t="shared" si="9"/>
        <v>468.58449227950166</v>
      </c>
      <c r="G297" s="11">
        <f t="shared" si="13"/>
        <v>1050.7895918356339</v>
      </c>
      <c r="H297" s="11">
        <f t="shared" si="10"/>
        <v>95844.550095052575</v>
      </c>
      <c r="I297" s="13"/>
      <c r="J297" s="13"/>
      <c r="K297" s="13"/>
      <c r="L297" s="13"/>
      <c r="M297" s="13"/>
      <c r="N297" s="13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75" customHeight="1">
      <c r="A298" s="37"/>
      <c r="B298" s="38">
        <f t="shared" si="11"/>
        <v>288</v>
      </c>
      <c r="C298" s="11">
        <f t="shared" si="12"/>
        <v>95844.550095052575</v>
      </c>
      <c r="D298" s="11">
        <f t="shared" si="7"/>
        <v>579.37254424426385</v>
      </c>
      <c r="E298" s="11">
        <f t="shared" si="8"/>
        <v>96423.922639296841</v>
      </c>
      <c r="F298" s="11">
        <f t="shared" si="9"/>
        <v>471.41704759137008</v>
      </c>
      <c r="G298" s="11">
        <f t="shared" si="13"/>
        <v>1050.7895918356339</v>
      </c>
      <c r="H298" s="11">
        <f t="shared" si="10"/>
        <v>95373.133047461204</v>
      </c>
      <c r="I298" s="13"/>
      <c r="J298" s="13"/>
      <c r="K298" s="13"/>
      <c r="L298" s="13"/>
      <c r="M298" s="13"/>
      <c r="N298" s="13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75" customHeight="1">
      <c r="A299" s="37"/>
      <c r="B299" s="38">
        <f t="shared" si="11"/>
        <v>289</v>
      </c>
      <c r="C299" s="11">
        <f t="shared" si="12"/>
        <v>95373.133047461204</v>
      </c>
      <c r="D299" s="11">
        <f t="shared" si="7"/>
        <v>576.52286636490328</v>
      </c>
      <c r="E299" s="11">
        <f t="shared" si="8"/>
        <v>95949.655913826107</v>
      </c>
      <c r="F299" s="11">
        <f t="shared" si="9"/>
        <v>474.26672547073065</v>
      </c>
      <c r="G299" s="11">
        <f t="shared" si="13"/>
        <v>1050.7895918356339</v>
      </c>
      <c r="H299" s="11">
        <f t="shared" si="10"/>
        <v>94898.86632199047</v>
      </c>
      <c r="I299" s="13"/>
      <c r="J299" s="13"/>
      <c r="K299" s="13"/>
      <c r="L299" s="13"/>
      <c r="M299" s="13"/>
      <c r="N299" s="13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75" customHeight="1">
      <c r="A300" s="37"/>
      <c r="B300" s="38">
        <f t="shared" si="11"/>
        <v>290</v>
      </c>
      <c r="C300" s="11">
        <f t="shared" si="12"/>
        <v>94898.86632199047</v>
      </c>
      <c r="D300" s="11">
        <f t="shared" si="7"/>
        <v>573.6559624135167</v>
      </c>
      <c r="E300" s="11">
        <f t="shared" si="8"/>
        <v>95472.522284403982</v>
      </c>
      <c r="F300" s="11">
        <f t="shared" si="9"/>
        <v>477.13362942211722</v>
      </c>
      <c r="G300" s="11">
        <f t="shared" si="13"/>
        <v>1050.7895918356339</v>
      </c>
      <c r="H300" s="11">
        <f t="shared" si="10"/>
        <v>94421.732692568345</v>
      </c>
      <c r="I300" s="13"/>
      <c r="J300" s="13"/>
      <c r="K300" s="13"/>
      <c r="L300" s="13"/>
      <c r="M300" s="13"/>
      <c r="N300" s="13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75" customHeight="1">
      <c r="A301" s="37"/>
      <c r="B301" s="38">
        <f t="shared" si="11"/>
        <v>291</v>
      </c>
      <c r="C301" s="11">
        <f t="shared" si="12"/>
        <v>94421.732692568345</v>
      </c>
      <c r="D301" s="11">
        <f t="shared" si="7"/>
        <v>570.77172825989362</v>
      </c>
      <c r="E301" s="11">
        <f t="shared" si="8"/>
        <v>94992.504420828234</v>
      </c>
      <c r="F301" s="11">
        <f t="shared" si="9"/>
        <v>480.01786357574031</v>
      </c>
      <c r="G301" s="11">
        <f t="shared" si="13"/>
        <v>1050.7895918356339</v>
      </c>
      <c r="H301" s="11">
        <f t="shared" si="10"/>
        <v>93941.714828992597</v>
      </c>
      <c r="I301" s="13"/>
      <c r="J301" s="13"/>
      <c r="K301" s="13"/>
      <c r="L301" s="13"/>
      <c r="M301" s="13"/>
      <c r="N301" s="13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75" customHeight="1">
      <c r="A302" s="37"/>
      <c r="B302" s="38">
        <f t="shared" si="11"/>
        <v>292</v>
      </c>
      <c r="C302" s="11">
        <f t="shared" si="12"/>
        <v>93941.714828992597</v>
      </c>
      <c r="D302" s="11">
        <f t="shared" si="7"/>
        <v>567.87005914436463</v>
      </c>
      <c r="E302" s="11">
        <f t="shared" si="8"/>
        <v>94509.58488813696</v>
      </c>
      <c r="F302" s="11">
        <f t="shared" si="9"/>
        <v>482.9195326912693</v>
      </c>
      <c r="G302" s="11">
        <f t="shared" si="13"/>
        <v>1050.7895918356339</v>
      </c>
      <c r="H302" s="11">
        <f t="shared" si="10"/>
        <v>93458.795296301323</v>
      </c>
      <c r="I302" s="13"/>
      <c r="J302" s="13"/>
      <c r="K302" s="13"/>
      <c r="L302" s="13"/>
      <c r="M302" s="13"/>
      <c r="N302" s="13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75" customHeight="1">
      <c r="A303" s="37"/>
      <c r="B303" s="38">
        <f t="shared" si="11"/>
        <v>293</v>
      </c>
      <c r="C303" s="11">
        <f t="shared" si="12"/>
        <v>93458.795296301323</v>
      </c>
      <c r="D303" s="11">
        <f t="shared" si="7"/>
        <v>564.95084967399714</v>
      </c>
      <c r="E303" s="11">
        <f t="shared" si="8"/>
        <v>94023.746145975325</v>
      </c>
      <c r="F303" s="11">
        <f t="shared" si="9"/>
        <v>485.83874216163679</v>
      </c>
      <c r="G303" s="11">
        <f t="shared" si="13"/>
        <v>1050.7895918356339</v>
      </c>
      <c r="H303" s="11">
        <f t="shared" si="10"/>
        <v>92972.956554139688</v>
      </c>
      <c r="I303" s="13"/>
      <c r="J303" s="13"/>
      <c r="K303" s="13"/>
      <c r="L303" s="13"/>
      <c r="M303" s="13"/>
      <c r="N303" s="13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75" customHeight="1">
      <c r="A304" s="37"/>
      <c r="B304" s="38">
        <f t="shared" si="11"/>
        <v>294</v>
      </c>
      <c r="C304" s="11">
        <f t="shared" si="12"/>
        <v>92972.956554139688</v>
      </c>
      <c r="D304" s="11">
        <f t="shared" si="7"/>
        <v>562.01399381876627</v>
      </c>
      <c r="E304" s="11">
        <f t="shared" si="8"/>
        <v>93534.970547958452</v>
      </c>
      <c r="F304" s="11">
        <f t="shared" si="9"/>
        <v>488.77559801686766</v>
      </c>
      <c r="G304" s="11">
        <f t="shared" si="13"/>
        <v>1050.7895918356339</v>
      </c>
      <c r="H304" s="11">
        <f t="shared" si="10"/>
        <v>92484.180956122815</v>
      </c>
      <c r="I304" s="13"/>
      <c r="J304" s="13"/>
      <c r="K304" s="13"/>
      <c r="L304" s="13"/>
      <c r="M304" s="13"/>
      <c r="N304" s="13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75" customHeight="1">
      <c r="A305" s="37"/>
      <c r="B305" s="38">
        <f t="shared" si="11"/>
        <v>295</v>
      </c>
      <c r="C305" s="11">
        <f t="shared" si="12"/>
        <v>92484.180956122815</v>
      </c>
      <c r="D305" s="11">
        <f t="shared" si="7"/>
        <v>559.0593849077045</v>
      </c>
      <c r="E305" s="11">
        <f t="shared" si="8"/>
        <v>93043.240341030512</v>
      </c>
      <c r="F305" s="11">
        <f t="shared" si="9"/>
        <v>491.73020692792943</v>
      </c>
      <c r="G305" s="11">
        <f t="shared" si="13"/>
        <v>1050.7895918356339</v>
      </c>
      <c r="H305" s="11">
        <f t="shared" si="10"/>
        <v>91992.450749194875</v>
      </c>
      <c r="I305" s="13"/>
      <c r="J305" s="13"/>
      <c r="K305" s="13"/>
      <c r="L305" s="13"/>
      <c r="M305" s="13"/>
      <c r="N305" s="13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75" customHeight="1">
      <c r="A306" s="37"/>
      <c r="B306" s="38">
        <f t="shared" si="11"/>
        <v>296</v>
      </c>
      <c r="C306" s="11">
        <f t="shared" si="12"/>
        <v>91992.450749194875</v>
      </c>
      <c r="D306" s="11">
        <f t="shared" si="7"/>
        <v>556.0869156250269</v>
      </c>
      <c r="E306" s="11">
        <f t="shared" si="8"/>
        <v>92548.537664819902</v>
      </c>
      <c r="F306" s="11">
        <f t="shared" si="9"/>
        <v>494.70267621060702</v>
      </c>
      <c r="G306" s="11">
        <f t="shared" si="13"/>
        <v>1050.7895918356339</v>
      </c>
      <c r="H306" s="11">
        <f t="shared" si="10"/>
        <v>91497.748072984265</v>
      </c>
      <c r="I306" s="13"/>
      <c r="J306" s="13"/>
      <c r="K306" s="13"/>
      <c r="L306" s="13"/>
      <c r="M306" s="13"/>
      <c r="N306" s="13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75" customHeight="1">
      <c r="A307" s="37"/>
      <c r="B307" s="38">
        <f t="shared" si="11"/>
        <v>297</v>
      </c>
      <c r="C307" s="11">
        <f t="shared" si="12"/>
        <v>91497.748072984265</v>
      </c>
      <c r="D307" s="11">
        <f t="shared" si="7"/>
        <v>553.09647800623338</v>
      </c>
      <c r="E307" s="11">
        <f t="shared" si="8"/>
        <v>92050.8445509905</v>
      </c>
      <c r="F307" s="11">
        <f t="shared" si="9"/>
        <v>497.69311382940055</v>
      </c>
      <c r="G307" s="11">
        <f t="shared" si="13"/>
        <v>1050.7895918356339</v>
      </c>
      <c r="H307" s="11">
        <f t="shared" si="10"/>
        <v>91000.054959154862</v>
      </c>
      <c r="I307" s="13"/>
      <c r="J307" s="13"/>
      <c r="K307" s="13"/>
      <c r="L307" s="13"/>
      <c r="M307" s="13"/>
      <c r="N307" s="13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75" customHeight="1">
      <c r="A308" s="37"/>
      <c r="B308" s="38">
        <f t="shared" si="11"/>
        <v>298</v>
      </c>
      <c r="C308" s="11">
        <f t="shared" si="12"/>
        <v>91000.054959154862</v>
      </c>
      <c r="D308" s="11">
        <f t="shared" si="7"/>
        <v>550.08796343418703</v>
      </c>
      <c r="E308" s="11">
        <f t="shared" si="8"/>
        <v>91550.142922589046</v>
      </c>
      <c r="F308" s="11">
        <f t="shared" si="9"/>
        <v>500.7016284014469</v>
      </c>
      <c r="G308" s="11">
        <f t="shared" si="13"/>
        <v>1050.7895918356339</v>
      </c>
      <c r="H308" s="11">
        <f t="shared" si="10"/>
        <v>90499.353330753409</v>
      </c>
      <c r="I308" s="13"/>
      <c r="J308" s="13"/>
      <c r="K308" s="13"/>
      <c r="L308" s="13"/>
      <c r="M308" s="13"/>
      <c r="N308" s="13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75" customHeight="1">
      <c r="A309" s="37"/>
      <c r="B309" s="38">
        <f t="shared" si="11"/>
        <v>299</v>
      </c>
      <c r="C309" s="11">
        <f t="shared" si="12"/>
        <v>90499.353330753409</v>
      </c>
      <c r="D309" s="11">
        <f t="shared" si="7"/>
        <v>547.06126263516921</v>
      </c>
      <c r="E309" s="11">
        <f t="shared" si="8"/>
        <v>91046.414593388574</v>
      </c>
      <c r="F309" s="11">
        <f t="shared" si="9"/>
        <v>503.72832920046471</v>
      </c>
      <c r="G309" s="11">
        <f t="shared" si="13"/>
        <v>1050.7895918356339</v>
      </c>
      <c r="H309" s="11">
        <f t="shared" si="10"/>
        <v>89995.625001552937</v>
      </c>
      <c r="I309" s="13"/>
      <c r="J309" s="13"/>
      <c r="K309" s="13"/>
      <c r="L309" s="13"/>
      <c r="M309" s="13"/>
      <c r="N309" s="13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75" customHeight="1">
      <c r="A310" s="37"/>
      <c r="B310" s="38">
        <f t="shared" si="11"/>
        <v>300</v>
      </c>
      <c r="C310" s="11">
        <f t="shared" si="12"/>
        <v>89995.625001552937</v>
      </c>
      <c r="D310" s="11">
        <f t="shared" si="7"/>
        <v>544.01626567491064</v>
      </c>
      <c r="E310" s="11">
        <f t="shared" si="8"/>
        <v>90539.641267227853</v>
      </c>
      <c r="F310" s="11">
        <f t="shared" si="9"/>
        <v>506.77332616072329</v>
      </c>
      <c r="G310" s="11">
        <f t="shared" si="13"/>
        <v>1050.7895918356339</v>
      </c>
      <c r="H310" s="11">
        <f t="shared" si="10"/>
        <v>89488.851675392216</v>
      </c>
      <c r="I310" s="13"/>
      <c r="J310" s="13"/>
      <c r="K310" s="13"/>
      <c r="L310" s="13"/>
      <c r="M310" s="13"/>
      <c r="N310" s="13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75" customHeight="1">
      <c r="A311" s="37"/>
      <c r="B311" s="38">
        <f t="shared" si="11"/>
        <v>301</v>
      </c>
      <c r="C311" s="11">
        <f t="shared" si="12"/>
        <v>89488.851675392216</v>
      </c>
      <c r="D311" s="11">
        <f t="shared" si="7"/>
        <v>540.95286195459812</v>
      </c>
      <c r="E311" s="11">
        <f t="shared" si="8"/>
        <v>90029.804537346819</v>
      </c>
      <c r="F311" s="11">
        <f t="shared" si="9"/>
        <v>509.83672988103581</v>
      </c>
      <c r="G311" s="11">
        <f t="shared" si="13"/>
        <v>1050.7895918356339</v>
      </c>
      <c r="H311" s="11">
        <f t="shared" si="10"/>
        <v>88979.014945511182</v>
      </c>
      <c r="I311" s="13"/>
      <c r="J311" s="13"/>
      <c r="K311" s="13"/>
      <c r="L311" s="13"/>
      <c r="M311" s="13"/>
      <c r="N311" s="13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75" customHeight="1">
      <c r="A312" s="37"/>
      <c r="B312" s="38">
        <f t="shared" si="11"/>
        <v>302</v>
      </c>
      <c r="C312" s="11">
        <f t="shared" si="12"/>
        <v>88979.014945511182</v>
      </c>
      <c r="D312" s="11">
        <f t="shared" si="7"/>
        <v>537.87094020685754</v>
      </c>
      <c r="E312" s="11">
        <f t="shared" si="8"/>
        <v>89516.885885718046</v>
      </c>
      <c r="F312" s="11">
        <f t="shared" si="9"/>
        <v>512.91865162877639</v>
      </c>
      <c r="G312" s="11">
        <f t="shared" si="13"/>
        <v>1050.7895918356339</v>
      </c>
      <c r="H312" s="11">
        <f t="shared" si="10"/>
        <v>88466.096293882409</v>
      </c>
      <c r="I312" s="13"/>
      <c r="J312" s="13"/>
      <c r="K312" s="13"/>
      <c r="L312" s="13"/>
      <c r="M312" s="13"/>
      <c r="N312" s="13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75" customHeight="1">
      <c r="A313" s="37"/>
      <c r="B313" s="38">
        <f t="shared" si="11"/>
        <v>303</v>
      </c>
      <c r="C313" s="11">
        <f t="shared" si="12"/>
        <v>88466.096293882409</v>
      </c>
      <c r="D313" s="11">
        <f t="shared" si="7"/>
        <v>534.77038849171277</v>
      </c>
      <c r="E313" s="11">
        <f t="shared" si="8"/>
        <v>89000.866682374122</v>
      </c>
      <c r="F313" s="11">
        <f t="shared" si="9"/>
        <v>516.01920334392116</v>
      </c>
      <c r="G313" s="11">
        <f t="shared" si="13"/>
        <v>1050.7895918356339</v>
      </c>
      <c r="H313" s="11">
        <f t="shared" si="10"/>
        <v>87950.077090538485</v>
      </c>
      <c r="I313" s="13"/>
      <c r="J313" s="13"/>
      <c r="K313" s="13"/>
      <c r="L313" s="13"/>
      <c r="M313" s="13"/>
      <c r="N313" s="13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75" customHeight="1">
      <c r="A314" s="37"/>
      <c r="B314" s="38">
        <f t="shared" si="11"/>
        <v>304</v>
      </c>
      <c r="C314" s="11">
        <f t="shared" si="12"/>
        <v>87950.077090538485</v>
      </c>
      <c r="D314" s="11">
        <f t="shared" si="7"/>
        <v>531.65109419251917</v>
      </c>
      <c r="E314" s="11">
        <f t="shared" si="8"/>
        <v>88481.728184731008</v>
      </c>
      <c r="F314" s="11">
        <f t="shared" si="9"/>
        <v>519.13849764311476</v>
      </c>
      <c r="G314" s="11">
        <f t="shared" si="13"/>
        <v>1050.7895918356339</v>
      </c>
      <c r="H314" s="11">
        <f t="shared" si="10"/>
        <v>87430.938592895371</v>
      </c>
      <c r="I314" s="13"/>
      <c r="J314" s="13"/>
      <c r="K314" s="13"/>
      <c r="L314" s="13"/>
      <c r="M314" s="13"/>
      <c r="N314" s="13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75" customHeight="1">
      <c r="A315" s="37"/>
      <c r="B315" s="38">
        <f t="shared" si="11"/>
        <v>305</v>
      </c>
      <c r="C315" s="11">
        <f t="shared" si="12"/>
        <v>87430.938592895371</v>
      </c>
      <c r="D315" s="11">
        <f t="shared" si="7"/>
        <v>528.51294401187408</v>
      </c>
      <c r="E315" s="11">
        <f t="shared" si="8"/>
        <v>87959.451536907247</v>
      </c>
      <c r="F315" s="11">
        <f t="shared" si="9"/>
        <v>522.27664782375984</v>
      </c>
      <c r="G315" s="11">
        <f t="shared" si="13"/>
        <v>1050.7895918356339</v>
      </c>
      <c r="H315" s="11">
        <f t="shared" si="10"/>
        <v>86908.66194507161</v>
      </c>
      <c r="I315" s="13"/>
      <c r="J315" s="13"/>
      <c r="K315" s="13"/>
      <c r="L315" s="13"/>
      <c r="M315" s="13"/>
      <c r="N315" s="13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75" customHeight="1">
      <c r="A316" s="37"/>
      <c r="B316" s="38">
        <f t="shared" si="11"/>
        <v>306</v>
      </c>
      <c r="C316" s="11">
        <f t="shared" si="12"/>
        <v>86908.66194507161</v>
      </c>
      <c r="D316" s="11">
        <f t="shared" si="7"/>
        <v>525.35582396750101</v>
      </c>
      <c r="E316" s="11">
        <f t="shared" si="8"/>
        <v>87434.017769039114</v>
      </c>
      <c r="F316" s="11">
        <f t="shared" si="9"/>
        <v>525.43376786813292</v>
      </c>
      <c r="G316" s="11">
        <f t="shared" si="13"/>
        <v>1050.7895918356339</v>
      </c>
      <c r="H316" s="11">
        <f t="shared" si="10"/>
        <v>86383.228177203477</v>
      </c>
      <c r="I316" s="13"/>
      <c r="J316" s="13"/>
      <c r="K316" s="13"/>
      <c r="L316" s="13"/>
      <c r="M316" s="13"/>
      <c r="N316" s="13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75" customHeight="1">
      <c r="A317" s="37"/>
      <c r="B317" s="38">
        <f t="shared" si="11"/>
        <v>307</v>
      </c>
      <c r="C317" s="11">
        <f t="shared" si="12"/>
        <v>86383.228177203477</v>
      </c>
      <c r="D317" s="11">
        <f t="shared" si="7"/>
        <v>522.17961938810959</v>
      </c>
      <c r="E317" s="11">
        <f t="shared" si="8"/>
        <v>86905.407796591593</v>
      </c>
      <c r="F317" s="11">
        <f t="shared" si="9"/>
        <v>528.60997244752434</v>
      </c>
      <c r="G317" s="11">
        <f t="shared" si="13"/>
        <v>1050.7895918356339</v>
      </c>
      <c r="H317" s="11">
        <f t="shared" si="10"/>
        <v>85854.618204755956</v>
      </c>
      <c r="I317" s="13"/>
      <c r="J317" s="13"/>
      <c r="K317" s="13"/>
      <c r="L317" s="13"/>
      <c r="M317" s="13"/>
      <c r="N317" s="13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75" customHeight="1">
      <c r="A318" s="37"/>
      <c r="B318" s="38">
        <f t="shared" si="11"/>
        <v>308</v>
      </c>
      <c r="C318" s="11">
        <f t="shared" si="12"/>
        <v>85854.618204755956</v>
      </c>
      <c r="D318" s="11">
        <f t="shared" si="7"/>
        <v>518.98421490923124</v>
      </c>
      <c r="E318" s="11">
        <f t="shared" si="8"/>
        <v>86373.602419665185</v>
      </c>
      <c r="F318" s="11">
        <f t="shared" si="9"/>
        <v>531.80537692640269</v>
      </c>
      <c r="G318" s="11">
        <f t="shared" si="13"/>
        <v>1050.7895918356339</v>
      </c>
      <c r="H318" s="11">
        <f t="shared" si="10"/>
        <v>85322.812827829548</v>
      </c>
      <c r="I318" s="13"/>
      <c r="J318" s="13"/>
      <c r="K318" s="13"/>
      <c r="L318" s="13"/>
      <c r="M318" s="13"/>
      <c r="N318" s="13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75" customHeight="1">
      <c r="A319" s="37"/>
      <c r="B319" s="38">
        <f t="shared" si="11"/>
        <v>309</v>
      </c>
      <c r="C319" s="11">
        <f t="shared" si="12"/>
        <v>85322.812827829548</v>
      </c>
      <c r="D319" s="11">
        <f t="shared" si="7"/>
        <v>515.76949446902825</v>
      </c>
      <c r="E319" s="11">
        <f t="shared" si="8"/>
        <v>85838.582322298578</v>
      </c>
      <c r="F319" s="11">
        <f t="shared" si="9"/>
        <v>535.02009736660568</v>
      </c>
      <c r="G319" s="11">
        <f t="shared" si="13"/>
        <v>1050.7895918356339</v>
      </c>
      <c r="H319" s="11">
        <f t="shared" si="10"/>
        <v>84787.792730462941</v>
      </c>
      <c r="I319" s="13"/>
      <c r="J319" s="13"/>
      <c r="K319" s="13"/>
      <c r="L319" s="13"/>
      <c r="M319" s="13"/>
      <c r="N319" s="13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75" customHeight="1">
      <c r="A320" s="37"/>
      <c r="B320" s="38">
        <f t="shared" si="11"/>
        <v>310</v>
      </c>
      <c r="C320" s="11">
        <f t="shared" si="12"/>
        <v>84787.792730462941</v>
      </c>
      <c r="D320" s="11">
        <f t="shared" si="7"/>
        <v>512.53534130407843</v>
      </c>
      <c r="E320" s="11">
        <f t="shared" si="8"/>
        <v>85300.328071767013</v>
      </c>
      <c r="F320" s="11">
        <f t="shared" si="9"/>
        <v>538.2542505315555</v>
      </c>
      <c r="G320" s="11">
        <f t="shared" si="13"/>
        <v>1050.7895918356339</v>
      </c>
      <c r="H320" s="11">
        <f t="shared" si="10"/>
        <v>84249.538479931376</v>
      </c>
      <c r="I320" s="13"/>
      <c r="J320" s="13"/>
      <c r="K320" s="13"/>
      <c r="L320" s="13"/>
      <c r="M320" s="13"/>
      <c r="N320" s="13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75" customHeight="1">
      <c r="A321" s="37"/>
      <c r="B321" s="38">
        <f t="shared" si="11"/>
        <v>311</v>
      </c>
      <c r="C321" s="11">
        <f t="shared" si="12"/>
        <v>84249.538479931376</v>
      </c>
      <c r="D321" s="11">
        <f t="shared" si="7"/>
        <v>509.28163794513426</v>
      </c>
      <c r="E321" s="11">
        <f t="shared" si="8"/>
        <v>84758.820117876516</v>
      </c>
      <c r="F321" s="11">
        <f t="shared" si="9"/>
        <v>541.50795389049972</v>
      </c>
      <c r="G321" s="11">
        <f t="shared" si="13"/>
        <v>1050.7895918356339</v>
      </c>
      <c r="H321" s="11">
        <f t="shared" si="10"/>
        <v>83708.030526040879</v>
      </c>
      <c r="I321" s="13"/>
      <c r="J321" s="13"/>
      <c r="K321" s="13"/>
      <c r="L321" s="13"/>
      <c r="M321" s="13"/>
      <c r="N321" s="13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75" customHeight="1">
      <c r="A322" s="37"/>
      <c r="B322" s="38">
        <f t="shared" si="11"/>
        <v>312</v>
      </c>
      <c r="C322" s="11">
        <f t="shared" si="12"/>
        <v>83708.030526040879</v>
      </c>
      <c r="D322" s="11">
        <f t="shared" si="7"/>
        <v>506.00826621285631</v>
      </c>
      <c r="E322" s="11">
        <f t="shared" si="8"/>
        <v>84214.038792253734</v>
      </c>
      <c r="F322" s="11">
        <f t="shared" si="9"/>
        <v>544.78132562277756</v>
      </c>
      <c r="G322" s="11">
        <f t="shared" si="13"/>
        <v>1050.7895918356339</v>
      </c>
      <c r="H322" s="11">
        <f t="shared" si="10"/>
        <v>83163.249200418097</v>
      </c>
      <c r="I322" s="13"/>
      <c r="J322" s="13"/>
      <c r="K322" s="13"/>
      <c r="L322" s="13"/>
      <c r="M322" s="13"/>
      <c r="N322" s="13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75" customHeight="1">
      <c r="A323" s="37"/>
      <c r="B323" s="38">
        <f t="shared" si="11"/>
        <v>313</v>
      </c>
      <c r="C323" s="11">
        <f t="shared" si="12"/>
        <v>83163.249200418097</v>
      </c>
      <c r="D323" s="11">
        <f t="shared" si="7"/>
        <v>502.7151072135203</v>
      </c>
      <c r="E323" s="11">
        <f t="shared" si="8"/>
        <v>83665.964307631613</v>
      </c>
      <c r="F323" s="11">
        <f t="shared" si="9"/>
        <v>548.07448462211369</v>
      </c>
      <c r="G323" s="11">
        <f t="shared" si="13"/>
        <v>1050.7895918356339</v>
      </c>
      <c r="H323" s="11">
        <f t="shared" si="10"/>
        <v>82615.174715795976</v>
      </c>
      <c r="I323" s="13"/>
      <c r="J323" s="13"/>
      <c r="K323" s="13"/>
      <c r="L323" s="13"/>
      <c r="M323" s="13"/>
      <c r="N323" s="13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75" customHeight="1">
      <c r="A324" s="37"/>
      <c r="B324" s="38">
        <f t="shared" si="11"/>
        <v>314</v>
      </c>
      <c r="C324" s="11">
        <f t="shared" si="12"/>
        <v>82615.174715795976</v>
      </c>
      <c r="D324" s="11">
        <f t="shared" si="7"/>
        <v>499.40204133469916</v>
      </c>
      <c r="E324" s="11">
        <f t="shared" si="8"/>
        <v>83114.576757130679</v>
      </c>
      <c r="F324" s="11">
        <f t="shared" si="9"/>
        <v>551.38755050093482</v>
      </c>
      <c r="G324" s="11">
        <f t="shared" si="13"/>
        <v>1050.7895918356339</v>
      </c>
      <c r="H324" s="11">
        <f t="shared" si="10"/>
        <v>82063.787165295042</v>
      </c>
      <c r="I324" s="13"/>
      <c r="J324" s="13"/>
      <c r="K324" s="13"/>
      <c r="L324" s="13"/>
      <c r="M324" s="13"/>
      <c r="N324" s="13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75" customHeight="1">
      <c r="A325" s="37"/>
      <c r="B325" s="38">
        <f t="shared" si="11"/>
        <v>315</v>
      </c>
      <c r="C325" s="11">
        <f t="shared" si="12"/>
        <v>82063.787165295042</v>
      </c>
      <c r="D325" s="11">
        <f t="shared" si="7"/>
        <v>496.06894824091847</v>
      </c>
      <c r="E325" s="11">
        <f t="shared" si="8"/>
        <v>82559.856113535963</v>
      </c>
      <c r="F325" s="11">
        <f t="shared" si="9"/>
        <v>554.72064359471551</v>
      </c>
      <c r="G325" s="11">
        <f t="shared" si="13"/>
        <v>1050.7895918356339</v>
      </c>
      <c r="H325" s="11">
        <f t="shared" si="10"/>
        <v>81509.066521700326</v>
      </c>
      <c r="I325" s="13"/>
      <c r="J325" s="13"/>
      <c r="K325" s="13"/>
      <c r="L325" s="13"/>
      <c r="M325" s="13"/>
      <c r="N325" s="13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75" customHeight="1">
      <c r="A326" s="37"/>
      <c r="B326" s="38">
        <f t="shared" si="11"/>
        <v>316</v>
      </c>
      <c r="C326" s="11">
        <f t="shared" si="12"/>
        <v>81509.066521700326</v>
      </c>
      <c r="D326" s="11">
        <f t="shared" si="7"/>
        <v>492.71570686928538</v>
      </c>
      <c r="E326" s="11">
        <f t="shared" si="8"/>
        <v>82001.782228569617</v>
      </c>
      <c r="F326" s="11">
        <f t="shared" si="9"/>
        <v>558.07388496634849</v>
      </c>
      <c r="G326" s="11">
        <f t="shared" si="13"/>
        <v>1050.7895918356339</v>
      </c>
      <c r="H326" s="11">
        <f t="shared" si="10"/>
        <v>80950.992636733979</v>
      </c>
      <c r="I326" s="13"/>
      <c r="J326" s="13"/>
      <c r="K326" s="13"/>
      <c r="L326" s="13"/>
      <c r="M326" s="13"/>
      <c r="N326" s="13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75" customHeight="1">
      <c r="A327" s="37"/>
      <c r="B327" s="38">
        <f t="shared" si="11"/>
        <v>317</v>
      </c>
      <c r="C327" s="11">
        <f t="shared" si="12"/>
        <v>80950.992636733979</v>
      </c>
      <c r="D327" s="11">
        <f t="shared" si="7"/>
        <v>489.34219542509197</v>
      </c>
      <c r="E327" s="11">
        <f t="shared" si="8"/>
        <v>81440.334832159075</v>
      </c>
      <c r="F327" s="11">
        <f t="shared" si="9"/>
        <v>561.44739641054196</v>
      </c>
      <c r="G327" s="11">
        <f t="shared" si="13"/>
        <v>1050.7895918356339</v>
      </c>
      <c r="H327" s="11">
        <f t="shared" si="10"/>
        <v>80389.545240323438</v>
      </c>
      <c r="I327" s="13"/>
      <c r="J327" s="13"/>
      <c r="K327" s="13"/>
      <c r="L327" s="13"/>
      <c r="M327" s="13"/>
      <c r="N327" s="13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75" customHeight="1">
      <c r="A328" s="37"/>
      <c r="B328" s="38">
        <f t="shared" si="11"/>
        <v>318</v>
      </c>
      <c r="C328" s="11">
        <f t="shared" si="12"/>
        <v>80389.545240323438</v>
      </c>
      <c r="D328" s="11">
        <f t="shared" si="7"/>
        <v>485.94829137739083</v>
      </c>
      <c r="E328" s="11">
        <f t="shared" si="8"/>
        <v>80875.493531700835</v>
      </c>
      <c r="F328" s="11">
        <f t="shared" si="9"/>
        <v>564.84130045824304</v>
      </c>
      <c r="G328" s="11">
        <f t="shared" si="13"/>
        <v>1050.7895918356339</v>
      </c>
      <c r="H328" s="11">
        <f t="shared" si="10"/>
        <v>79824.703939865198</v>
      </c>
      <c r="I328" s="13"/>
      <c r="J328" s="13"/>
      <c r="K328" s="13"/>
      <c r="L328" s="13"/>
      <c r="M328" s="13"/>
      <c r="N328" s="13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75" customHeight="1">
      <c r="A329" s="37"/>
      <c r="B329" s="38">
        <f t="shared" si="11"/>
        <v>319</v>
      </c>
      <c r="C329" s="11">
        <f t="shared" si="12"/>
        <v>79824.703939865198</v>
      </c>
      <c r="D329" s="11">
        <f t="shared" si="7"/>
        <v>482.53387145454514</v>
      </c>
      <c r="E329" s="11">
        <f t="shared" si="8"/>
        <v>80307.237811319748</v>
      </c>
      <c r="F329" s="11">
        <f t="shared" si="9"/>
        <v>568.25572038108885</v>
      </c>
      <c r="G329" s="11">
        <f t="shared" si="13"/>
        <v>1050.7895918356339</v>
      </c>
      <c r="H329" s="11">
        <f t="shared" si="10"/>
        <v>79256.448219484111</v>
      </c>
      <c r="I329" s="13"/>
      <c r="J329" s="13"/>
      <c r="K329" s="13"/>
      <c r="L329" s="13"/>
      <c r="M329" s="13"/>
      <c r="N329" s="13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75" customHeight="1">
      <c r="A330" s="37"/>
      <c r="B330" s="38">
        <f t="shared" si="11"/>
        <v>320</v>
      </c>
      <c r="C330" s="11">
        <f t="shared" si="12"/>
        <v>79256.448219484111</v>
      </c>
      <c r="D330" s="11">
        <f t="shared" si="7"/>
        <v>479.09881163975092</v>
      </c>
      <c r="E330" s="11">
        <f t="shared" si="8"/>
        <v>79735.547031123861</v>
      </c>
      <c r="F330" s="11">
        <f t="shared" si="9"/>
        <v>571.69078019588301</v>
      </c>
      <c r="G330" s="11">
        <f t="shared" si="13"/>
        <v>1050.7895918356339</v>
      </c>
      <c r="H330" s="11">
        <f t="shared" si="10"/>
        <v>78684.757439288223</v>
      </c>
      <c r="I330" s="13"/>
      <c r="J330" s="13"/>
      <c r="K330" s="13"/>
      <c r="L330" s="13"/>
      <c r="M330" s="13"/>
      <c r="N330" s="13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75" customHeight="1">
      <c r="A331" s="37"/>
      <c r="B331" s="38">
        <f t="shared" si="11"/>
        <v>321</v>
      </c>
      <c r="C331" s="11">
        <f t="shared" si="12"/>
        <v>78684.757439288223</v>
      </c>
      <c r="D331" s="11">
        <f t="shared" si="7"/>
        <v>475.64298716653263</v>
      </c>
      <c r="E331" s="11">
        <f t="shared" si="8"/>
        <v>79160.400426454755</v>
      </c>
      <c r="F331" s="11">
        <f t="shared" si="9"/>
        <v>575.14660466910129</v>
      </c>
      <c r="G331" s="11">
        <f t="shared" si="13"/>
        <v>1050.7895918356339</v>
      </c>
      <c r="H331" s="11">
        <f t="shared" si="10"/>
        <v>78109.610834619118</v>
      </c>
      <c r="I331" s="13"/>
      <c r="J331" s="13"/>
      <c r="K331" s="13"/>
      <c r="L331" s="13"/>
      <c r="M331" s="13"/>
      <c r="N331" s="13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75" customHeight="1">
      <c r="A332" s="37"/>
      <c r="B332" s="38">
        <f t="shared" si="11"/>
        <v>322</v>
      </c>
      <c r="C332" s="11">
        <f t="shared" si="12"/>
        <v>78109.610834619118</v>
      </c>
      <c r="D332" s="11">
        <f t="shared" si="7"/>
        <v>472.16627251421153</v>
      </c>
      <c r="E332" s="11">
        <f t="shared" si="8"/>
        <v>78581.777107133326</v>
      </c>
      <c r="F332" s="11">
        <f t="shared" si="9"/>
        <v>578.6233193214224</v>
      </c>
      <c r="G332" s="11">
        <f t="shared" si="13"/>
        <v>1050.7895918356339</v>
      </c>
      <c r="H332" s="11">
        <f t="shared" si="10"/>
        <v>77530.987515297689</v>
      </c>
      <c r="I332" s="13"/>
      <c r="J332" s="13"/>
      <c r="K332" s="13"/>
      <c r="L332" s="13"/>
      <c r="M332" s="13"/>
      <c r="N332" s="13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75" customHeight="1">
      <c r="A333" s="37"/>
      <c r="B333" s="38">
        <f t="shared" si="11"/>
        <v>323</v>
      </c>
      <c r="C333" s="11">
        <f t="shared" si="12"/>
        <v>77530.987515297689</v>
      </c>
      <c r="D333" s="11">
        <f t="shared" si="7"/>
        <v>468.66854140334664</v>
      </c>
      <c r="E333" s="11">
        <f t="shared" si="8"/>
        <v>77999.656056701031</v>
      </c>
      <c r="F333" s="11">
        <f t="shared" si="9"/>
        <v>582.12105043228735</v>
      </c>
      <c r="G333" s="11">
        <f t="shared" si="13"/>
        <v>1050.7895918356339</v>
      </c>
      <c r="H333" s="11">
        <f t="shared" si="10"/>
        <v>76948.866464865394</v>
      </c>
      <c r="I333" s="13"/>
      <c r="J333" s="13"/>
      <c r="K333" s="13"/>
      <c r="L333" s="13"/>
      <c r="M333" s="13"/>
      <c r="N333" s="13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75" customHeight="1">
      <c r="A334" s="37"/>
      <c r="B334" s="38">
        <f t="shared" si="11"/>
        <v>324</v>
      </c>
      <c r="C334" s="11">
        <f t="shared" si="12"/>
        <v>76948.866464865394</v>
      </c>
      <c r="D334" s="11">
        <f t="shared" si="7"/>
        <v>465.14966679114775</v>
      </c>
      <c r="E334" s="11">
        <f t="shared" si="8"/>
        <v>77414.016131656535</v>
      </c>
      <c r="F334" s="11">
        <f t="shared" si="9"/>
        <v>585.63992504448618</v>
      </c>
      <c r="G334" s="11">
        <f t="shared" si="13"/>
        <v>1050.7895918356339</v>
      </c>
      <c r="H334" s="11">
        <f t="shared" si="10"/>
        <v>76363.226539820898</v>
      </c>
      <c r="I334" s="13"/>
      <c r="J334" s="13"/>
      <c r="K334" s="13"/>
      <c r="L334" s="13"/>
      <c r="M334" s="13"/>
      <c r="N334" s="13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75" customHeight="1">
      <c r="A335" s="37"/>
      <c r="B335" s="38">
        <f t="shared" si="11"/>
        <v>325</v>
      </c>
      <c r="C335" s="11">
        <f t="shared" si="12"/>
        <v>76363.226539820898</v>
      </c>
      <c r="D335" s="11">
        <f t="shared" si="7"/>
        <v>461.60952086686149</v>
      </c>
      <c r="E335" s="11">
        <f t="shared" si="8"/>
        <v>76824.836060687754</v>
      </c>
      <c r="F335" s="11">
        <f t="shared" si="9"/>
        <v>589.1800709687725</v>
      </c>
      <c r="G335" s="11">
        <f t="shared" si="13"/>
        <v>1050.7895918356339</v>
      </c>
      <c r="H335" s="11">
        <f t="shared" si="10"/>
        <v>75774.046468852117</v>
      </c>
      <c r="I335" s="13"/>
      <c r="J335" s="13"/>
      <c r="K335" s="13"/>
      <c r="L335" s="13"/>
      <c r="M335" s="13"/>
      <c r="N335" s="13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75" customHeight="1">
      <c r="A336" s="37"/>
      <c r="B336" s="38">
        <f t="shared" si="11"/>
        <v>326</v>
      </c>
      <c r="C336" s="11">
        <f t="shared" si="12"/>
        <v>75774.046468852117</v>
      </c>
      <c r="D336" s="11">
        <f t="shared" si="7"/>
        <v>458.04797504712877</v>
      </c>
      <c r="E336" s="11">
        <f t="shared" si="8"/>
        <v>76232.094443899245</v>
      </c>
      <c r="F336" s="11">
        <f t="shared" si="9"/>
        <v>592.7416167885051</v>
      </c>
      <c r="G336" s="11">
        <f t="shared" si="13"/>
        <v>1050.7895918356339</v>
      </c>
      <c r="H336" s="11">
        <f t="shared" si="10"/>
        <v>75181.304852063608</v>
      </c>
      <c r="I336" s="13"/>
      <c r="J336" s="13"/>
      <c r="K336" s="13"/>
      <c r="L336" s="13"/>
      <c r="M336" s="13"/>
      <c r="N336" s="13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75" customHeight="1">
      <c r="A337" s="37"/>
      <c r="B337" s="38">
        <f t="shared" si="11"/>
        <v>327</v>
      </c>
      <c r="C337" s="11">
        <f t="shared" si="12"/>
        <v>75181.304852063608</v>
      </c>
      <c r="D337" s="11">
        <f t="shared" si="7"/>
        <v>454.46489997131448</v>
      </c>
      <c r="E337" s="11">
        <f t="shared" si="8"/>
        <v>75635.769752034917</v>
      </c>
      <c r="F337" s="11">
        <f t="shared" si="9"/>
        <v>596.32469186431945</v>
      </c>
      <c r="G337" s="11">
        <f t="shared" si="13"/>
        <v>1050.7895918356339</v>
      </c>
      <c r="H337" s="11">
        <f t="shared" si="10"/>
        <v>74584.98016019928</v>
      </c>
      <c r="I337" s="13"/>
      <c r="J337" s="13"/>
      <c r="K337" s="13"/>
      <c r="L337" s="13"/>
      <c r="M337" s="13"/>
      <c r="N337" s="13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75" customHeight="1">
      <c r="A338" s="37"/>
      <c r="B338" s="38">
        <f t="shared" si="11"/>
        <v>328</v>
      </c>
      <c r="C338" s="11">
        <f t="shared" si="12"/>
        <v>74584.98016019928</v>
      </c>
      <c r="D338" s="11">
        <f t="shared" si="7"/>
        <v>450.86016549680892</v>
      </c>
      <c r="E338" s="11">
        <f t="shared" si="8"/>
        <v>75035.840325696088</v>
      </c>
      <c r="F338" s="11">
        <f t="shared" si="9"/>
        <v>599.92942633882501</v>
      </c>
      <c r="G338" s="11">
        <f t="shared" si="13"/>
        <v>1050.7895918356339</v>
      </c>
      <c r="H338" s="11">
        <f t="shared" si="10"/>
        <v>73985.050733860451</v>
      </c>
      <c r="I338" s="13"/>
      <c r="J338" s="13"/>
      <c r="K338" s="13"/>
      <c r="L338" s="13"/>
      <c r="M338" s="13"/>
      <c r="N338" s="13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75" customHeight="1">
      <c r="A339" s="37"/>
      <c r="B339" s="38">
        <f t="shared" si="11"/>
        <v>329</v>
      </c>
      <c r="C339" s="11">
        <f t="shared" si="12"/>
        <v>73985.050733860451</v>
      </c>
      <c r="D339" s="11">
        <f t="shared" si="7"/>
        <v>447.2336406943009</v>
      </c>
      <c r="E339" s="11">
        <f t="shared" si="8"/>
        <v>74432.284374554758</v>
      </c>
      <c r="F339" s="11">
        <f t="shared" si="9"/>
        <v>603.55595114133303</v>
      </c>
      <c r="G339" s="11">
        <f t="shared" si="13"/>
        <v>1050.7895918356339</v>
      </c>
      <c r="H339" s="11">
        <f t="shared" si="10"/>
        <v>73381.494782719121</v>
      </c>
      <c r="I339" s="13"/>
      <c r="J339" s="13"/>
      <c r="K339" s="13"/>
      <c r="L339" s="13"/>
      <c r="M339" s="13"/>
      <c r="N339" s="13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75" customHeight="1">
      <c r="A340" s="37"/>
      <c r="B340" s="38">
        <f t="shared" si="11"/>
        <v>330</v>
      </c>
      <c r="C340" s="11">
        <f t="shared" si="12"/>
        <v>73381.494782719121</v>
      </c>
      <c r="D340" s="11">
        <f t="shared" si="7"/>
        <v>443.58519384302218</v>
      </c>
      <c r="E340" s="11">
        <f t="shared" si="8"/>
        <v>73825.079976562149</v>
      </c>
      <c r="F340" s="11">
        <f t="shared" si="9"/>
        <v>607.2043979926118</v>
      </c>
      <c r="G340" s="11">
        <f t="shared" si="13"/>
        <v>1050.7895918356339</v>
      </c>
      <c r="H340" s="11">
        <f t="shared" si="10"/>
        <v>72774.290384726512</v>
      </c>
      <c r="I340" s="13"/>
      <c r="J340" s="13"/>
      <c r="K340" s="13"/>
      <c r="L340" s="13"/>
      <c r="M340" s="13"/>
      <c r="N340" s="13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75" customHeight="1">
      <c r="A341" s="37"/>
      <c r="B341" s="38">
        <f t="shared" si="11"/>
        <v>331</v>
      </c>
      <c r="C341" s="11">
        <f t="shared" si="12"/>
        <v>72774.290384726512</v>
      </c>
      <c r="D341" s="11">
        <f t="shared" si="7"/>
        <v>439.9146924259631</v>
      </c>
      <c r="E341" s="11">
        <f t="shared" si="8"/>
        <v>73214.205077152481</v>
      </c>
      <c r="F341" s="11">
        <f t="shared" si="9"/>
        <v>610.87489940967089</v>
      </c>
      <c r="G341" s="11">
        <f t="shared" si="13"/>
        <v>1050.7895918356339</v>
      </c>
      <c r="H341" s="11">
        <f t="shared" si="10"/>
        <v>72163.415485316844</v>
      </c>
      <c r="I341" s="13"/>
      <c r="J341" s="13"/>
      <c r="K341" s="13"/>
      <c r="L341" s="13"/>
      <c r="M341" s="13"/>
      <c r="N341" s="13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75" customHeight="1">
      <c r="A342" s="37"/>
      <c r="B342" s="38">
        <f t="shared" si="11"/>
        <v>332</v>
      </c>
      <c r="C342" s="11">
        <f t="shared" si="12"/>
        <v>72163.415485316844</v>
      </c>
      <c r="D342" s="11">
        <f t="shared" si="7"/>
        <v>436.2220031250593</v>
      </c>
      <c r="E342" s="11">
        <f t="shared" si="8"/>
        <v>72599.637488441906</v>
      </c>
      <c r="F342" s="11">
        <f t="shared" si="9"/>
        <v>614.56758871057468</v>
      </c>
      <c r="G342" s="11">
        <f t="shared" si="13"/>
        <v>1050.7895918356339</v>
      </c>
      <c r="H342" s="11">
        <f t="shared" si="10"/>
        <v>71548.847896606268</v>
      </c>
      <c r="I342" s="13"/>
      <c r="J342" s="13"/>
      <c r="K342" s="13"/>
      <c r="L342" s="13"/>
      <c r="M342" s="13"/>
      <c r="N342" s="13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75" customHeight="1">
      <c r="A343" s="37"/>
      <c r="B343" s="38">
        <f t="shared" si="11"/>
        <v>333</v>
      </c>
      <c r="C343" s="11">
        <f t="shared" si="12"/>
        <v>71548.847896606268</v>
      </c>
      <c r="D343" s="11">
        <f t="shared" si="7"/>
        <v>432.50699181634963</v>
      </c>
      <c r="E343" s="11">
        <f t="shared" si="8"/>
        <v>71981.354888422618</v>
      </c>
      <c r="F343" s="11">
        <f t="shared" si="9"/>
        <v>618.28260001928425</v>
      </c>
      <c r="G343" s="11">
        <f t="shared" si="13"/>
        <v>1050.7895918356339</v>
      </c>
      <c r="H343" s="11">
        <f t="shared" si="10"/>
        <v>70930.565296586981</v>
      </c>
      <c r="I343" s="13"/>
      <c r="J343" s="13"/>
      <c r="K343" s="13"/>
      <c r="L343" s="13"/>
      <c r="M343" s="13"/>
      <c r="N343" s="13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75" customHeight="1">
      <c r="A344" s="37"/>
      <c r="B344" s="38">
        <f t="shared" si="11"/>
        <v>334</v>
      </c>
      <c r="C344" s="11">
        <f t="shared" si="12"/>
        <v>70930.565296586981</v>
      </c>
      <c r="D344" s="11">
        <f t="shared" si="7"/>
        <v>428.76952356510452</v>
      </c>
      <c r="E344" s="11">
        <f t="shared" si="8"/>
        <v>71359.334820152086</v>
      </c>
      <c r="F344" s="11">
        <f t="shared" si="9"/>
        <v>622.02006827052946</v>
      </c>
      <c r="G344" s="11">
        <f t="shared" si="13"/>
        <v>1050.7895918356339</v>
      </c>
      <c r="H344" s="11">
        <f t="shared" si="10"/>
        <v>70308.545228316449</v>
      </c>
      <c r="I344" s="13"/>
      <c r="J344" s="13"/>
      <c r="K344" s="13"/>
      <c r="L344" s="13"/>
      <c r="M344" s="13"/>
      <c r="N344" s="13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75" customHeight="1">
      <c r="A345" s="37"/>
      <c r="B345" s="38">
        <f t="shared" si="11"/>
        <v>335</v>
      </c>
      <c r="C345" s="11">
        <f t="shared" si="12"/>
        <v>70308.545228316449</v>
      </c>
      <c r="D345" s="11">
        <f t="shared" si="7"/>
        <v>425.00946262092475</v>
      </c>
      <c r="E345" s="11">
        <f t="shared" si="8"/>
        <v>70733.554690937366</v>
      </c>
      <c r="F345" s="11">
        <f t="shared" si="9"/>
        <v>625.78012921470918</v>
      </c>
      <c r="G345" s="11">
        <f t="shared" si="13"/>
        <v>1050.7895918356339</v>
      </c>
      <c r="H345" s="11">
        <f t="shared" si="10"/>
        <v>69682.765099101729</v>
      </c>
      <c r="I345" s="13"/>
      <c r="J345" s="13"/>
      <c r="K345" s="13"/>
      <c r="L345" s="13"/>
      <c r="M345" s="13"/>
      <c r="N345" s="13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75" customHeight="1">
      <c r="A346" s="37"/>
      <c r="B346" s="38">
        <f t="shared" si="11"/>
        <v>336</v>
      </c>
      <c r="C346" s="11">
        <f t="shared" si="12"/>
        <v>69682.765099101729</v>
      </c>
      <c r="D346" s="11">
        <f t="shared" si="7"/>
        <v>421.22667241281096</v>
      </c>
      <c r="E346" s="11">
        <f t="shared" si="8"/>
        <v>70103.991771514542</v>
      </c>
      <c r="F346" s="11">
        <f t="shared" si="9"/>
        <v>629.56291942282292</v>
      </c>
      <c r="G346" s="11">
        <f t="shared" si="13"/>
        <v>1050.7895918356339</v>
      </c>
      <c r="H346" s="11">
        <f t="shared" si="10"/>
        <v>69053.202179678905</v>
      </c>
      <c r="I346" s="13"/>
      <c r="J346" s="13"/>
      <c r="K346" s="13"/>
      <c r="L346" s="13"/>
      <c r="M346" s="13"/>
      <c r="N346" s="13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75" customHeight="1">
      <c r="A347" s="37"/>
      <c r="B347" s="38">
        <f t="shared" si="11"/>
        <v>337</v>
      </c>
      <c r="C347" s="11">
        <f t="shared" si="12"/>
        <v>69053.202179678905</v>
      </c>
      <c r="D347" s="11">
        <f t="shared" si="7"/>
        <v>417.42101554420327</v>
      </c>
      <c r="E347" s="11">
        <f t="shared" si="8"/>
        <v>69470.623195223103</v>
      </c>
      <c r="F347" s="11">
        <f t="shared" si="9"/>
        <v>633.3685762914306</v>
      </c>
      <c r="G347" s="11">
        <f t="shared" si="13"/>
        <v>1050.7895918356339</v>
      </c>
      <c r="H347" s="11">
        <f t="shared" si="10"/>
        <v>68419.833603387466</v>
      </c>
      <c r="I347" s="13"/>
      <c r="J347" s="13"/>
      <c r="K347" s="13"/>
      <c r="L347" s="13"/>
      <c r="M347" s="13"/>
      <c r="N347" s="13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75" customHeight="1">
      <c r="A348" s="37"/>
      <c r="B348" s="38">
        <f t="shared" si="11"/>
        <v>338</v>
      </c>
      <c r="C348" s="11">
        <f t="shared" si="12"/>
        <v>68419.833603387466</v>
      </c>
      <c r="D348" s="11">
        <f t="shared" si="7"/>
        <v>413.59235378799059</v>
      </c>
      <c r="E348" s="11">
        <f t="shared" si="8"/>
        <v>68833.425957175452</v>
      </c>
      <c r="F348" s="11">
        <f t="shared" si="9"/>
        <v>637.1972380476434</v>
      </c>
      <c r="G348" s="11">
        <f t="shared" si="13"/>
        <v>1050.7895918356339</v>
      </c>
      <c r="H348" s="11">
        <f t="shared" si="10"/>
        <v>67782.636365339815</v>
      </c>
      <c r="I348" s="13"/>
      <c r="J348" s="13"/>
      <c r="K348" s="13"/>
      <c r="L348" s="13"/>
      <c r="M348" s="13"/>
      <c r="N348" s="13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75" customHeight="1">
      <c r="A349" s="37"/>
      <c r="B349" s="38">
        <f t="shared" si="11"/>
        <v>339</v>
      </c>
      <c r="C349" s="11">
        <f t="shared" si="12"/>
        <v>67782.636365339815</v>
      </c>
      <c r="D349" s="11">
        <f t="shared" si="7"/>
        <v>409.7405480814902</v>
      </c>
      <c r="E349" s="11">
        <f t="shared" si="8"/>
        <v>68192.376913421307</v>
      </c>
      <c r="F349" s="11">
        <f t="shared" si="9"/>
        <v>641.04904375414367</v>
      </c>
      <c r="G349" s="11">
        <f t="shared" si="13"/>
        <v>1050.7895918356339</v>
      </c>
      <c r="H349" s="11">
        <f t="shared" si="10"/>
        <v>67141.58732158567</v>
      </c>
      <c r="I349" s="13"/>
      <c r="J349" s="13"/>
      <c r="K349" s="13"/>
      <c r="L349" s="13"/>
      <c r="M349" s="13"/>
      <c r="N349" s="13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75" customHeight="1">
      <c r="A350" s="37"/>
      <c r="B350" s="38">
        <f t="shared" si="11"/>
        <v>340</v>
      </c>
      <c r="C350" s="11">
        <f t="shared" si="12"/>
        <v>67141.58732158567</v>
      </c>
      <c r="D350" s="11">
        <f t="shared" si="7"/>
        <v>405.86545852139676</v>
      </c>
      <c r="E350" s="11">
        <f t="shared" si="8"/>
        <v>67547.452780107065</v>
      </c>
      <c r="F350" s="11">
        <f t="shared" si="9"/>
        <v>644.92413331423722</v>
      </c>
      <c r="G350" s="11">
        <f t="shared" si="13"/>
        <v>1050.7895918356339</v>
      </c>
      <c r="H350" s="11">
        <f t="shared" si="10"/>
        <v>66496.663188271428</v>
      </c>
      <c r="I350" s="13"/>
      <c r="J350" s="13"/>
      <c r="K350" s="13"/>
      <c r="L350" s="13"/>
      <c r="M350" s="13"/>
      <c r="N350" s="13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75" customHeight="1">
      <c r="A351" s="37"/>
      <c r="B351" s="38">
        <f t="shared" si="11"/>
        <v>341</v>
      </c>
      <c r="C351" s="11">
        <f t="shared" si="12"/>
        <v>66496.663188271428</v>
      </c>
      <c r="D351" s="11">
        <f t="shared" si="7"/>
        <v>401.96694435870069</v>
      </c>
      <c r="E351" s="11">
        <f t="shared" si="8"/>
        <v>66898.630132630133</v>
      </c>
      <c r="F351" s="11">
        <f t="shared" si="9"/>
        <v>648.8226474769333</v>
      </c>
      <c r="G351" s="11">
        <f t="shared" si="13"/>
        <v>1050.7895918356339</v>
      </c>
      <c r="H351" s="11">
        <f t="shared" si="10"/>
        <v>65847.840540794496</v>
      </c>
      <c r="I351" s="13"/>
      <c r="J351" s="13"/>
      <c r="K351" s="13"/>
      <c r="L351" s="13"/>
      <c r="M351" s="13"/>
      <c r="N351" s="13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75" customHeight="1">
      <c r="A352" s="37"/>
      <c r="B352" s="38">
        <f t="shared" si="11"/>
        <v>342</v>
      </c>
      <c r="C352" s="11">
        <f t="shared" si="12"/>
        <v>65847.840540794496</v>
      </c>
      <c r="D352" s="11">
        <f t="shared" si="7"/>
        <v>398.04486399357603</v>
      </c>
      <c r="E352" s="11">
        <f t="shared" si="8"/>
        <v>66245.885404788074</v>
      </c>
      <c r="F352" s="11">
        <f t="shared" si="9"/>
        <v>652.74472784205796</v>
      </c>
      <c r="G352" s="11">
        <f t="shared" si="13"/>
        <v>1050.7895918356339</v>
      </c>
      <c r="H352" s="11">
        <f t="shared" si="10"/>
        <v>65195.095812952437</v>
      </c>
      <c r="I352" s="13"/>
      <c r="J352" s="13"/>
      <c r="K352" s="13"/>
      <c r="L352" s="13"/>
      <c r="M352" s="13"/>
      <c r="N352" s="13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75" customHeight="1">
      <c r="A353" s="37"/>
      <c r="B353" s="38">
        <f t="shared" si="11"/>
        <v>343</v>
      </c>
      <c r="C353" s="11">
        <f t="shared" si="12"/>
        <v>65195.095812952437</v>
      </c>
      <c r="D353" s="11">
        <f t="shared" si="7"/>
        <v>394.09907497023744</v>
      </c>
      <c r="E353" s="11">
        <f t="shared" si="8"/>
        <v>65589.194887922669</v>
      </c>
      <c r="F353" s="11">
        <f t="shared" si="9"/>
        <v>656.69051686539649</v>
      </c>
      <c r="G353" s="11">
        <f t="shared" si="13"/>
        <v>1050.7895918356339</v>
      </c>
      <c r="H353" s="11">
        <f t="shared" si="10"/>
        <v>64538.405296087032</v>
      </c>
      <c r="I353" s="13"/>
      <c r="J353" s="13"/>
      <c r="K353" s="13"/>
      <c r="L353" s="13"/>
      <c r="M353" s="13"/>
      <c r="N353" s="13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75" customHeight="1">
      <c r="A354" s="37"/>
      <c r="B354" s="38">
        <f t="shared" si="11"/>
        <v>344</v>
      </c>
      <c r="C354" s="11">
        <f t="shared" si="12"/>
        <v>64538.405296087032</v>
      </c>
      <c r="D354" s="11">
        <f t="shared" si="7"/>
        <v>390.12943397176582</v>
      </c>
      <c r="E354" s="11">
        <f t="shared" si="8"/>
        <v>64928.534730058796</v>
      </c>
      <c r="F354" s="11">
        <f t="shared" si="9"/>
        <v>660.66015786386811</v>
      </c>
      <c r="G354" s="11">
        <f t="shared" si="13"/>
        <v>1050.7895918356339</v>
      </c>
      <c r="H354" s="11">
        <f t="shared" si="10"/>
        <v>63877.745138223159</v>
      </c>
      <c r="I354" s="13"/>
      <c r="J354" s="13"/>
      <c r="K354" s="13"/>
      <c r="L354" s="13"/>
      <c r="M354" s="13"/>
      <c r="N354" s="13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75" customHeight="1">
      <c r="A355" s="37"/>
      <c r="B355" s="38">
        <f t="shared" si="11"/>
        <v>345</v>
      </c>
      <c r="C355" s="11">
        <f t="shared" si="12"/>
        <v>63877.745138223159</v>
      </c>
      <c r="D355" s="11">
        <f t="shared" si="7"/>
        <v>386.1357968149029</v>
      </c>
      <c r="E355" s="11">
        <f t="shared" si="8"/>
        <v>64263.880935038062</v>
      </c>
      <c r="F355" s="11">
        <f t="shared" si="9"/>
        <v>664.65379502073097</v>
      </c>
      <c r="G355" s="11">
        <f t="shared" si="13"/>
        <v>1050.7895918356339</v>
      </c>
      <c r="H355" s="11">
        <f t="shared" si="10"/>
        <v>63213.091343202424</v>
      </c>
      <c r="I355" s="13"/>
      <c r="J355" s="13"/>
      <c r="K355" s="13"/>
      <c r="L355" s="13"/>
      <c r="M355" s="13"/>
      <c r="N355" s="13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75" customHeight="1">
      <c r="A356" s="37"/>
      <c r="B356" s="38">
        <f t="shared" si="11"/>
        <v>346</v>
      </c>
      <c r="C356" s="11">
        <f t="shared" si="12"/>
        <v>63213.091343202424</v>
      </c>
      <c r="D356" s="11">
        <f t="shared" si="7"/>
        <v>382.11801844481442</v>
      </c>
      <c r="E356" s="11">
        <f t="shared" si="8"/>
        <v>63595.209361647241</v>
      </c>
      <c r="F356" s="11">
        <f t="shared" si="9"/>
        <v>668.6715733908195</v>
      </c>
      <c r="G356" s="11">
        <f t="shared" si="13"/>
        <v>1050.7895918356339</v>
      </c>
      <c r="H356" s="11">
        <f t="shared" si="10"/>
        <v>62544.419769811604</v>
      </c>
      <c r="I356" s="13"/>
      <c r="J356" s="13"/>
      <c r="K356" s="13"/>
      <c r="L356" s="13"/>
      <c r="M356" s="13"/>
      <c r="N356" s="13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75" customHeight="1">
      <c r="A357" s="37"/>
      <c r="B357" s="38">
        <f t="shared" si="11"/>
        <v>347</v>
      </c>
      <c r="C357" s="11">
        <f t="shared" si="12"/>
        <v>62544.419769811604</v>
      </c>
      <c r="D357" s="11">
        <f t="shared" si="7"/>
        <v>378.07595292982114</v>
      </c>
      <c r="E357" s="11">
        <f t="shared" si="8"/>
        <v>62922.495722741427</v>
      </c>
      <c r="F357" s="11">
        <f t="shared" si="9"/>
        <v>672.71363890581279</v>
      </c>
      <c r="G357" s="11">
        <f t="shared" si="13"/>
        <v>1050.7895918356339</v>
      </c>
      <c r="H357" s="11">
        <f t="shared" si="10"/>
        <v>61871.70613090579</v>
      </c>
      <c r="I357" s="13"/>
      <c r="J357" s="13"/>
      <c r="K357" s="13"/>
      <c r="L357" s="13"/>
      <c r="M357" s="13"/>
      <c r="N357" s="13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75" customHeight="1">
      <c r="A358" s="37"/>
      <c r="B358" s="38">
        <f t="shared" si="11"/>
        <v>348</v>
      </c>
      <c r="C358" s="11">
        <f t="shared" si="12"/>
        <v>61871.70613090579</v>
      </c>
      <c r="D358" s="11">
        <f t="shared" si="7"/>
        <v>374.00945345609887</v>
      </c>
      <c r="E358" s="11">
        <f t="shared" si="8"/>
        <v>62245.715584361889</v>
      </c>
      <c r="F358" s="11">
        <f t="shared" si="9"/>
        <v>676.78013837953506</v>
      </c>
      <c r="G358" s="11">
        <f t="shared" si="13"/>
        <v>1050.7895918356339</v>
      </c>
      <c r="H358" s="11">
        <f t="shared" si="10"/>
        <v>61194.925992526252</v>
      </c>
      <c r="I358" s="13"/>
      <c r="J358" s="13"/>
      <c r="K358" s="13"/>
      <c r="L358" s="13"/>
      <c r="M358" s="13"/>
      <c r="N358" s="13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75" customHeight="1">
      <c r="A359" s="37"/>
      <c r="B359" s="38">
        <f t="shared" si="11"/>
        <v>349</v>
      </c>
      <c r="C359" s="11">
        <f t="shared" si="12"/>
        <v>61194.925992526252</v>
      </c>
      <c r="D359" s="11">
        <f t="shared" si="7"/>
        <v>369.91837232234565</v>
      </c>
      <c r="E359" s="11">
        <f t="shared" si="8"/>
        <v>61564.844364848599</v>
      </c>
      <c r="F359" s="11">
        <f t="shared" si="9"/>
        <v>680.87121951328822</v>
      </c>
      <c r="G359" s="11">
        <f t="shared" si="13"/>
        <v>1050.7895918356339</v>
      </c>
      <c r="H359" s="11">
        <f t="shared" si="10"/>
        <v>60514.054773012962</v>
      </c>
      <c r="I359" s="13"/>
      <c r="J359" s="13"/>
      <c r="K359" s="13"/>
      <c r="L359" s="13"/>
      <c r="M359" s="13"/>
      <c r="N359" s="13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75" customHeight="1">
      <c r="A360" s="37"/>
      <c r="B360" s="38">
        <f t="shared" si="11"/>
        <v>350</v>
      </c>
      <c r="C360" s="11">
        <f t="shared" si="12"/>
        <v>60514.054773012962</v>
      </c>
      <c r="D360" s="11">
        <f t="shared" si="7"/>
        <v>365.80256093441704</v>
      </c>
      <c r="E360" s="11">
        <f t="shared" si="8"/>
        <v>60879.857333947381</v>
      </c>
      <c r="F360" s="11">
        <f t="shared" si="9"/>
        <v>684.98703090121694</v>
      </c>
      <c r="G360" s="11">
        <f t="shared" si="13"/>
        <v>1050.7895918356339</v>
      </c>
      <c r="H360" s="11">
        <f t="shared" si="10"/>
        <v>59829.067742111743</v>
      </c>
      <c r="I360" s="13"/>
      <c r="J360" s="13"/>
      <c r="K360" s="13"/>
      <c r="L360" s="13"/>
      <c r="M360" s="13"/>
      <c r="N360" s="13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75" customHeight="1">
      <c r="A361" s="37"/>
      <c r="B361" s="38">
        <f t="shared" si="11"/>
        <v>351</v>
      </c>
      <c r="C361" s="11">
        <f t="shared" si="12"/>
        <v>59829.067742111743</v>
      </c>
      <c r="D361" s="11">
        <f t="shared" si="7"/>
        <v>361.66186979992915</v>
      </c>
      <c r="E361" s="11">
        <f t="shared" si="8"/>
        <v>60190.729611911673</v>
      </c>
      <c r="F361" s="11">
        <f t="shared" si="9"/>
        <v>689.12772203570478</v>
      </c>
      <c r="G361" s="11">
        <f t="shared" si="13"/>
        <v>1050.7895918356339</v>
      </c>
      <c r="H361" s="11">
        <f t="shared" si="10"/>
        <v>59139.940020076036</v>
      </c>
      <c r="I361" s="13"/>
      <c r="J361" s="13"/>
      <c r="K361" s="13"/>
      <c r="L361" s="13"/>
      <c r="M361" s="13"/>
      <c r="N361" s="13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75" customHeight="1">
      <c r="A362" s="37"/>
      <c r="B362" s="38">
        <f t="shared" si="11"/>
        <v>352</v>
      </c>
      <c r="C362" s="11">
        <f t="shared" si="12"/>
        <v>59139.940020076036</v>
      </c>
      <c r="D362" s="11">
        <f t="shared" si="7"/>
        <v>357.49614852282872</v>
      </c>
      <c r="E362" s="11">
        <f t="shared" si="8"/>
        <v>59497.436168598862</v>
      </c>
      <c r="F362" s="11">
        <f t="shared" si="9"/>
        <v>693.29344331280527</v>
      </c>
      <c r="G362" s="11">
        <f t="shared" si="13"/>
        <v>1050.7895918356339</v>
      </c>
      <c r="H362" s="11">
        <f t="shared" si="10"/>
        <v>58446.646576763225</v>
      </c>
      <c r="I362" s="13"/>
      <c r="J362" s="13"/>
      <c r="K362" s="13"/>
      <c r="L362" s="13"/>
      <c r="M362" s="13"/>
      <c r="N362" s="13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75" customHeight="1">
      <c r="A363" s="37"/>
      <c r="B363" s="38">
        <f t="shared" si="11"/>
        <v>353</v>
      </c>
      <c r="C363" s="11">
        <f t="shared" si="12"/>
        <v>58446.646576763225</v>
      </c>
      <c r="D363" s="11">
        <f t="shared" si="7"/>
        <v>353.30524579793041</v>
      </c>
      <c r="E363" s="11">
        <f t="shared" si="8"/>
        <v>58799.951822561154</v>
      </c>
      <c r="F363" s="11">
        <f t="shared" si="9"/>
        <v>697.48434603770352</v>
      </c>
      <c r="G363" s="11">
        <f t="shared" si="13"/>
        <v>1050.7895918356339</v>
      </c>
      <c r="H363" s="11">
        <f t="shared" si="10"/>
        <v>57749.162230725517</v>
      </c>
      <c r="I363" s="13"/>
      <c r="J363" s="13"/>
      <c r="K363" s="13"/>
      <c r="L363" s="13"/>
      <c r="M363" s="13"/>
      <c r="N363" s="13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75" customHeight="1">
      <c r="A364" s="37"/>
      <c r="B364" s="38">
        <f t="shared" si="11"/>
        <v>354</v>
      </c>
      <c r="C364" s="11">
        <f t="shared" si="12"/>
        <v>57749.162230725517</v>
      </c>
      <c r="D364" s="11">
        <f t="shared" si="7"/>
        <v>349.08900940542139</v>
      </c>
      <c r="E364" s="11">
        <f t="shared" si="8"/>
        <v>58098.251240130936</v>
      </c>
      <c r="F364" s="11">
        <f t="shared" si="9"/>
        <v>701.70058243021253</v>
      </c>
      <c r="G364" s="11">
        <f t="shared" si="13"/>
        <v>1050.7895918356339</v>
      </c>
      <c r="H364" s="11">
        <f t="shared" si="10"/>
        <v>57047.461648295299</v>
      </c>
      <c r="I364" s="13"/>
      <c r="J364" s="13"/>
      <c r="K364" s="13"/>
      <c r="L364" s="13"/>
      <c r="M364" s="13"/>
      <c r="N364" s="13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75" customHeight="1">
      <c r="A365" s="37"/>
      <c r="B365" s="38">
        <f t="shared" si="11"/>
        <v>355</v>
      </c>
      <c r="C365" s="11">
        <f t="shared" si="12"/>
        <v>57047.461648295299</v>
      </c>
      <c r="D365" s="11">
        <f t="shared" si="7"/>
        <v>344.84728620533235</v>
      </c>
      <c r="E365" s="11">
        <f t="shared" si="8"/>
        <v>57392.30893450063</v>
      </c>
      <c r="F365" s="11">
        <f t="shared" si="9"/>
        <v>705.94230563030158</v>
      </c>
      <c r="G365" s="11">
        <f t="shared" si="13"/>
        <v>1050.7895918356339</v>
      </c>
      <c r="H365" s="11">
        <f t="shared" si="10"/>
        <v>56341.519342664993</v>
      </c>
      <c r="I365" s="13"/>
      <c r="J365" s="13"/>
      <c r="K365" s="13"/>
      <c r="L365" s="13"/>
      <c r="M365" s="13"/>
      <c r="N365" s="13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75" customHeight="1">
      <c r="A366" s="37"/>
      <c r="B366" s="38">
        <f t="shared" si="11"/>
        <v>356</v>
      </c>
      <c r="C366" s="11">
        <f t="shared" si="12"/>
        <v>56341.519342664993</v>
      </c>
      <c r="D366" s="11">
        <f t="shared" si="7"/>
        <v>340.57992213197537</v>
      </c>
      <c r="E366" s="11">
        <f t="shared" si="8"/>
        <v>56682.099264796969</v>
      </c>
      <c r="F366" s="11">
        <f t="shared" si="9"/>
        <v>710.20966970365862</v>
      </c>
      <c r="G366" s="11">
        <f t="shared" si="13"/>
        <v>1050.7895918356339</v>
      </c>
      <c r="H366" s="11">
        <f t="shared" si="10"/>
        <v>55631.309672961332</v>
      </c>
      <c r="I366" s="13"/>
      <c r="J366" s="13"/>
      <c r="K366" s="13"/>
      <c r="L366" s="13"/>
      <c r="M366" s="13"/>
      <c r="N366" s="13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75" customHeight="1">
      <c r="A367" s="37"/>
      <c r="B367" s="38">
        <f t="shared" si="11"/>
        <v>357</v>
      </c>
      <c r="C367" s="11">
        <f t="shared" si="12"/>
        <v>55631.309672961332</v>
      </c>
      <c r="D367" s="11">
        <f t="shared" si="7"/>
        <v>336.28676218834778</v>
      </c>
      <c r="E367" s="11">
        <f t="shared" si="8"/>
        <v>55967.59643514968</v>
      </c>
      <c r="F367" s="11">
        <f t="shared" si="9"/>
        <v>714.50282964728615</v>
      </c>
      <c r="G367" s="11">
        <f t="shared" si="13"/>
        <v>1050.7895918356339</v>
      </c>
      <c r="H367" s="11">
        <f t="shared" si="10"/>
        <v>54916.806843314043</v>
      </c>
      <c r="I367" s="13"/>
      <c r="J367" s="13"/>
      <c r="K367" s="13"/>
      <c r="L367" s="13"/>
      <c r="M367" s="13"/>
      <c r="N367" s="13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75" customHeight="1">
      <c r="A368" s="37"/>
      <c r="B368" s="38">
        <f t="shared" si="11"/>
        <v>358</v>
      </c>
      <c r="C368" s="11">
        <f t="shared" si="12"/>
        <v>54916.806843314043</v>
      </c>
      <c r="D368" s="11">
        <f t="shared" si="7"/>
        <v>331.96765044050261</v>
      </c>
      <c r="E368" s="11">
        <f t="shared" si="8"/>
        <v>55248.774493754543</v>
      </c>
      <c r="F368" s="11">
        <f t="shared" si="9"/>
        <v>718.82194139513126</v>
      </c>
      <c r="G368" s="11">
        <f t="shared" si="13"/>
        <v>1050.7895918356339</v>
      </c>
      <c r="H368" s="11">
        <f t="shared" si="10"/>
        <v>54197.984901918906</v>
      </c>
      <c r="I368" s="13"/>
      <c r="J368" s="13"/>
      <c r="K368" s="13"/>
      <c r="L368" s="13"/>
      <c r="M368" s="13"/>
      <c r="N368" s="13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75" customHeight="1">
      <c r="A369" s="37"/>
      <c r="B369" s="38">
        <f t="shared" si="11"/>
        <v>359</v>
      </c>
      <c r="C369" s="11">
        <f t="shared" si="12"/>
        <v>54197.984901918906</v>
      </c>
      <c r="D369" s="11">
        <f t="shared" si="7"/>
        <v>327.62243001188483</v>
      </c>
      <c r="E369" s="11">
        <f t="shared" si="8"/>
        <v>54525.607331930791</v>
      </c>
      <c r="F369" s="11">
        <f t="shared" si="9"/>
        <v>723.1671618237491</v>
      </c>
      <c r="G369" s="11">
        <f t="shared" si="13"/>
        <v>1050.7895918356339</v>
      </c>
      <c r="H369" s="11">
        <f t="shared" si="10"/>
        <v>53474.817740095154</v>
      </c>
      <c r="I369" s="13"/>
      <c r="J369" s="13"/>
      <c r="K369" s="13"/>
      <c r="L369" s="13"/>
      <c r="M369" s="13"/>
      <c r="N369" s="13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75" customHeight="1">
      <c r="A370" s="37"/>
      <c r="B370" s="38">
        <f t="shared" si="11"/>
        <v>360</v>
      </c>
      <c r="C370" s="11">
        <f t="shared" si="12"/>
        <v>53474.817740095154</v>
      </c>
      <c r="D370" s="11">
        <f t="shared" si="7"/>
        <v>323.25094307763339</v>
      </c>
      <c r="E370" s="11">
        <f t="shared" si="8"/>
        <v>53798.068683172787</v>
      </c>
      <c r="F370" s="11">
        <f t="shared" si="9"/>
        <v>727.53864875800059</v>
      </c>
      <c r="G370" s="11">
        <f t="shared" si="13"/>
        <v>1050.7895918356339</v>
      </c>
      <c r="H370" s="11">
        <f t="shared" si="10"/>
        <v>52747.27909133715</v>
      </c>
      <c r="I370" s="13"/>
      <c r="J370" s="13"/>
      <c r="K370" s="13"/>
      <c r="L370" s="13"/>
      <c r="M370" s="13"/>
      <c r="N370" s="13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75" customHeight="1">
      <c r="A371" s="37"/>
      <c r="B371" s="38">
        <f t="shared" si="11"/>
        <v>361</v>
      </c>
      <c r="C371" s="11">
        <f t="shared" si="12"/>
        <v>52747.27909133715</v>
      </c>
      <c r="D371" s="11">
        <f t="shared" si="7"/>
        <v>318.85303085884868</v>
      </c>
      <c r="E371" s="11">
        <f t="shared" si="8"/>
        <v>53066.132122195995</v>
      </c>
      <c r="F371" s="11">
        <f t="shared" si="9"/>
        <v>731.93656097678524</v>
      </c>
      <c r="G371" s="11">
        <f t="shared" si="13"/>
        <v>1050.7895918356339</v>
      </c>
      <c r="H371" s="11">
        <f t="shared" si="10"/>
        <v>52015.342530360358</v>
      </c>
      <c r="I371" s="13"/>
      <c r="J371" s="13"/>
      <c r="K371" s="13"/>
      <c r="L371" s="13"/>
      <c r="M371" s="13"/>
      <c r="N371" s="13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75" customHeight="1">
      <c r="A372" s="37"/>
      <c r="B372" s="38">
        <f t="shared" si="11"/>
        <v>362</v>
      </c>
      <c r="C372" s="11">
        <f t="shared" si="12"/>
        <v>52015.342530360358</v>
      </c>
      <c r="D372" s="11">
        <f t="shared" si="7"/>
        <v>314.4285336168254</v>
      </c>
      <c r="E372" s="11">
        <f t="shared" si="8"/>
        <v>52329.771063977183</v>
      </c>
      <c r="F372" s="11">
        <f t="shared" si="9"/>
        <v>736.36105821880847</v>
      </c>
      <c r="G372" s="11">
        <f t="shared" si="13"/>
        <v>1050.7895918356339</v>
      </c>
      <c r="H372" s="11">
        <f t="shared" si="10"/>
        <v>51278.981472141546</v>
      </c>
      <c r="I372" s="13"/>
      <c r="J372" s="13"/>
      <c r="K372" s="13"/>
      <c r="L372" s="13"/>
      <c r="M372" s="13"/>
      <c r="N372" s="13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75" customHeight="1">
      <c r="A373" s="37"/>
      <c r="B373" s="38">
        <f t="shared" si="11"/>
        <v>363</v>
      </c>
      <c r="C373" s="11">
        <f t="shared" si="12"/>
        <v>51278.981472141546</v>
      </c>
      <c r="D373" s="11">
        <f t="shared" si="7"/>
        <v>309.97729064725092</v>
      </c>
      <c r="E373" s="11">
        <f t="shared" si="8"/>
        <v>51588.958762788796</v>
      </c>
      <c r="F373" s="11">
        <f t="shared" si="9"/>
        <v>740.812301188383</v>
      </c>
      <c r="G373" s="11">
        <f t="shared" si="13"/>
        <v>1050.7895918356339</v>
      </c>
      <c r="H373" s="11">
        <f t="shared" si="10"/>
        <v>50538.169170953159</v>
      </c>
      <c r="I373" s="13"/>
      <c r="J373" s="13"/>
      <c r="K373" s="13"/>
      <c r="L373" s="13"/>
      <c r="M373" s="13"/>
      <c r="N373" s="13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75" customHeight="1">
      <c r="A374" s="37"/>
      <c r="B374" s="38">
        <f t="shared" si="11"/>
        <v>364</v>
      </c>
      <c r="C374" s="11">
        <f t="shared" si="12"/>
        <v>50538.169170953159</v>
      </c>
      <c r="D374" s="11">
        <f t="shared" si="7"/>
        <v>305.4991402743679</v>
      </c>
      <c r="E374" s="11">
        <f t="shared" si="8"/>
        <v>50843.668311227528</v>
      </c>
      <c r="F374" s="11">
        <f t="shared" si="9"/>
        <v>745.29045156126608</v>
      </c>
      <c r="G374" s="11">
        <f t="shared" si="13"/>
        <v>1050.7895918356339</v>
      </c>
      <c r="H374" s="11">
        <f t="shared" si="10"/>
        <v>49792.878719391891</v>
      </c>
      <c r="I374" s="13"/>
      <c r="J374" s="13"/>
      <c r="K374" s="13"/>
      <c r="L374" s="13"/>
      <c r="M374" s="13"/>
      <c r="N374" s="13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75" customHeight="1">
      <c r="A375" s="37"/>
      <c r="B375" s="38">
        <f t="shared" si="11"/>
        <v>365</v>
      </c>
      <c r="C375" s="11">
        <f t="shared" si="12"/>
        <v>49792.878719391891</v>
      </c>
      <c r="D375" s="11">
        <f t="shared" si="7"/>
        <v>300.99391984510225</v>
      </c>
      <c r="E375" s="11">
        <f t="shared" si="8"/>
        <v>50093.872639236994</v>
      </c>
      <c r="F375" s="11">
        <f t="shared" si="9"/>
        <v>749.79567199053167</v>
      </c>
      <c r="G375" s="11">
        <f t="shared" si="13"/>
        <v>1050.7895918356339</v>
      </c>
      <c r="H375" s="11">
        <f t="shared" si="10"/>
        <v>49043.083047401356</v>
      </c>
      <c r="I375" s="13"/>
      <c r="J375" s="13"/>
      <c r="K375" s="13"/>
      <c r="L375" s="13"/>
      <c r="M375" s="13"/>
      <c r="N375" s="13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75" customHeight="1">
      <c r="A376" s="37"/>
      <c r="B376" s="38">
        <f t="shared" si="11"/>
        <v>366</v>
      </c>
      <c r="C376" s="11">
        <f t="shared" si="12"/>
        <v>49043.083047401356</v>
      </c>
      <c r="D376" s="11">
        <f t="shared" si="7"/>
        <v>296.46146572315507</v>
      </c>
      <c r="E376" s="11">
        <f t="shared" si="8"/>
        <v>49339.544513124514</v>
      </c>
      <c r="F376" s="11">
        <f t="shared" si="9"/>
        <v>754.32812611247891</v>
      </c>
      <c r="G376" s="11">
        <f t="shared" si="13"/>
        <v>1050.7895918356339</v>
      </c>
      <c r="H376" s="11">
        <f t="shared" si="10"/>
        <v>48288.754921288877</v>
      </c>
      <c r="I376" s="13"/>
      <c r="J376" s="13"/>
      <c r="K376" s="13"/>
      <c r="L376" s="13"/>
      <c r="M376" s="13"/>
      <c r="N376" s="13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75" customHeight="1">
      <c r="A377" s="37"/>
      <c r="B377" s="38">
        <f t="shared" si="11"/>
        <v>367</v>
      </c>
      <c r="C377" s="11">
        <f t="shared" si="12"/>
        <v>48288.754921288877</v>
      </c>
      <c r="D377" s="11">
        <f t="shared" si="7"/>
        <v>291.90161328305942</v>
      </c>
      <c r="E377" s="11">
        <f t="shared" si="8"/>
        <v>48580.656534571935</v>
      </c>
      <c r="F377" s="11">
        <f t="shared" si="9"/>
        <v>758.88797855257451</v>
      </c>
      <c r="G377" s="11">
        <f t="shared" si="13"/>
        <v>1050.7895918356339</v>
      </c>
      <c r="H377" s="11">
        <f t="shared" si="10"/>
        <v>47529.866942736298</v>
      </c>
      <c r="I377" s="13"/>
      <c r="J377" s="13"/>
      <c r="K377" s="13"/>
      <c r="L377" s="13"/>
      <c r="M377" s="13"/>
      <c r="N377" s="13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75" customHeight="1">
      <c r="A378" s="37"/>
      <c r="B378" s="38">
        <f t="shared" si="11"/>
        <v>368</v>
      </c>
      <c r="C378" s="11">
        <f t="shared" si="12"/>
        <v>47529.866942736298</v>
      </c>
      <c r="D378" s="11">
        <f t="shared" si="7"/>
        <v>287.31419690420063</v>
      </c>
      <c r="E378" s="11">
        <f t="shared" si="8"/>
        <v>47817.181139640496</v>
      </c>
      <c r="F378" s="11">
        <f t="shared" si="9"/>
        <v>763.47539493143336</v>
      </c>
      <c r="G378" s="11">
        <f t="shared" si="13"/>
        <v>1050.7895918356339</v>
      </c>
      <c r="H378" s="11">
        <f t="shared" si="10"/>
        <v>46766.391547804858</v>
      </c>
      <c r="I378" s="13"/>
      <c r="J378" s="13"/>
      <c r="K378" s="13"/>
      <c r="L378" s="13"/>
      <c r="M378" s="13"/>
      <c r="N378" s="13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75" customHeight="1">
      <c r="A379" s="37"/>
      <c r="B379" s="38">
        <f t="shared" si="11"/>
        <v>369</v>
      </c>
      <c r="C379" s="11">
        <f t="shared" si="12"/>
        <v>46766.391547804858</v>
      </c>
      <c r="D379" s="11">
        <f t="shared" si="7"/>
        <v>282.69904996480096</v>
      </c>
      <c r="E379" s="11">
        <f t="shared" si="8"/>
        <v>47049.09059776966</v>
      </c>
      <c r="F379" s="11">
        <f t="shared" si="9"/>
        <v>768.09054187083302</v>
      </c>
      <c r="G379" s="11">
        <f t="shared" si="13"/>
        <v>1050.7895918356339</v>
      </c>
      <c r="H379" s="11">
        <f t="shared" si="10"/>
        <v>45998.301005934023</v>
      </c>
      <c r="I379" s="13"/>
      <c r="J379" s="13"/>
      <c r="K379" s="13"/>
      <c r="L379" s="13"/>
      <c r="M379" s="13"/>
      <c r="N379" s="13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75" customHeight="1">
      <c r="A380" s="37"/>
      <c r="B380" s="38">
        <f t="shared" si="11"/>
        <v>370</v>
      </c>
      <c r="C380" s="11">
        <f t="shared" si="12"/>
        <v>45998.301005934023</v>
      </c>
      <c r="D380" s="11">
        <f t="shared" si="7"/>
        <v>278.05600483586738</v>
      </c>
      <c r="E380" s="11">
        <f t="shared" si="8"/>
        <v>46276.357010769891</v>
      </c>
      <c r="F380" s="11">
        <f t="shared" si="9"/>
        <v>772.73358699976654</v>
      </c>
      <c r="G380" s="11">
        <f t="shared" si="13"/>
        <v>1050.7895918356339</v>
      </c>
      <c r="H380" s="11">
        <f t="shared" si="10"/>
        <v>45225.567418934254</v>
      </c>
      <c r="I380" s="13"/>
      <c r="J380" s="13"/>
      <c r="K380" s="13"/>
      <c r="L380" s="13"/>
      <c r="M380" s="13"/>
      <c r="N380" s="13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75" customHeight="1">
      <c r="A381" s="37"/>
      <c r="B381" s="38">
        <f t="shared" si="11"/>
        <v>371</v>
      </c>
      <c r="C381" s="11">
        <f t="shared" si="12"/>
        <v>45225.567418934254</v>
      </c>
      <c r="D381" s="11">
        <f t="shared" si="7"/>
        <v>273.38489287510333</v>
      </c>
      <c r="E381" s="11">
        <f t="shared" si="8"/>
        <v>45498.952311809357</v>
      </c>
      <c r="F381" s="11">
        <f t="shared" si="9"/>
        <v>777.4046989605306</v>
      </c>
      <c r="G381" s="11">
        <f t="shared" si="13"/>
        <v>1050.7895918356339</v>
      </c>
      <c r="H381" s="11">
        <f t="shared" si="10"/>
        <v>44448.16271997372</v>
      </c>
      <c r="I381" s="13"/>
      <c r="J381" s="13"/>
      <c r="K381" s="13"/>
      <c r="L381" s="13"/>
      <c r="M381" s="13"/>
      <c r="N381" s="13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75" customHeight="1">
      <c r="A382" s="37"/>
      <c r="B382" s="38">
        <f t="shared" si="11"/>
        <v>372</v>
      </c>
      <c r="C382" s="11">
        <f t="shared" si="12"/>
        <v>44448.16271997372</v>
      </c>
      <c r="D382" s="11">
        <f t="shared" si="7"/>
        <v>268.685544420783</v>
      </c>
      <c r="E382" s="11">
        <f t="shared" si="8"/>
        <v>44716.848264394503</v>
      </c>
      <c r="F382" s="11">
        <f t="shared" si="9"/>
        <v>782.10404741485092</v>
      </c>
      <c r="G382" s="11">
        <f t="shared" si="13"/>
        <v>1050.7895918356339</v>
      </c>
      <c r="H382" s="11">
        <f t="shared" si="10"/>
        <v>43666.058672558866</v>
      </c>
      <c r="I382" s="13"/>
      <c r="J382" s="13"/>
      <c r="K382" s="13"/>
      <c r="L382" s="13"/>
      <c r="M382" s="13"/>
      <c r="N382" s="13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75" customHeight="1">
      <c r="A383" s="37"/>
      <c r="B383" s="38">
        <f t="shared" si="11"/>
        <v>373</v>
      </c>
      <c r="C383" s="11">
        <f t="shared" si="12"/>
        <v>43666.058672558866</v>
      </c>
      <c r="D383" s="11">
        <f t="shared" si="7"/>
        <v>263.9577887855894</v>
      </c>
      <c r="E383" s="11">
        <f t="shared" si="8"/>
        <v>43930.016461344458</v>
      </c>
      <c r="F383" s="11">
        <f t="shared" si="9"/>
        <v>786.83180305004453</v>
      </c>
      <c r="G383" s="11">
        <f t="shared" si="13"/>
        <v>1050.7895918356339</v>
      </c>
      <c r="H383" s="11">
        <f t="shared" si="10"/>
        <v>42879.226869508821</v>
      </c>
      <c r="I383" s="13"/>
      <c r="J383" s="13"/>
      <c r="K383" s="13"/>
      <c r="L383" s="13"/>
      <c r="M383" s="13"/>
      <c r="N383" s="13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75" customHeight="1">
      <c r="A384" s="37"/>
      <c r="B384" s="38">
        <f t="shared" si="11"/>
        <v>374</v>
      </c>
      <c r="C384" s="11">
        <f t="shared" si="12"/>
        <v>42879.226869508821</v>
      </c>
      <c r="D384" s="11">
        <f t="shared" si="7"/>
        <v>259.20145425041443</v>
      </c>
      <c r="E384" s="11">
        <f t="shared" si="8"/>
        <v>43138.428323759232</v>
      </c>
      <c r="F384" s="11">
        <f t="shared" si="9"/>
        <v>791.58813758521956</v>
      </c>
      <c r="G384" s="11">
        <f t="shared" si="13"/>
        <v>1050.7895918356339</v>
      </c>
      <c r="H384" s="11">
        <f t="shared" si="10"/>
        <v>42087.638731923595</v>
      </c>
      <c r="I384" s="13"/>
      <c r="J384" s="13"/>
      <c r="K384" s="13"/>
      <c r="L384" s="13"/>
      <c r="M384" s="13"/>
      <c r="N384" s="13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75" customHeight="1">
      <c r="A385" s="37"/>
      <c r="B385" s="38">
        <f t="shared" si="11"/>
        <v>375</v>
      </c>
      <c r="C385" s="11">
        <f t="shared" si="12"/>
        <v>42087.638731923595</v>
      </c>
      <c r="D385" s="11">
        <f t="shared" si="7"/>
        <v>254.41636805812186</v>
      </c>
      <c r="E385" s="11">
        <f t="shared" si="8"/>
        <v>42342.055099981713</v>
      </c>
      <c r="F385" s="11">
        <f t="shared" si="9"/>
        <v>796.37322377751207</v>
      </c>
      <c r="G385" s="11">
        <f t="shared" si="13"/>
        <v>1050.7895918356339</v>
      </c>
      <c r="H385" s="11">
        <f t="shared" si="10"/>
        <v>41291.265508146076</v>
      </c>
      <c r="I385" s="13"/>
      <c r="J385" s="13"/>
      <c r="K385" s="13"/>
      <c r="L385" s="13"/>
      <c r="M385" s="13"/>
      <c r="N385" s="13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75" customHeight="1">
      <c r="A386" s="37"/>
      <c r="B386" s="38">
        <f t="shared" si="11"/>
        <v>376</v>
      </c>
      <c r="C386" s="11">
        <f t="shared" si="12"/>
        <v>41291.265508146076</v>
      </c>
      <c r="D386" s="11">
        <f t="shared" si="7"/>
        <v>249.60235640727262</v>
      </c>
      <c r="E386" s="11">
        <f t="shared" si="8"/>
        <v>41540.867864553351</v>
      </c>
      <c r="F386" s="11">
        <f t="shared" si="9"/>
        <v>801.1872354283613</v>
      </c>
      <c r="G386" s="11">
        <f t="shared" si="13"/>
        <v>1050.7895918356339</v>
      </c>
      <c r="H386" s="11">
        <f t="shared" si="10"/>
        <v>40490.078272717714</v>
      </c>
      <c r="I386" s="13"/>
      <c r="J386" s="13"/>
      <c r="K386" s="13"/>
      <c r="L386" s="13"/>
      <c r="M386" s="13"/>
      <c r="N386" s="13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75" customHeight="1">
      <c r="A387" s="37"/>
      <c r="B387" s="38">
        <f t="shared" si="11"/>
        <v>377</v>
      </c>
      <c r="C387" s="11">
        <f t="shared" si="12"/>
        <v>40490.078272717714</v>
      </c>
      <c r="D387" s="11">
        <f t="shared" si="7"/>
        <v>244.75924444581202</v>
      </c>
      <c r="E387" s="11">
        <f t="shared" si="8"/>
        <v>40734.837517163527</v>
      </c>
      <c r="F387" s="11">
        <f t="shared" si="9"/>
        <v>806.03034738982194</v>
      </c>
      <c r="G387" s="11">
        <f t="shared" si="13"/>
        <v>1050.7895918356339</v>
      </c>
      <c r="H387" s="11">
        <f t="shared" si="10"/>
        <v>39684.04792532789</v>
      </c>
      <c r="I387" s="13"/>
      <c r="J387" s="13"/>
      <c r="K387" s="13"/>
      <c r="L387" s="13"/>
      <c r="M387" s="13"/>
      <c r="N387" s="13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75" customHeight="1">
      <c r="A388" s="37"/>
      <c r="B388" s="38">
        <f t="shared" si="11"/>
        <v>378</v>
      </c>
      <c r="C388" s="11">
        <f t="shared" si="12"/>
        <v>39684.04792532789</v>
      </c>
      <c r="D388" s="11">
        <f t="shared" si="7"/>
        <v>239.8868562647188</v>
      </c>
      <c r="E388" s="11">
        <f t="shared" si="8"/>
        <v>39923.934781592608</v>
      </c>
      <c r="F388" s="11">
        <f t="shared" si="9"/>
        <v>810.90273557091518</v>
      </c>
      <c r="G388" s="11">
        <f t="shared" si="13"/>
        <v>1050.7895918356339</v>
      </c>
      <c r="H388" s="11">
        <f t="shared" si="10"/>
        <v>38873.145189756971</v>
      </c>
      <c r="I388" s="13"/>
      <c r="J388" s="13"/>
      <c r="K388" s="13"/>
      <c r="L388" s="13"/>
      <c r="M388" s="13"/>
      <c r="N388" s="13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75" customHeight="1">
      <c r="A389" s="37"/>
      <c r="B389" s="38">
        <f t="shared" si="11"/>
        <v>379</v>
      </c>
      <c r="C389" s="11">
        <f t="shared" si="12"/>
        <v>38873.145189756971</v>
      </c>
      <c r="D389" s="11">
        <f t="shared" si="7"/>
        <v>234.98501489161598</v>
      </c>
      <c r="E389" s="11">
        <f t="shared" si="8"/>
        <v>39108.130204648587</v>
      </c>
      <c r="F389" s="11">
        <f t="shared" si="9"/>
        <v>815.80457694401798</v>
      </c>
      <c r="G389" s="11">
        <f t="shared" si="13"/>
        <v>1050.7895918356339</v>
      </c>
      <c r="H389" s="11">
        <f t="shared" si="10"/>
        <v>38057.34061281295</v>
      </c>
      <c r="I389" s="13"/>
      <c r="J389" s="13"/>
      <c r="K389" s="13"/>
      <c r="L389" s="13"/>
      <c r="M389" s="13"/>
      <c r="N389" s="13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75" customHeight="1">
      <c r="A390" s="37"/>
      <c r="B390" s="38">
        <f t="shared" si="11"/>
        <v>380</v>
      </c>
      <c r="C390" s="11">
        <f t="shared" si="12"/>
        <v>38057.34061281295</v>
      </c>
      <c r="D390" s="11">
        <f t="shared" si="7"/>
        <v>230.0535422843428</v>
      </c>
      <c r="E390" s="11">
        <f t="shared" si="8"/>
        <v>38287.394155097296</v>
      </c>
      <c r="F390" s="11">
        <f t="shared" si="9"/>
        <v>820.7360495512911</v>
      </c>
      <c r="G390" s="11">
        <f t="shared" si="13"/>
        <v>1050.7895918356339</v>
      </c>
      <c r="H390" s="11">
        <f t="shared" si="10"/>
        <v>37236.604563261659</v>
      </c>
      <c r="I390" s="13"/>
      <c r="J390" s="13"/>
      <c r="K390" s="13"/>
      <c r="L390" s="13"/>
      <c r="M390" s="13"/>
      <c r="N390" s="13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75" customHeight="1">
      <c r="A391" s="37"/>
      <c r="B391" s="38">
        <f t="shared" si="11"/>
        <v>381</v>
      </c>
      <c r="C391" s="11">
        <f t="shared" si="12"/>
        <v>37236.604563261659</v>
      </c>
      <c r="D391" s="11">
        <f t="shared" si="7"/>
        <v>225.09225932448817</v>
      </c>
      <c r="E391" s="11">
        <f t="shared" si="8"/>
        <v>37461.696822586149</v>
      </c>
      <c r="F391" s="11">
        <f t="shared" si="9"/>
        <v>825.69733251114576</v>
      </c>
      <c r="G391" s="11">
        <f t="shared" si="13"/>
        <v>1050.7895918356339</v>
      </c>
      <c r="H391" s="11">
        <f t="shared" si="10"/>
        <v>36410.907230750512</v>
      </c>
      <c r="I391" s="13"/>
      <c r="J391" s="13"/>
      <c r="K391" s="13"/>
      <c r="L391" s="13"/>
      <c r="M391" s="13"/>
      <c r="N391" s="13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75" customHeight="1">
      <c r="A392" s="37"/>
      <c r="B392" s="38">
        <f t="shared" si="11"/>
        <v>382</v>
      </c>
      <c r="C392" s="11">
        <f t="shared" si="12"/>
        <v>36410.907230750512</v>
      </c>
      <c r="D392" s="11">
        <f t="shared" si="7"/>
        <v>220.10098581088462</v>
      </c>
      <c r="E392" s="11">
        <f t="shared" si="8"/>
        <v>36631.0082165614</v>
      </c>
      <c r="F392" s="11">
        <f t="shared" si="9"/>
        <v>830.68860602474933</v>
      </c>
      <c r="G392" s="11">
        <f t="shared" si="13"/>
        <v>1050.7895918356339</v>
      </c>
      <c r="H392" s="11">
        <f t="shared" si="10"/>
        <v>35580.218624725763</v>
      </c>
      <c r="I392" s="13"/>
      <c r="J392" s="13"/>
      <c r="K392" s="13"/>
      <c r="L392" s="13"/>
      <c r="M392" s="13"/>
      <c r="N392" s="13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75" customHeight="1">
      <c r="A393" s="37"/>
      <c r="B393" s="38">
        <f t="shared" si="11"/>
        <v>383</v>
      </c>
      <c r="C393" s="11">
        <f t="shared" si="12"/>
        <v>35580.218624725763</v>
      </c>
      <c r="D393" s="11">
        <f t="shared" si="7"/>
        <v>215.07954045306326</v>
      </c>
      <c r="E393" s="11">
        <f t="shared" si="8"/>
        <v>35795.298165178829</v>
      </c>
      <c r="F393" s="11">
        <f t="shared" si="9"/>
        <v>835.71005138257067</v>
      </c>
      <c r="G393" s="11">
        <f t="shared" si="13"/>
        <v>1050.7895918356339</v>
      </c>
      <c r="H393" s="11">
        <f t="shared" si="10"/>
        <v>34744.508573343192</v>
      </c>
      <c r="I393" s="13"/>
      <c r="J393" s="13"/>
      <c r="K393" s="13"/>
      <c r="L393" s="13"/>
      <c r="M393" s="13"/>
      <c r="N393" s="13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75" customHeight="1">
      <c r="A394" s="37"/>
      <c r="B394" s="38">
        <f t="shared" si="11"/>
        <v>384</v>
      </c>
      <c r="C394" s="11">
        <f t="shared" si="12"/>
        <v>34744.508573343192</v>
      </c>
      <c r="D394" s="11">
        <f t="shared" si="7"/>
        <v>210.02774086466894</v>
      </c>
      <c r="E394" s="11">
        <f t="shared" si="8"/>
        <v>34954.536314207864</v>
      </c>
      <c r="F394" s="11">
        <f t="shared" si="9"/>
        <v>840.76185097096504</v>
      </c>
      <c r="G394" s="11">
        <f t="shared" si="13"/>
        <v>1050.7895918356339</v>
      </c>
      <c r="H394" s="11">
        <f t="shared" si="10"/>
        <v>33903.746722372227</v>
      </c>
      <c r="I394" s="13"/>
      <c r="J394" s="13"/>
      <c r="K394" s="13"/>
      <c r="L394" s="13"/>
      <c r="M394" s="13"/>
      <c r="N394" s="13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75" customHeight="1">
      <c r="A395" s="37"/>
      <c r="B395" s="38">
        <f t="shared" si="11"/>
        <v>385</v>
      </c>
      <c r="C395" s="11">
        <f t="shared" si="12"/>
        <v>33903.746722372227</v>
      </c>
      <c r="D395" s="11">
        <f t="shared" si="7"/>
        <v>204.94540355683583</v>
      </c>
      <c r="E395" s="11">
        <f t="shared" si="8"/>
        <v>34108.692125929061</v>
      </c>
      <c r="F395" s="11">
        <f t="shared" si="9"/>
        <v>845.84418827879813</v>
      </c>
      <c r="G395" s="11">
        <f t="shared" si="13"/>
        <v>1050.7895918356339</v>
      </c>
      <c r="H395" s="11">
        <f t="shared" si="10"/>
        <v>33057.902534093424</v>
      </c>
      <c r="I395" s="13"/>
      <c r="J395" s="13"/>
      <c r="K395" s="13"/>
      <c r="L395" s="13"/>
      <c r="M395" s="13"/>
      <c r="N395" s="13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75" customHeight="1">
      <c r="A396" s="37"/>
      <c r="B396" s="38">
        <f t="shared" si="11"/>
        <v>386</v>
      </c>
      <c r="C396" s="11">
        <f t="shared" si="12"/>
        <v>33057.902534093424</v>
      </c>
      <c r="D396" s="11">
        <f t="shared" si="7"/>
        <v>199.8323439315227</v>
      </c>
      <c r="E396" s="11">
        <f t="shared" si="8"/>
        <v>33257.734878024945</v>
      </c>
      <c r="F396" s="11">
        <f t="shared" si="9"/>
        <v>850.95724790411123</v>
      </c>
      <c r="G396" s="11">
        <f t="shared" si="13"/>
        <v>1050.7895918356339</v>
      </c>
      <c r="H396" s="11">
        <f t="shared" si="10"/>
        <v>32206.945286189311</v>
      </c>
      <c r="I396" s="13"/>
      <c r="J396" s="13"/>
      <c r="K396" s="13"/>
      <c r="L396" s="13"/>
      <c r="M396" s="13"/>
      <c r="N396" s="13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75" customHeight="1">
      <c r="A397" s="37"/>
      <c r="B397" s="38">
        <f t="shared" si="11"/>
        <v>387</v>
      </c>
      <c r="C397" s="11">
        <f t="shared" si="12"/>
        <v>32206.945286189311</v>
      </c>
      <c r="D397" s="11">
        <f t="shared" si="7"/>
        <v>194.68837627480821</v>
      </c>
      <c r="E397" s="11">
        <f t="shared" si="8"/>
        <v>32401.633662464119</v>
      </c>
      <c r="F397" s="11">
        <f t="shared" si="9"/>
        <v>856.10121556082572</v>
      </c>
      <c r="G397" s="11">
        <f t="shared" si="13"/>
        <v>1050.7895918356339</v>
      </c>
      <c r="H397" s="11">
        <f t="shared" si="10"/>
        <v>31350.844070628485</v>
      </c>
      <c r="I397" s="13"/>
      <c r="J397" s="13"/>
      <c r="K397" s="13"/>
      <c r="L397" s="13"/>
      <c r="M397" s="13"/>
      <c r="N397" s="13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75" customHeight="1">
      <c r="A398" s="37"/>
      <c r="B398" s="38">
        <f t="shared" si="11"/>
        <v>388</v>
      </c>
      <c r="C398" s="11">
        <f t="shared" si="12"/>
        <v>31350.844070628485</v>
      </c>
      <c r="D398" s="11">
        <f t="shared" si="7"/>
        <v>189.5133137501453</v>
      </c>
      <c r="E398" s="11">
        <f t="shared" si="8"/>
        <v>31540.357384378633</v>
      </c>
      <c r="F398" s="11">
        <f t="shared" si="9"/>
        <v>861.27627808548868</v>
      </c>
      <c r="G398" s="11">
        <f t="shared" si="13"/>
        <v>1050.7895918356339</v>
      </c>
      <c r="H398" s="11">
        <f t="shared" si="10"/>
        <v>30489.567792542999</v>
      </c>
      <c r="I398" s="13"/>
      <c r="J398" s="13"/>
      <c r="K398" s="13"/>
      <c r="L398" s="13"/>
      <c r="M398" s="13"/>
      <c r="N398" s="13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75" customHeight="1">
      <c r="A399" s="37"/>
      <c r="B399" s="38">
        <f t="shared" si="11"/>
        <v>389</v>
      </c>
      <c r="C399" s="11">
        <f t="shared" si="12"/>
        <v>30489.567792542999</v>
      </c>
      <c r="D399" s="11">
        <f t="shared" si="7"/>
        <v>184.3069683915752</v>
      </c>
      <c r="E399" s="11">
        <f t="shared" si="8"/>
        <v>30673.874760934574</v>
      </c>
      <c r="F399" s="11">
        <f t="shared" si="9"/>
        <v>866.48262344405873</v>
      </c>
      <c r="G399" s="11">
        <f t="shared" si="13"/>
        <v>1050.7895918356339</v>
      </c>
      <c r="H399" s="11">
        <f t="shared" si="10"/>
        <v>29623.08516909894</v>
      </c>
      <c r="I399" s="13"/>
      <c r="J399" s="13"/>
      <c r="K399" s="13"/>
      <c r="L399" s="13"/>
      <c r="M399" s="13"/>
      <c r="N399" s="13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75" customHeight="1">
      <c r="A400" s="37"/>
      <c r="B400" s="38">
        <f t="shared" si="11"/>
        <v>390</v>
      </c>
      <c r="C400" s="11">
        <f t="shared" si="12"/>
        <v>29623.08516909894</v>
      </c>
      <c r="D400" s="11">
        <f t="shared" si="7"/>
        <v>179.06915109690001</v>
      </c>
      <c r="E400" s="11">
        <f t="shared" si="8"/>
        <v>29802.154320195841</v>
      </c>
      <c r="F400" s="11">
        <f t="shared" si="9"/>
        <v>871.72044073873394</v>
      </c>
      <c r="G400" s="11">
        <f t="shared" si="13"/>
        <v>1050.7895918356339</v>
      </c>
      <c r="H400" s="11">
        <f t="shared" si="10"/>
        <v>28751.364728360208</v>
      </c>
      <c r="I400" s="13"/>
      <c r="J400" s="13"/>
      <c r="K400" s="13"/>
      <c r="L400" s="13"/>
      <c r="M400" s="13"/>
      <c r="N400" s="13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75" customHeight="1">
      <c r="A401" s="37"/>
      <c r="B401" s="38">
        <f t="shared" si="11"/>
        <v>391</v>
      </c>
      <c r="C401" s="11">
        <f t="shared" si="12"/>
        <v>28751.364728360208</v>
      </c>
      <c r="D401" s="11">
        <f t="shared" si="7"/>
        <v>173.79967162081448</v>
      </c>
      <c r="E401" s="11">
        <f t="shared" si="8"/>
        <v>28925.164399981022</v>
      </c>
      <c r="F401" s="11">
        <f t="shared" si="9"/>
        <v>876.98992021481945</v>
      </c>
      <c r="G401" s="11">
        <f t="shared" si="13"/>
        <v>1050.7895918356339</v>
      </c>
      <c r="H401" s="11">
        <f t="shared" si="10"/>
        <v>27874.374808145389</v>
      </c>
      <c r="I401" s="13"/>
      <c r="J401" s="13"/>
      <c r="K401" s="13"/>
      <c r="L401" s="13"/>
      <c r="M401" s="13"/>
      <c r="N401" s="13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75" customHeight="1">
      <c r="A402" s="37"/>
      <c r="B402" s="38">
        <f t="shared" si="11"/>
        <v>392</v>
      </c>
      <c r="C402" s="11">
        <f t="shared" si="12"/>
        <v>27874.374808145389</v>
      </c>
      <c r="D402" s="11">
        <f t="shared" si="7"/>
        <v>168.49833856799586</v>
      </c>
      <c r="E402" s="11">
        <f t="shared" si="8"/>
        <v>28042.873146713384</v>
      </c>
      <c r="F402" s="11">
        <f t="shared" si="9"/>
        <v>882.29125326763801</v>
      </c>
      <c r="G402" s="11">
        <f t="shared" si="13"/>
        <v>1050.7895918356339</v>
      </c>
      <c r="H402" s="11">
        <f t="shared" si="10"/>
        <v>26992.08355487775</v>
      </c>
      <c r="I402" s="13"/>
      <c r="J402" s="13"/>
      <c r="K402" s="13"/>
      <c r="L402" s="13"/>
      <c r="M402" s="13"/>
      <c r="N402" s="13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75" customHeight="1">
      <c r="A403" s="37"/>
      <c r="B403" s="38">
        <f t="shared" si="11"/>
        <v>393</v>
      </c>
      <c r="C403" s="11">
        <f t="shared" si="12"/>
        <v>26992.08355487775</v>
      </c>
      <c r="D403" s="11">
        <f t="shared" si="7"/>
        <v>163.16495938615211</v>
      </c>
      <c r="E403" s="11">
        <f t="shared" si="8"/>
        <v>27155.248514263902</v>
      </c>
      <c r="F403" s="11">
        <f t="shared" si="9"/>
        <v>887.62463244948185</v>
      </c>
      <c r="G403" s="11">
        <f t="shared" si="13"/>
        <v>1050.7895918356339</v>
      </c>
      <c r="H403" s="11">
        <f t="shared" si="10"/>
        <v>26104.458922428268</v>
      </c>
      <c r="I403" s="13"/>
      <c r="J403" s="13"/>
      <c r="K403" s="13"/>
      <c r="L403" s="13"/>
      <c r="M403" s="13"/>
      <c r="N403" s="13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75" customHeight="1">
      <c r="A404" s="37"/>
      <c r="B404" s="38">
        <f t="shared" si="11"/>
        <v>394</v>
      </c>
      <c r="C404" s="11">
        <f t="shared" si="12"/>
        <v>26104.458922428268</v>
      </c>
      <c r="D404" s="11">
        <f t="shared" si="7"/>
        <v>157.79934035902829</v>
      </c>
      <c r="E404" s="11">
        <f t="shared" si="8"/>
        <v>26262.258262787298</v>
      </c>
      <c r="F404" s="11">
        <f t="shared" si="9"/>
        <v>892.99025147660564</v>
      </c>
      <c r="G404" s="11">
        <f t="shared" si="13"/>
        <v>1050.7895918356339</v>
      </c>
      <c r="H404" s="11">
        <f t="shared" si="10"/>
        <v>25211.468670951665</v>
      </c>
      <c r="I404" s="13"/>
      <c r="J404" s="13"/>
      <c r="K404" s="13"/>
      <c r="L404" s="13"/>
      <c r="M404" s="13"/>
      <c r="N404" s="13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75" customHeight="1">
      <c r="A405" s="37"/>
      <c r="B405" s="38">
        <f t="shared" si="11"/>
        <v>395</v>
      </c>
      <c r="C405" s="11">
        <f t="shared" si="12"/>
        <v>25211.468670951665</v>
      </c>
      <c r="D405" s="11">
        <f t="shared" si="7"/>
        <v>152.40128659937034</v>
      </c>
      <c r="E405" s="11">
        <f t="shared" si="8"/>
        <v>25363.869957551036</v>
      </c>
      <c r="F405" s="11">
        <f t="shared" si="9"/>
        <v>898.38830523626359</v>
      </c>
      <c r="G405" s="11">
        <f t="shared" si="13"/>
        <v>1050.7895918356339</v>
      </c>
      <c r="H405" s="11">
        <f t="shared" si="10"/>
        <v>24313.080365715403</v>
      </c>
      <c r="I405" s="13"/>
      <c r="J405" s="13"/>
      <c r="K405" s="13"/>
      <c r="L405" s="13"/>
      <c r="M405" s="13"/>
      <c r="N405" s="13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75" customHeight="1">
      <c r="A406" s="37"/>
      <c r="B406" s="38">
        <f t="shared" si="11"/>
        <v>396</v>
      </c>
      <c r="C406" s="11">
        <f t="shared" si="12"/>
        <v>24313.080365715403</v>
      </c>
      <c r="D406" s="11">
        <f t="shared" si="7"/>
        <v>146.97060204184646</v>
      </c>
      <c r="E406" s="11">
        <f t="shared" si="8"/>
        <v>24460.050967757248</v>
      </c>
      <c r="F406" s="11">
        <f t="shared" si="9"/>
        <v>903.81898979378752</v>
      </c>
      <c r="G406" s="11">
        <f t="shared" si="13"/>
        <v>1050.7895918356339</v>
      </c>
      <c r="H406" s="11">
        <f t="shared" si="10"/>
        <v>23409.261375921615</v>
      </c>
      <c r="I406" s="13"/>
      <c r="J406" s="13"/>
      <c r="K406" s="13"/>
      <c r="L406" s="13"/>
      <c r="M406" s="13"/>
      <c r="N406" s="13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75" customHeight="1">
      <c r="A407" s="37"/>
      <c r="B407" s="38">
        <f t="shared" si="11"/>
        <v>397</v>
      </c>
      <c r="C407" s="11">
        <f t="shared" si="12"/>
        <v>23409.261375921615</v>
      </c>
      <c r="D407" s="11">
        <f t="shared" si="7"/>
        <v>141.50708943592588</v>
      </c>
      <c r="E407" s="11">
        <f t="shared" si="8"/>
        <v>23550.768465357542</v>
      </c>
      <c r="F407" s="11">
        <f t="shared" si="9"/>
        <v>909.28250239970805</v>
      </c>
      <c r="G407" s="11">
        <f t="shared" si="13"/>
        <v>1050.7895918356339</v>
      </c>
      <c r="H407" s="11">
        <f t="shared" si="10"/>
        <v>22499.978873521908</v>
      </c>
      <c r="I407" s="13"/>
      <c r="J407" s="13"/>
      <c r="K407" s="13"/>
      <c r="L407" s="13"/>
      <c r="M407" s="13"/>
      <c r="N407" s="13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75" customHeight="1">
      <c r="A408" s="37"/>
      <c r="B408" s="38">
        <f t="shared" si="11"/>
        <v>398</v>
      </c>
      <c r="C408" s="11">
        <f t="shared" si="12"/>
        <v>22499.978873521908</v>
      </c>
      <c r="D408" s="11">
        <f t="shared" si="7"/>
        <v>136.0105503387143</v>
      </c>
      <c r="E408" s="11">
        <f t="shared" si="8"/>
        <v>22635.989423860621</v>
      </c>
      <c r="F408" s="11">
        <f t="shared" si="9"/>
        <v>914.7790414969196</v>
      </c>
      <c r="G408" s="11">
        <f t="shared" si="13"/>
        <v>1050.7895918356339</v>
      </c>
      <c r="H408" s="11">
        <f t="shared" si="10"/>
        <v>21585.199832024988</v>
      </c>
      <c r="I408" s="13"/>
      <c r="J408" s="13"/>
      <c r="K408" s="13"/>
      <c r="L408" s="13"/>
      <c r="M408" s="13"/>
      <c r="N408" s="13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75" customHeight="1">
      <c r="A409" s="37"/>
      <c r="B409" s="38">
        <f t="shared" si="11"/>
        <v>399</v>
      </c>
      <c r="C409" s="11">
        <f t="shared" si="12"/>
        <v>21585.199832024988</v>
      </c>
      <c r="D409" s="11">
        <f t="shared" si="7"/>
        <v>130.48078510774621</v>
      </c>
      <c r="E409" s="11">
        <f t="shared" si="8"/>
        <v>21715.680617132733</v>
      </c>
      <c r="F409" s="11">
        <f t="shared" si="9"/>
        <v>920.30880672788771</v>
      </c>
      <c r="G409" s="11">
        <f t="shared" si="13"/>
        <v>1050.7895918356339</v>
      </c>
      <c r="H409" s="11">
        <f t="shared" si="10"/>
        <v>20664.8910252971</v>
      </c>
      <c r="I409" s="13"/>
      <c r="J409" s="13"/>
      <c r="K409" s="13"/>
      <c r="L409" s="13"/>
      <c r="M409" s="13"/>
      <c r="N409" s="13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75" customHeight="1">
      <c r="A410" s="37"/>
      <c r="B410" s="38">
        <f t="shared" si="11"/>
        <v>400</v>
      </c>
      <c r="C410" s="11">
        <f t="shared" si="12"/>
        <v>20664.8910252971</v>
      </c>
      <c r="D410" s="11">
        <f t="shared" si="7"/>
        <v>124.91759289373361</v>
      </c>
      <c r="E410" s="11">
        <f t="shared" si="8"/>
        <v>20789.808618190833</v>
      </c>
      <c r="F410" s="11">
        <f t="shared" si="9"/>
        <v>925.8719989419003</v>
      </c>
      <c r="G410" s="11">
        <f t="shared" si="13"/>
        <v>1050.7895918356339</v>
      </c>
      <c r="H410" s="11">
        <f t="shared" si="10"/>
        <v>19739.019026355199</v>
      </c>
      <c r="I410" s="13"/>
      <c r="J410" s="13"/>
      <c r="K410" s="13"/>
      <c r="L410" s="13"/>
      <c r="M410" s="13"/>
      <c r="N410" s="13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75" customHeight="1">
      <c r="A411" s="37"/>
      <c r="B411" s="38">
        <f t="shared" si="11"/>
        <v>401</v>
      </c>
      <c r="C411" s="11">
        <f t="shared" si="12"/>
        <v>19739.019026355199</v>
      </c>
      <c r="D411" s="11">
        <f t="shared" si="7"/>
        <v>119.32077163327071</v>
      </c>
      <c r="E411" s="11">
        <f t="shared" si="8"/>
        <v>19858.339797988468</v>
      </c>
      <c r="F411" s="11">
        <f t="shared" si="9"/>
        <v>931.46882020236319</v>
      </c>
      <c r="G411" s="11">
        <f t="shared" si="13"/>
        <v>1050.7895918356339</v>
      </c>
      <c r="H411" s="11">
        <f t="shared" si="10"/>
        <v>18807.550206152835</v>
      </c>
      <c r="I411" s="13"/>
      <c r="J411" s="13"/>
      <c r="K411" s="13"/>
      <c r="L411" s="13"/>
      <c r="M411" s="13"/>
      <c r="N411" s="13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75" customHeight="1">
      <c r="A412" s="37"/>
      <c r="B412" s="38">
        <f t="shared" si="11"/>
        <v>402</v>
      </c>
      <c r="C412" s="11">
        <f t="shared" si="12"/>
        <v>18807.550206152835</v>
      </c>
      <c r="D412" s="11">
        <f t="shared" si="7"/>
        <v>113.69011804149488</v>
      </c>
      <c r="E412" s="11">
        <f t="shared" si="8"/>
        <v>18921.240324194328</v>
      </c>
      <c r="F412" s="11">
        <f t="shared" si="9"/>
        <v>937.09947379413904</v>
      </c>
      <c r="G412" s="11">
        <f t="shared" si="13"/>
        <v>1050.7895918356339</v>
      </c>
      <c r="H412" s="11">
        <f t="shared" si="10"/>
        <v>17870.450732358695</v>
      </c>
      <c r="I412" s="13"/>
      <c r="J412" s="13"/>
      <c r="K412" s="13"/>
      <c r="L412" s="13"/>
      <c r="M412" s="13"/>
      <c r="N412" s="13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75" customHeight="1">
      <c r="A413" s="37"/>
      <c r="B413" s="38">
        <f t="shared" si="11"/>
        <v>403</v>
      </c>
      <c r="C413" s="11">
        <f t="shared" si="12"/>
        <v>17870.450732358695</v>
      </c>
      <c r="D413" s="11">
        <f t="shared" si="7"/>
        <v>108.02542760470293</v>
      </c>
      <c r="E413" s="11">
        <f t="shared" si="8"/>
        <v>17978.476159963397</v>
      </c>
      <c r="F413" s="11">
        <f t="shared" si="9"/>
        <v>942.76416423093099</v>
      </c>
      <c r="G413" s="11">
        <f t="shared" si="13"/>
        <v>1050.7895918356339</v>
      </c>
      <c r="H413" s="11">
        <f t="shared" si="10"/>
        <v>16927.686568127763</v>
      </c>
      <c r="I413" s="13"/>
      <c r="J413" s="13"/>
      <c r="K413" s="13"/>
      <c r="L413" s="13"/>
      <c r="M413" s="13"/>
      <c r="N413" s="13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75" customHeight="1">
      <c r="A414" s="37"/>
      <c r="B414" s="38">
        <f t="shared" si="11"/>
        <v>404</v>
      </c>
      <c r="C414" s="11">
        <f t="shared" si="12"/>
        <v>16927.686568127763</v>
      </c>
      <c r="D414" s="11">
        <f t="shared" si="7"/>
        <v>102.32649457292288</v>
      </c>
      <c r="E414" s="11">
        <f t="shared" si="8"/>
        <v>17030.013062700687</v>
      </c>
      <c r="F414" s="11">
        <f t="shared" si="9"/>
        <v>948.46309726271102</v>
      </c>
      <c r="G414" s="11">
        <f t="shared" si="13"/>
        <v>1050.7895918356339</v>
      </c>
      <c r="H414" s="11">
        <f t="shared" si="10"/>
        <v>15979.223470865054</v>
      </c>
      <c r="I414" s="13"/>
      <c r="J414" s="13"/>
      <c r="K414" s="13"/>
      <c r="L414" s="13"/>
      <c r="M414" s="13"/>
      <c r="N414" s="13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75" customHeight="1">
      <c r="A415" s="37"/>
      <c r="B415" s="38">
        <f t="shared" si="11"/>
        <v>405</v>
      </c>
      <c r="C415" s="11">
        <f t="shared" si="12"/>
        <v>15979.223470865054</v>
      </c>
      <c r="D415" s="11">
        <f t="shared" si="7"/>
        <v>96.593111952440893</v>
      </c>
      <c r="E415" s="11">
        <f t="shared" si="8"/>
        <v>16075.816582817495</v>
      </c>
      <c r="F415" s="11">
        <f t="shared" si="9"/>
        <v>954.19647988319298</v>
      </c>
      <c r="G415" s="11">
        <f t="shared" si="13"/>
        <v>1050.7895918356339</v>
      </c>
      <c r="H415" s="11">
        <f t="shared" si="10"/>
        <v>15025.026990981862</v>
      </c>
      <c r="I415" s="13"/>
      <c r="J415" s="13"/>
      <c r="K415" s="13"/>
      <c r="L415" s="13"/>
      <c r="M415" s="13"/>
      <c r="N415" s="13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75" customHeight="1">
      <c r="A416" s="37"/>
      <c r="B416" s="38">
        <f t="shared" si="11"/>
        <v>406</v>
      </c>
      <c r="C416" s="11">
        <f t="shared" si="12"/>
        <v>15025.026990981862</v>
      </c>
      <c r="D416" s="11">
        <f t="shared" si="7"/>
        <v>90.825071498282796</v>
      </c>
      <c r="E416" s="11">
        <f t="shared" si="8"/>
        <v>15115.852062480144</v>
      </c>
      <c r="F416" s="11">
        <f t="shared" si="9"/>
        <v>959.96452033735113</v>
      </c>
      <c r="G416" s="11">
        <f t="shared" si="13"/>
        <v>1050.7895918356339</v>
      </c>
      <c r="H416" s="11">
        <f t="shared" si="10"/>
        <v>14065.062470644511</v>
      </c>
      <c r="I416" s="13"/>
      <c r="J416" s="13"/>
      <c r="K416" s="13"/>
      <c r="L416" s="13"/>
      <c r="M416" s="13"/>
      <c r="N416" s="13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75" customHeight="1">
      <c r="A417" s="37"/>
      <c r="B417" s="38">
        <f t="shared" si="11"/>
        <v>407</v>
      </c>
      <c r="C417" s="11">
        <f t="shared" si="12"/>
        <v>14065.062470644511</v>
      </c>
      <c r="D417" s="11">
        <f t="shared" si="7"/>
        <v>85.02216370665046</v>
      </c>
      <c r="E417" s="11">
        <f t="shared" si="8"/>
        <v>14150.08463435116</v>
      </c>
      <c r="F417" s="11">
        <f t="shared" si="9"/>
        <v>965.76742812898351</v>
      </c>
      <c r="G417" s="11">
        <f t="shared" si="13"/>
        <v>1050.7895918356339</v>
      </c>
      <c r="H417" s="11">
        <f t="shared" si="10"/>
        <v>13099.295042515527</v>
      </c>
      <c r="I417" s="13"/>
      <c r="J417" s="13"/>
      <c r="K417" s="13"/>
      <c r="L417" s="13"/>
      <c r="M417" s="13"/>
      <c r="N417" s="13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75" customHeight="1">
      <c r="A418" s="37"/>
      <c r="B418" s="38">
        <f t="shared" si="11"/>
        <v>408</v>
      </c>
      <c r="C418" s="11">
        <f t="shared" si="12"/>
        <v>13099.295042515527</v>
      </c>
      <c r="D418" s="11">
        <f t="shared" si="7"/>
        <v>79.184177807312281</v>
      </c>
      <c r="E418" s="11">
        <f t="shared" si="8"/>
        <v>13178.479220322839</v>
      </c>
      <c r="F418" s="11">
        <f t="shared" si="9"/>
        <v>971.60541402832166</v>
      </c>
      <c r="G418" s="11">
        <f t="shared" si="13"/>
        <v>1050.7895918356339</v>
      </c>
      <c r="H418" s="11">
        <f t="shared" si="10"/>
        <v>12127.689628487205</v>
      </c>
      <c r="I418" s="13"/>
      <c r="J418" s="13"/>
      <c r="K418" s="13"/>
      <c r="L418" s="13"/>
      <c r="M418" s="13"/>
      <c r="N418" s="13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75" customHeight="1">
      <c r="A419" s="37"/>
      <c r="B419" s="38">
        <f t="shared" si="11"/>
        <v>409</v>
      </c>
      <c r="C419" s="11">
        <f t="shared" si="12"/>
        <v>12127.689628487205</v>
      </c>
      <c r="D419" s="11">
        <f t="shared" si="7"/>
        <v>73.310901755947654</v>
      </c>
      <c r="E419" s="11">
        <f t="shared" si="8"/>
        <v>12201.000530243153</v>
      </c>
      <c r="F419" s="11">
        <f t="shared" si="9"/>
        <v>977.47869007968632</v>
      </c>
      <c r="G419" s="11">
        <f t="shared" si="13"/>
        <v>1050.7895918356339</v>
      </c>
      <c r="H419" s="11">
        <f t="shared" si="10"/>
        <v>11150.210938407519</v>
      </c>
      <c r="I419" s="13"/>
      <c r="J419" s="13"/>
      <c r="K419" s="13"/>
      <c r="L419" s="13"/>
      <c r="M419" s="13"/>
      <c r="N419" s="13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75" customHeight="1">
      <c r="A420" s="37"/>
      <c r="B420" s="38">
        <f t="shared" si="11"/>
        <v>410</v>
      </c>
      <c r="C420" s="11">
        <f t="shared" si="12"/>
        <v>11150.210938407519</v>
      </c>
      <c r="D420" s="11">
        <f t="shared" si="7"/>
        <v>67.402122226445215</v>
      </c>
      <c r="E420" s="11">
        <f t="shared" si="8"/>
        <v>11217.613060633965</v>
      </c>
      <c r="F420" s="11">
        <f t="shared" si="9"/>
        <v>983.38746960918866</v>
      </c>
      <c r="G420" s="11">
        <f t="shared" si="13"/>
        <v>1050.7895918356339</v>
      </c>
      <c r="H420" s="11">
        <f t="shared" si="10"/>
        <v>10166.823468798331</v>
      </c>
      <c r="I420" s="13"/>
      <c r="J420" s="13"/>
      <c r="K420" s="13"/>
      <c r="L420" s="13"/>
      <c r="M420" s="13"/>
      <c r="N420" s="13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75" customHeight="1">
      <c r="A421" s="37"/>
      <c r="B421" s="38">
        <f t="shared" si="11"/>
        <v>411</v>
      </c>
      <c r="C421" s="11">
        <f t="shared" si="12"/>
        <v>10166.823468798331</v>
      </c>
      <c r="D421" s="11">
        <f t="shared" si="7"/>
        <v>61.457624603154542</v>
      </c>
      <c r="E421" s="11">
        <f t="shared" si="8"/>
        <v>10228.281093401485</v>
      </c>
      <c r="F421" s="11">
        <f t="shared" si="9"/>
        <v>989.33196723247943</v>
      </c>
      <c r="G421" s="11">
        <f t="shared" si="13"/>
        <v>1050.7895918356339</v>
      </c>
      <c r="H421" s="11">
        <f t="shared" si="10"/>
        <v>9177.4915015658516</v>
      </c>
      <c r="I421" s="13"/>
      <c r="J421" s="13"/>
      <c r="K421" s="13"/>
      <c r="L421" s="13"/>
      <c r="M421" s="13"/>
      <c r="N421" s="13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75" customHeight="1">
      <c r="A422" s="37"/>
      <c r="B422" s="38">
        <f t="shared" si="11"/>
        <v>412</v>
      </c>
      <c r="C422" s="11">
        <f t="shared" si="12"/>
        <v>9177.4915015658516</v>
      </c>
      <c r="D422" s="11">
        <f t="shared" si="7"/>
        <v>55.477192973090972</v>
      </c>
      <c r="E422" s="11">
        <f t="shared" si="8"/>
        <v>9232.9686945389421</v>
      </c>
      <c r="F422" s="11">
        <f t="shared" si="9"/>
        <v>995.31239886254298</v>
      </c>
      <c r="G422" s="11">
        <f t="shared" si="13"/>
        <v>1050.7895918356339</v>
      </c>
      <c r="H422" s="11">
        <f t="shared" si="10"/>
        <v>8182.1791027033087</v>
      </c>
      <c r="I422" s="13"/>
      <c r="J422" s="13"/>
      <c r="K422" s="13"/>
      <c r="L422" s="13"/>
      <c r="M422" s="13"/>
      <c r="N422" s="13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75" customHeight="1">
      <c r="A423" s="37"/>
      <c r="B423" s="38">
        <f t="shared" si="11"/>
        <v>413</v>
      </c>
      <c r="C423" s="11">
        <f t="shared" si="12"/>
        <v>8182.1791027033087</v>
      </c>
      <c r="D423" s="11">
        <f t="shared" si="7"/>
        <v>49.460610118093363</v>
      </c>
      <c r="E423" s="11">
        <f t="shared" si="8"/>
        <v>8231.6397128214012</v>
      </c>
      <c r="F423" s="11">
        <f t="shared" si="9"/>
        <v>1001.3289817175406</v>
      </c>
      <c r="G423" s="11">
        <f t="shared" si="13"/>
        <v>1050.7895918356339</v>
      </c>
      <c r="H423" s="11">
        <f t="shared" si="10"/>
        <v>7180.8501209857677</v>
      </c>
      <c r="I423" s="13"/>
      <c r="J423" s="13"/>
      <c r="K423" s="13"/>
      <c r="L423" s="13"/>
      <c r="M423" s="13"/>
      <c r="N423" s="13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75" customHeight="1">
      <c r="A424" s="37"/>
      <c r="B424" s="38">
        <f t="shared" si="11"/>
        <v>414</v>
      </c>
      <c r="C424" s="11">
        <f t="shared" si="12"/>
        <v>7180.8501209857677</v>
      </c>
      <c r="D424" s="11">
        <f t="shared" si="7"/>
        <v>43.407657506934349</v>
      </c>
      <c r="E424" s="11">
        <f t="shared" si="8"/>
        <v>7224.2577784927016</v>
      </c>
      <c r="F424" s="11">
        <f t="shared" si="9"/>
        <v>1007.3819343286996</v>
      </c>
      <c r="G424" s="11">
        <f t="shared" si="13"/>
        <v>1050.7895918356339</v>
      </c>
      <c r="H424" s="11">
        <f t="shared" si="10"/>
        <v>6173.4681866570681</v>
      </c>
      <c r="I424" s="13"/>
      <c r="J424" s="13"/>
      <c r="K424" s="13"/>
      <c r="L424" s="13"/>
      <c r="M424" s="13"/>
      <c r="N424" s="13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75" customHeight="1">
      <c r="A425" s="37"/>
      <c r="B425" s="38">
        <f t="shared" si="11"/>
        <v>415</v>
      </c>
      <c r="C425" s="11">
        <f t="shared" si="12"/>
        <v>6173.4681866570681</v>
      </c>
      <c r="D425" s="11">
        <f t="shared" si="7"/>
        <v>37.318115287383002</v>
      </c>
      <c r="E425" s="11">
        <f t="shared" si="8"/>
        <v>6210.7863019444512</v>
      </c>
      <c r="F425" s="11">
        <f t="shared" si="9"/>
        <v>1013.471476548251</v>
      </c>
      <c r="G425" s="11">
        <f t="shared" si="13"/>
        <v>1050.7895918356339</v>
      </c>
      <c r="H425" s="11">
        <f t="shared" si="10"/>
        <v>5159.9967101088168</v>
      </c>
      <c r="I425" s="13"/>
      <c r="J425" s="13"/>
      <c r="K425" s="13"/>
      <c r="L425" s="13"/>
      <c r="M425" s="13"/>
      <c r="N425" s="13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75" customHeight="1">
      <c r="A426" s="37"/>
      <c r="B426" s="38">
        <f t="shared" si="11"/>
        <v>416</v>
      </c>
      <c r="C426" s="11">
        <f t="shared" si="12"/>
        <v>5159.9967101088168</v>
      </c>
      <c r="D426" s="11">
        <f t="shared" si="7"/>
        <v>31.191762278219461</v>
      </c>
      <c r="E426" s="11">
        <f t="shared" si="8"/>
        <v>5191.1884723870362</v>
      </c>
      <c r="F426" s="11">
        <f t="shared" si="9"/>
        <v>1019.5978295574145</v>
      </c>
      <c r="G426" s="11">
        <f t="shared" si="13"/>
        <v>1050.7895918356339</v>
      </c>
      <c r="H426" s="11">
        <f t="shared" si="10"/>
        <v>4140.3988805514018</v>
      </c>
      <c r="I426" s="13"/>
      <c r="J426" s="13"/>
      <c r="K426" s="13"/>
      <c r="L426" s="13"/>
      <c r="M426" s="13"/>
      <c r="N426" s="13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75" customHeight="1">
      <c r="A427" s="37"/>
      <c r="B427" s="38">
        <f t="shared" si="11"/>
        <v>417</v>
      </c>
      <c r="C427" s="11">
        <f t="shared" si="12"/>
        <v>4140.3988805514018</v>
      </c>
      <c r="D427" s="11">
        <f t="shared" si="7"/>
        <v>25.028375961201299</v>
      </c>
      <c r="E427" s="11">
        <f t="shared" si="8"/>
        <v>4165.427256512603</v>
      </c>
      <c r="F427" s="11">
        <f t="shared" si="9"/>
        <v>1025.7612158744325</v>
      </c>
      <c r="G427" s="11">
        <f t="shared" si="13"/>
        <v>1050.7895918356339</v>
      </c>
      <c r="H427" s="11">
        <f t="shared" si="10"/>
        <v>3114.6376646769691</v>
      </c>
      <c r="I427" s="13"/>
      <c r="J427" s="13"/>
      <c r="K427" s="13"/>
      <c r="L427" s="13"/>
      <c r="M427" s="13"/>
      <c r="N427" s="13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75" customHeight="1">
      <c r="A428" s="37"/>
      <c r="B428" s="38">
        <f t="shared" si="11"/>
        <v>418</v>
      </c>
      <c r="C428" s="11">
        <f t="shared" si="12"/>
        <v>3114.6376646769691</v>
      </c>
      <c r="D428" s="11">
        <f t="shared" si="7"/>
        <v>18.827732472981335</v>
      </c>
      <c r="E428" s="11">
        <f t="shared" si="8"/>
        <v>3133.4653971499506</v>
      </c>
      <c r="F428" s="11">
        <f t="shared" si="9"/>
        <v>1031.9618593626526</v>
      </c>
      <c r="G428" s="11">
        <f t="shared" si="13"/>
        <v>1050.7895918356339</v>
      </c>
      <c r="H428" s="11">
        <f t="shared" si="10"/>
        <v>2082.6758053143167</v>
      </c>
      <c r="I428" s="13"/>
      <c r="J428" s="13"/>
      <c r="K428" s="13"/>
      <c r="L428" s="13"/>
      <c r="M428" s="13"/>
      <c r="N428" s="13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75" customHeight="1">
      <c r="A429" s="37"/>
      <c r="B429" s="38">
        <f t="shared" si="11"/>
        <v>419</v>
      </c>
      <c r="C429" s="11">
        <f t="shared" si="12"/>
        <v>2082.6758053143167</v>
      </c>
      <c r="D429" s="11">
        <f t="shared" si="7"/>
        <v>12.589606596976585</v>
      </c>
      <c r="E429" s="11">
        <f t="shared" si="8"/>
        <v>2095.2654119112931</v>
      </c>
      <c r="F429" s="11">
        <f t="shared" si="9"/>
        <v>1038.1999852386573</v>
      </c>
      <c r="G429" s="11">
        <f t="shared" si="13"/>
        <v>1050.7895918356339</v>
      </c>
      <c r="H429" s="11">
        <f t="shared" si="10"/>
        <v>1044.4758200756592</v>
      </c>
      <c r="I429" s="13"/>
      <c r="J429" s="13"/>
      <c r="K429" s="13"/>
      <c r="L429" s="13"/>
      <c r="M429" s="13"/>
      <c r="N429" s="13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75" customHeight="1">
      <c r="A430" s="37"/>
      <c r="B430" s="38">
        <f t="shared" si="11"/>
        <v>420</v>
      </c>
      <c r="C430" s="11">
        <f t="shared" si="12"/>
        <v>1044.4758200756592</v>
      </c>
      <c r="D430" s="11">
        <f t="shared" si="7"/>
        <v>6.3137717551880446</v>
      </c>
      <c r="E430" s="11">
        <f t="shared" si="8"/>
        <v>1050.7895918308473</v>
      </c>
      <c r="F430" s="11">
        <f t="shared" si="9"/>
        <v>1044.4758200804458</v>
      </c>
      <c r="G430" s="11">
        <f t="shared" si="13"/>
        <v>1050.7895918356339</v>
      </c>
      <c r="H430" s="11">
        <f t="shared" si="10"/>
        <v>-4.7866706154309213E-9</v>
      </c>
      <c r="I430" s="13"/>
      <c r="J430" s="13"/>
      <c r="K430" s="13"/>
      <c r="L430" s="13"/>
      <c r="M430" s="13"/>
      <c r="N430" s="13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75" customHeight="1">
      <c r="A431" s="259"/>
      <c r="B431" s="260"/>
      <c r="C431" s="260"/>
      <c r="D431" s="39">
        <f>SUM(D11:D430)</f>
        <v>281331.62857096264</v>
      </c>
      <c r="E431" s="260"/>
      <c r="F431" s="39">
        <f t="shared" ref="F431:G431" si="14">SUM(F11:F430)</f>
        <v>160000.00000000361</v>
      </c>
      <c r="G431" s="39">
        <f t="shared" si="14"/>
        <v>441331.62857096747</v>
      </c>
      <c r="H431" s="260"/>
      <c r="I431" s="260"/>
      <c r="J431" s="260"/>
      <c r="K431" s="260"/>
      <c r="L431" s="260"/>
      <c r="M431" s="260"/>
      <c r="N431" s="260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</row>
    <row r="432" spans="1:25" ht="15.75" customHeight="1">
      <c r="A432" s="40"/>
      <c r="B432" s="258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41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</row>
    <row r="433" spans="1:25" ht="15.75" customHeight="1">
      <c r="A433" s="40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41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</row>
    <row r="434" spans="1:25" ht="15.75" customHeight="1">
      <c r="A434" s="40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41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</row>
    <row r="435" spans="1:25" ht="15.75" customHeight="1">
      <c r="A435" s="40"/>
      <c r="B435" s="258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41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</row>
    <row r="436" spans="1:25" ht="15.75" customHeight="1">
      <c r="A436" s="40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41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</row>
    <row r="437" spans="1:25" ht="15.75" customHeight="1">
      <c r="A437" s="40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41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</row>
    <row r="438" spans="1:25" ht="15.75" customHeight="1">
      <c r="A438" s="40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41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</row>
    <row r="439" spans="1:25" ht="15.75" customHeight="1">
      <c r="A439" s="40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41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</row>
    <row r="440" spans="1:25" ht="15.75" customHeight="1">
      <c r="A440" s="40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41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</row>
    <row r="441" spans="1:25" ht="15.75" customHeight="1">
      <c r="A441" s="40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41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</row>
    <row r="442" spans="1:25" ht="15.75" customHeight="1">
      <c r="A442" s="40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41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</row>
    <row r="443" spans="1:25" ht="15.75" customHeight="1">
      <c r="A443" s="40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41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</row>
    <row r="444" spans="1:25" ht="15.75" customHeight="1">
      <c r="A444" s="40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41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</row>
    <row r="445" spans="1:25" ht="15.75" customHeight="1">
      <c r="A445" s="40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41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</row>
    <row r="446" spans="1:25" ht="15.75" customHeight="1">
      <c r="A446" s="40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41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</row>
    <row r="447" spans="1:25" ht="15.75" customHeight="1">
      <c r="A447" s="40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41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</row>
    <row r="448" spans="1:25" ht="15.75" customHeight="1">
      <c r="A448" s="40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41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</row>
    <row r="449" spans="1:25" ht="15.75" customHeight="1">
      <c r="A449" s="40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41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</row>
    <row r="450" spans="1:25" ht="15.75" customHeight="1">
      <c r="A450" s="40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41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</row>
    <row r="451" spans="1:25" ht="15.75" customHeight="1">
      <c r="A451" s="40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41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</row>
    <row r="452" spans="1:25" ht="15.75" customHeight="1">
      <c r="A452" s="40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41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</row>
    <row r="453" spans="1:25" ht="15.75" customHeight="1">
      <c r="A453" s="40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41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</row>
    <row r="454" spans="1:25" ht="15.75" customHeight="1">
      <c r="A454" s="40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41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</row>
    <row r="455" spans="1:25" ht="15.75" customHeight="1">
      <c r="A455" s="40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41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</row>
    <row r="456" spans="1:25" ht="15.75" customHeight="1">
      <c r="A456" s="40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41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</row>
    <row r="457" spans="1:25" ht="15.75" customHeight="1">
      <c r="A457" s="40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41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</row>
    <row r="458" spans="1:25" ht="15.75" customHeight="1">
      <c r="A458" s="40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41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</row>
    <row r="459" spans="1:25" ht="15.75" customHeight="1">
      <c r="A459" s="40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41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</row>
    <row r="460" spans="1:25" ht="15.75" customHeight="1">
      <c r="A460" s="40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41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</row>
    <row r="461" spans="1:25" ht="15.75" customHeight="1">
      <c r="A461" s="40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41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</row>
    <row r="462" spans="1:25" ht="15.75" customHeight="1">
      <c r="A462" s="40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41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</row>
    <row r="463" spans="1:25" ht="15.75" customHeight="1">
      <c r="A463" s="40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41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</row>
    <row r="464" spans="1:25" ht="15.75" customHeight="1">
      <c r="A464" s="40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41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</row>
    <row r="465" spans="1:25" ht="15.75" customHeight="1">
      <c r="A465" s="40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41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</row>
    <row r="466" spans="1:25" ht="15.75" customHeight="1">
      <c r="A466" s="40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41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</row>
    <row r="467" spans="1:25" ht="15.75" customHeight="1">
      <c r="A467" s="40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41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</row>
    <row r="468" spans="1:25" ht="15.75" customHeight="1">
      <c r="A468" s="40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41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</row>
    <row r="469" spans="1:25" ht="15.75" customHeight="1">
      <c r="A469" s="40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41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</row>
    <row r="470" spans="1:25" ht="15.75" customHeight="1">
      <c r="A470" s="40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41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</row>
    <row r="471" spans="1:25" ht="15.75" customHeight="1">
      <c r="A471" s="40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41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</row>
    <row r="472" spans="1:25" ht="15.75" customHeight="1">
      <c r="A472" s="40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41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</row>
    <row r="473" spans="1:25" ht="15.75" customHeight="1">
      <c r="A473" s="40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41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</row>
    <row r="474" spans="1:25" ht="15.75" customHeight="1">
      <c r="A474" s="40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41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</row>
    <row r="475" spans="1:25" ht="15.75" customHeight="1">
      <c r="A475" s="40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41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</row>
    <row r="476" spans="1:25" ht="15.75" customHeight="1">
      <c r="A476" s="40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41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</row>
    <row r="477" spans="1:25" ht="15.75" customHeight="1">
      <c r="A477" s="40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41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</row>
    <row r="478" spans="1:25" ht="15.75" customHeight="1">
      <c r="A478" s="40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41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</row>
    <row r="479" spans="1:25" ht="15.75" customHeight="1">
      <c r="A479" s="40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41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</row>
    <row r="480" spans="1:25" ht="15.75" customHeight="1">
      <c r="A480" s="40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41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</row>
    <row r="481" spans="1:25" ht="15.75" customHeight="1">
      <c r="A481" s="40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41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</row>
    <row r="482" spans="1:25" ht="15.75" customHeight="1">
      <c r="A482" s="40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41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</row>
    <row r="483" spans="1:25" ht="15.75" customHeight="1">
      <c r="A483" s="40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41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</row>
    <row r="484" spans="1:25" ht="15.75" customHeight="1">
      <c r="A484" s="40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41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</row>
    <row r="485" spans="1:25" ht="15.75" customHeight="1">
      <c r="A485" s="40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41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</row>
    <row r="486" spans="1:25" ht="15.75" customHeight="1">
      <c r="A486" s="40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41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</row>
    <row r="487" spans="1:25" ht="15.75" customHeight="1">
      <c r="A487" s="40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41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</row>
    <row r="488" spans="1:25" ht="15.75" customHeight="1">
      <c r="A488" s="40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41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</row>
    <row r="489" spans="1:25" ht="15.75" customHeight="1">
      <c r="A489" s="40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41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</row>
    <row r="490" spans="1:25" ht="15.75" customHeight="1">
      <c r="A490" s="40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41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</row>
    <row r="491" spans="1:25" ht="15.75" customHeight="1">
      <c r="A491" s="40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41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</row>
    <row r="492" spans="1:25" ht="15.75" customHeight="1">
      <c r="A492" s="40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41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</row>
    <row r="493" spans="1:25" ht="15.75" customHeight="1">
      <c r="A493" s="40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41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</row>
    <row r="494" spans="1:25" ht="15.75" customHeight="1">
      <c r="A494" s="40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41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</row>
    <row r="495" spans="1:25" ht="15.75" customHeight="1">
      <c r="A495" s="40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41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</row>
    <row r="496" spans="1:25" ht="15.75" customHeight="1">
      <c r="A496" s="40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41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</row>
    <row r="497" spans="1:25" ht="15.75" customHeight="1">
      <c r="A497" s="40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41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</row>
    <row r="498" spans="1:25" ht="15.75" customHeight="1">
      <c r="A498" s="40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41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</row>
    <row r="499" spans="1:25" ht="15.75" customHeight="1">
      <c r="A499" s="40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41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</row>
    <row r="500" spans="1:25" ht="15.75" customHeight="1">
      <c r="A500" s="40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41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</row>
    <row r="501" spans="1:25" ht="15.75" customHeight="1">
      <c r="A501" s="40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41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</row>
    <row r="502" spans="1:25" ht="15.75" customHeight="1">
      <c r="A502" s="40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41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</row>
    <row r="503" spans="1:25" ht="15.75" customHeight="1">
      <c r="A503" s="4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43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5.75" customHeight="1">
      <c r="A504" s="4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43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5.75" customHeight="1">
      <c r="A505" s="4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43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5.75" customHeight="1">
      <c r="A506" s="4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43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5.75" customHeight="1">
      <c r="A507" s="4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43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5.75" customHeight="1">
      <c r="A508" s="4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43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5.75" customHeight="1">
      <c r="A509" s="4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43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5.75" customHeight="1">
      <c r="A510" s="4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43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5.75" customHeight="1">
      <c r="A511" s="4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43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5.75" customHeight="1">
      <c r="A512" s="4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43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5.75" customHeight="1">
      <c r="A513" s="4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43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5.75" customHeight="1">
      <c r="A514" s="4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43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5.75" customHeight="1">
      <c r="A515" s="4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43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5.75" customHeight="1">
      <c r="A516" s="4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43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5.75" customHeight="1">
      <c r="A517" s="4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43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5.75" customHeight="1">
      <c r="A518" s="4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43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5.75" customHeight="1">
      <c r="A519" s="4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43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5.75" customHeight="1">
      <c r="A520" s="4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43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5.75" customHeight="1">
      <c r="A521" s="4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43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5.75" customHeight="1">
      <c r="A522" s="4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43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5.75" customHeight="1">
      <c r="A523" s="4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43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5.75" customHeight="1">
      <c r="A524" s="4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43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5.75" customHeight="1">
      <c r="A525" s="4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43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5.75" customHeight="1">
      <c r="A526" s="4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43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5.75" customHeight="1">
      <c r="A527" s="4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43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5.75" customHeight="1">
      <c r="A528" s="4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43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5.75" customHeight="1">
      <c r="A529" s="4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43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5.75" customHeight="1">
      <c r="A530" s="4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43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5.75" customHeight="1">
      <c r="A531" s="4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43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5.75" customHeight="1">
      <c r="A532" s="4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43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5.75" customHeight="1">
      <c r="A533" s="4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43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5.75" customHeight="1">
      <c r="A534" s="4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43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5.75" customHeight="1">
      <c r="A535" s="4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43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5.75" customHeight="1">
      <c r="A536" s="4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43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5.75" customHeight="1">
      <c r="A537" s="4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43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5.75" customHeight="1">
      <c r="A538" s="4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43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5.75" customHeight="1">
      <c r="A539" s="4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43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5.75" customHeight="1">
      <c r="A540" s="4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43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5.75" customHeight="1">
      <c r="A541" s="4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43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5.75" customHeight="1">
      <c r="A542" s="4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43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5.75" customHeight="1">
      <c r="A543" s="4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43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5.75" customHeight="1">
      <c r="A544" s="4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43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5.75" customHeight="1">
      <c r="A545" s="4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43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5.75" customHeight="1">
      <c r="A546" s="4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43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5.75" customHeight="1">
      <c r="A547" s="4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43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5.75" customHeight="1">
      <c r="A548" s="4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43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5.75" customHeight="1">
      <c r="A549" s="4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43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5.75" customHeight="1">
      <c r="A550" s="4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43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5.75" customHeight="1">
      <c r="A551" s="4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43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5.75" customHeight="1">
      <c r="A552" s="4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43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5.75" customHeight="1">
      <c r="A553" s="4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43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5.75" customHeight="1">
      <c r="A554" s="4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43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5.75" customHeight="1">
      <c r="A555" s="4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43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5.75" customHeight="1">
      <c r="A556" s="4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43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5.75" customHeight="1">
      <c r="A557" s="4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43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5.75" customHeight="1">
      <c r="A558" s="4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43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5.75" customHeight="1">
      <c r="A559" s="4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43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5.75" customHeight="1">
      <c r="A560" s="4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43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5.75" customHeight="1">
      <c r="A561" s="4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43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5.75" customHeight="1">
      <c r="A562" s="4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43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5.75" customHeight="1">
      <c r="A563" s="4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43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5.75" customHeight="1">
      <c r="A564" s="4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43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5.75" customHeight="1">
      <c r="A565" s="4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43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5.75" customHeight="1">
      <c r="A566" s="4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43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5.75" customHeight="1">
      <c r="A567" s="4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43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5.75" customHeight="1">
      <c r="A568" s="4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43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5.75" customHeight="1">
      <c r="A569" s="4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43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5.75" customHeight="1">
      <c r="A570" s="4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43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5.75" customHeight="1">
      <c r="A571" s="4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43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5.75" customHeight="1">
      <c r="A572" s="4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43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5.75" customHeight="1">
      <c r="A573" s="4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43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5.75" customHeight="1">
      <c r="A574" s="4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43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5.75" customHeight="1">
      <c r="A575" s="4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43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5.75" customHeight="1">
      <c r="A576" s="4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43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5.75" customHeight="1">
      <c r="A577" s="4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43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5.75" customHeight="1">
      <c r="A578" s="4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43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5.75" customHeight="1">
      <c r="A579" s="4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43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5.75" customHeight="1">
      <c r="A580" s="4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43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5.75" customHeight="1">
      <c r="A581" s="4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43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5.75" customHeight="1">
      <c r="A582" s="4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43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5.75" customHeight="1">
      <c r="A583" s="4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43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5.75" customHeight="1">
      <c r="A584" s="4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43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5.75" customHeight="1">
      <c r="A585" s="4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43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5.75" customHeight="1">
      <c r="A586" s="4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43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5.75" customHeight="1">
      <c r="A587" s="4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43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5.75" customHeight="1">
      <c r="A588" s="4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43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5.75" customHeight="1">
      <c r="A589" s="4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43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5.75" customHeight="1">
      <c r="A590" s="4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43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5.75" customHeight="1">
      <c r="A591" s="4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43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5.75" customHeight="1">
      <c r="A592" s="4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43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5.75" customHeight="1">
      <c r="A593" s="4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43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5.75" customHeight="1">
      <c r="A594" s="4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43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5.75" customHeight="1">
      <c r="A595" s="4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43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5.75" customHeight="1">
      <c r="A596" s="4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43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5.75" customHeight="1">
      <c r="A597" s="4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43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5.75" customHeight="1">
      <c r="A598" s="4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43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5.75" customHeight="1">
      <c r="A599" s="4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43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5.75" customHeight="1">
      <c r="A600" s="4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43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5.75" customHeight="1">
      <c r="A601" s="4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43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5.75" customHeight="1">
      <c r="A602" s="4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43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5.75" customHeight="1">
      <c r="A603" s="4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43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5.75" customHeight="1">
      <c r="A604" s="4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43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5.75" customHeight="1">
      <c r="A605" s="4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43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5.75" customHeight="1">
      <c r="A606" s="4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43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5.75" customHeight="1">
      <c r="A607" s="4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43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5.75" customHeight="1">
      <c r="A608" s="4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43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5.75" customHeight="1">
      <c r="A609" s="4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43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5.75" customHeight="1">
      <c r="A610" s="4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43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5.75" customHeight="1">
      <c r="A611" s="4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43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5.75" customHeight="1">
      <c r="A612" s="4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43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5.75" customHeight="1">
      <c r="A613" s="4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43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5.75" customHeight="1">
      <c r="A614" s="4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43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5.75" customHeight="1">
      <c r="A615" s="4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43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5.75" customHeight="1">
      <c r="A616" s="4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43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5.75" customHeight="1">
      <c r="A617" s="4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43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5.75" customHeight="1">
      <c r="A618" s="4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43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5.75" customHeight="1">
      <c r="A619" s="4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43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5.75" customHeight="1">
      <c r="A620" s="4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43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5.75" customHeight="1">
      <c r="A621" s="4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43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5.75" customHeight="1">
      <c r="A622" s="4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43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5.75" customHeight="1">
      <c r="A623" s="4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43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5.75" customHeight="1">
      <c r="A624" s="4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43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5.75" customHeight="1">
      <c r="A625" s="4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43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5.75" customHeight="1">
      <c r="A626" s="4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5.75" customHeight="1">
      <c r="A627" s="4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5.75" customHeight="1">
      <c r="A628" s="4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5.75" customHeight="1">
      <c r="A629" s="4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5.75" customHeight="1">
      <c r="A630" s="4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5.75" customHeight="1">
      <c r="A631" s="4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</row>
    <row r="633" spans="1:25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</row>
    <row r="634" spans="1:25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</row>
    <row r="635" spans="1:2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</row>
    <row r="636" spans="1:25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</row>
    <row r="637" spans="1:25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</row>
    <row r="638" spans="1:25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</row>
    <row r="639" spans="1:25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</row>
    <row r="640" spans="1:25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3"/>
  </mergeCells>
  <conditionalFormatting sqref="B1:J1 C2:J3">
    <cfRule type="cellIs" dxfId="11" priority="1" operator="lessThan">
      <formula>0</formula>
    </cfRule>
  </conditionalFormatting>
  <hyperlinks>
    <hyperlink ref="B1" r:id="rId1" xr:uid="{00000000-0004-0000-08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639B"/>
    <outlinePr summaryBelow="0" summaryRight="0"/>
  </sheetPr>
  <dimension ref="A1:AV1000"/>
  <sheetViews>
    <sheetView showGridLines="0" workbookViewId="0">
      <pane ySplit="11" topLeftCell="A12" activePane="bottomLeft" state="frozen"/>
      <selection pane="bottomLeft" activeCell="B13" sqref="B13"/>
    </sheetView>
  </sheetViews>
  <sheetFormatPr defaultColWidth="12.7109375" defaultRowHeight="15" customHeight="1"/>
  <cols>
    <col min="2" max="48" width="9.7109375" customWidth="1"/>
  </cols>
  <sheetData>
    <row r="1" spans="1:48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30"/>
      <c r="M1" s="30"/>
      <c r="N1" s="30"/>
      <c r="O1" s="30"/>
      <c r="P1" s="30"/>
      <c r="Q1" s="30"/>
      <c r="R1" s="30"/>
      <c r="S1" s="30"/>
      <c r="T1" s="30"/>
      <c r="U1" s="3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</row>
    <row r="2" spans="1:48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44"/>
      <c r="N2" s="30"/>
      <c r="O2" s="30"/>
      <c r="P2" s="30"/>
      <c r="Q2" s="30"/>
      <c r="R2" s="30"/>
      <c r="S2" s="30"/>
      <c r="T2" s="30"/>
      <c r="U2" s="3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</row>
    <row r="3" spans="1:48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44"/>
      <c r="L3" s="44"/>
      <c r="M3" s="30"/>
      <c r="N3" s="30"/>
      <c r="O3" s="30"/>
      <c r="P3" s="30"/>
      <c r="Q3" s="30"/>
      <c r="R3" s="30"/>
      <c r="S3" s="30"/>
      <c r="T3" s="30"/>
      <c r="U3" s="3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</row>
    <row r="4" spans="1:48" ht="15.75" customHeight="1">
      <c r="A4" s="212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</row>
    <row r="5" spans="1:48" ht="15.75" customHeight="1">
      <c r="A5" s="35"/>
      <c r="B5" s="252" t="s">
        <v>61</v>
      </c>
      <c r="C5" s="261"/>
      <c r="D5" s="261"/>
      <c r="E5" s="261"/>
      <c r="F5" s="261"/>
      <c r="G5" s="261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6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</row>
    <row r="6" spans="1:48" ht="15.75" customHeight="1">
      <c r="A6" s="35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6"/>
      <c r="Q6" s="36"/>
      <c r="R6" s="36"/>
      <c r="S6" s="213"/>
      <c r="T6" s="213"/>
      <c r="U6" s="4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 spans="1:48" ht="15.75" customHeight="1">
      <c r="A7" s="35"/>
      <c r="B7" s="32"/>
      <c r="C7" s="6" t="s">
        <v>5</v>
      </c>
      <c r="D7" s="30"/>
      <c r="E7" s="6" t="s">
        <v>5</v>
      </c>
      <c r="F7" s="30"/>
      <c r="G7" s="6" t="s">
        <v>62</v>
      </c>
      <c r="H7" s="240" t="s">
        <v>5</v>
      </c>
      <c r="I7" s="30"/>
      <c r="J7" s="30"/>
      <c r="K7" s="240" t="s">
        <v>5</v>
      </c>
      <c r="L7" s="35"/>
      <c r="M7" s="35"/>
      <c r="N7" s="30"/>
      <c r="O7" s="35"/>
      <c r="P7" s="30"/>
      <c r="Q7" s="30"/>
      <c r="R7" s="30"/>
      <c r="S7" s="213"/>
      <c r="T7" s="46" t="s">
        <v>63</v>
      </c>
      <c r="U7" s="4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47"/>
      <c r="AQ7" s="47"/>
      <c r="AR7" s="35"/>
      <c r="AS7" s="35"/>
      <c r="AT7" s="35"/>
      <c r="AU7" s="35"/>
      <c r="AV7" s="35"/>
    </row>
    <row r="8" spans="1:48" ht="15.75" customHeight="1">
      <c r="A8" s="35"/>
      <c r="B8" s="255" t="s">
        <v>64</v>
      </c>
      <c r="C8" s="262">
        <f>AVERAGE(AV:AV)</f>
        <v>309007.5</v>
      </c>
      <c r="D8" s="255" t="s">
        <v>65</v>
      </c>
      <c r="E8" s="262">
        <f>AVERAGE(AT:AT)</f>
        <v>9633.5470085470079</v>
      </c>
      <c r="F8" s="263" t="s">
        <v>66</v>
      </c>
      <c r="G8" s="238"/>
      <c r="H8" s="48">
        <v>9242</v>
      </c>
      <c r="I8" s="263" t="s">
        <v>67</v>
      </c>
      <c r="J8" s="238"/>
      <c r="K8" s="48">
        <v>9784.16</v>
      </c>
      <c r="L8" s="35"/>
      <c r="M8" s="35"/>
      <c r="N8" s="35"/>
      <c r="O8" s="35"/>
      <c r="P8" s="30"/>
      <c r="Q8" s="30"/>
      <c r="R8" s="30"/>
      <c r="S8" s="49"/>
      <c r="T8" s="264" t="s">
        <v>68</v>
      </c>
      <c r="U8" s="238"/>
      <c r="V8" s="238"/>
      <c r="W8" s="238"/>
      <c r="X8" s="238"/>
      <c r="Y8" s="238"/>
      <c r="Z8" s="238"/>
      <c r="AA8" s="238"/>
      <c r="AB8" s="238"/>
      <c r="AC8" s="238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</row>
    <row r="9" spans="1:48" ht="15.75" customHeight="1">
      <c r="A9" s="35"/>
      <c r="B9" s="36"/>
      <c r="C9" s="36"/>
      <c r="D9" s="30"/>
      <c r="E9" s="30"/>
      <c r="F9" s="30"/>
      <c r="G9" s="30"/>
      <c r="H9" s="32"/>
      <c r="I9" s="11"/>
      <c r="J9" s="11"/>
      <c r="K9" s="11"/>
      <c r="L9" s="11"/>
      <c r="M9" s="11"/>
      <c r="N9" s="36"/>
      <c r="O9" s="30"/>
      <c r="P9" s="30"/>
      <c r="Q9" s="30"/>
      <c r="R9" s="30"/>
      <c r="S9" s="50"/>
      <c r="T9" s="51">
        <f>100*R12</f>
        <v>2600</v>
      </c>
      <c r="U9" s="52">
        <v>4500</v>
      </c>
      <c r="V9" s="52">
        <v>500</v>
      </c>
      <c r="W9" s="52">
        <v>1500</v>
      </c>
      <c r="X9" s="52">
        <v>500</v>
      </c>
      <c r="Y9" s="52">
        <v>2500</v>
      </c>
      <c r="Z9" s="52">
        <v>8000</v>
      </c>
      <c r="AA9" s="52">
        <v>1000</v>
      </c>
      <c r="AB9" s="52">
        <v>1000</v>
      </c>
      <c r="AC9" s="53">
        <v>1000</v>
      </c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</row>
    <row r="10" spans="1:48" ht="15.75" customHeight="1">
      <c r="A10" s="35"/>
      <c r="B10" s="265" t="s">
        <v>69</v>
      </c>
      <c r="C10" s="238"/>
      <c r="D10" s="238"/>
      <c r="E10" s="238"/>
      <c r="F10" s="238"/>
      <c r="G10" s="238"/>
      <c r="H10" s="266" t="s">
        <v>70</v>
      </c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67"/>
      <c r="T10" s="264" t="s">
        <v>71</v>
      </c>
      <c r="U10" s="238"/>
      <c r="V10" s="238"/>
      <c r="W10" s="238"/>
      <c r="X10" s="238"/>
      <c r="Y10" s="238"/>
      <c r="Z10" s="238"/>
      <c r="AA10" s="238"/>
      <c r="AB10" s="238"/>
      <c r="AC10" s="238"/>
      <c r="AD10" s="266" t="s">
        <v>72</v>
      </c>
      <c r="AE10" s="238"/>
      <c r="AF10" s="238"/>
      <c r="AG10" s="238"/>
      <c r="AH10" s="238"/>
      <c r="AI10" s="238"/>
      <c r="AJ10" s="238"/>
      <c r="AK10" s="238"/>
      <c r="AL10" s="238"/>
      <c r="AM10" s="264" t="s">
        <v>73</v>
      </c>
      <c r="AN10" s="238"/>
      <c r="AO10" s="238"/>
      <c r="AP10" s="238"/>
      <c r="AQ10" s="238"/>
      <c r="AR10" s="238"/>
      <c r="AS10" s="238"/>
      <c r="AT10" s="238"/>
      <c r="AU10" s="238"/>
      <c r="AV10" s="267"/>
    </row>
    <row r="11" spans="1:48" ht="15.75" customHeight="1">
      <c r="A11" s="35"/>
      <c r="B11" s="268" t="s">
        <v>74</v>
      </c>
      <c r="C11" s="256" t="s">
        <v>75</v>
      </c>
      <c r="D11" s="256" t="s">
        <v>76</v>
      </c>
      <c r="E11" s="268" t="s">
        <v>77</v>
      </c>
      <c r="F11" s="268" t="s">
        <v>78</v>
      </c>
      <c r="G11" s="268" t="s">
        <v>79</v>
      </c>
      <c r="H11" s="255" t="s">
        <v>80</v>
      </c>
      <c r="I11" s="255" t="s">
        <v>81</v>
      </c>
      <c r="J11" s="255" t="s">
        <v>82</v>
      </c>
      <c r="K11" s="255" t="s">
        <v>83</v>
      </c>
      <c r="L11" s="255" t="s">
        <v>84</v>
      </c>
      <c r="M11" s="255" t="s">
        <v>85</v>
      </c>
      <c r="N11" s="255" t="s">
        <v>86</v>
      </c>
      <c r="O11" s="255" t="s">
        <v>87</v>
      </c>
      <c r="P11" s="255" t="s">
        <v>88</v>
      </c>
      <c r="Q11" s="255" t="s">
        <v>89</v>
      </c>
      <c r="R11" s="255" t="s">
        <v>90</v>
      </c>
      <c r="S11" s="268" t="s">
        <v>91</v>
      </c>
      <c r="T11" s="268" t="s">
        <v>92</v>
      </c>
      <c r="U11" s="268" t="s">
        <v>93</v>
      </c>
      <c r="V11" s="268" t="s">
        <v>94</v>
      </c>
      <c r="W11" s="268" t="s">
        <v>95</v>
      </c>
      <c r="X11" s="268" t="s">
        <v>96</v>
      </c>
      <c r="Y11" s="268" t="s">
        <v>97</v>
      </c>
      <c r="Z11" s="268" t="s">
        <v>98</v>
      </c>
      <c r="AA11" s="268" t="s">
        <v>99</v>
      </c>
      <c r="AB11" s="268" t="s">
        <v>100</v>
      </c>
      <c r="AC11" s="268" t="s">
        <v>101</v>
      </c>
      <c r="AD11" s="255" t="s">
        <v>102</v>
      </c>
      <c r="AE11" s="255" t="s">
        <v>103</v>
      </c>
      <c r="AF11" s="255" t="s">
        <v>104</v>
      </c>
      <c r="AG11" s="255" t="s">
        <v>105</v>
      </c>
      <c r="AH11" s="255" t="s">
        <v>106</v>
      </c>
      <c r="AI11" s="255" t="s">
        <v>107</v>
      </c>
      <c r="AJ11" s="255" t="s">
        <v>108</v>
      </c>
      <c r="AK11" s="255" t="s">
        <v>109</v>
      </c>
      <c r="AL11" s="255" t="s">
        <v>110</v>
      </c>
      <c r="AM11" s="268" t="s">
        <v>78</v>
      </c>
      <c r="AN11" s="268" t="s">
        <v>111</v>
      </c>
      <c r="AO11" s="268" t="s">
        <v>112</v>
      </c>
      <c r="AP11" s="268" t="s">
        <v>113</v>
      </c>
      <c r="AQ11" s="268" t="s">
        <v>114</v>
      </c>
      <c r="AR11" s="268" t="s">
        <v>115</v>
      </c>
      <c r="AS11" s="268" t="s">
        <v>116</v>
      </c>
      <c r="AT11" s="268" t="s">
        <v>117</v>
      </c>
      <c r="AU11" s="268" t="s">
        <v>118</v>
      </c>
      <c r="AV11" s="268" t="s">
        <v>119</v>
      </c>
    </row>
    <row r="12" spans="1:48" ht="15.75" customHeight="1">
      <c r="A12" s="54">
        <v>1</v>
      </c>
      <c r="B12" s="55" t="s">
        <v>120</v>
      </c>
      <c r="C12" s="56">
        <v>61</v>
      </c>
      <c r="D12" s="56" t="s">
        <v>121</v>
      </c>
      <c r="E12" s="56" t="s">
        <v>122</v>
      </c>
      <c r="F12" s="56" t="s">
        <v>123</v>
      </c>
      <c r="G12" s="56"/>
      <c r="H12" s="56">
        <v>0</v>
      </c>
      <c r="I12" s="56">
        <v>1</v>
      </c>
      <c r="J12" s="56">
        <v>0</v>
      </c>
      <c r="K12" s="57">
        <v>0</v>
      </c>
      <c r="L12" s="58" t="s">
        <v>124</v>
      </c>
      <c r="M12" s="59" t="s">
        <v>125</v>
      </c>
      <c r="N12" s="56" t="s">
        <v>126</v>
      </c>
      <c r="O12" s="56" t="s">
        <v>127</v>
      </c>
      <c r="P12" s="56" t="s">
        <v>128</v>
      </c>
      <c r="Q12" s="56">
        <v>2018</v>
      </c>
      <c r="R12" s="56">
        <v>26</v>
      </c>
      <c r="S12" s="56" t="s">
        <v>129</v>
      </c>
      <c r="T12" s="56" t="s">
        <v>130</v>
      </c>
      <c r="U12" s="56" t="s">
        <v>131</v>
      </c>
      <c r="V12" s="60" t="s">
        <v>132</v>
      </c>
      <c r="W12" s="60" t="s">
        <v>133</v>
      </c>
      <c r="X12" s="60" t="s">
        <v>134</v>
      </c>
      <c r="Y12" s="60" t="s">
        <v>135</v>
      </c>
      <c r="Z12" s="60" t="s">
        <v>136</v>
      </c>
      <c r="AA12" s="60" t="s">
        <v>136</v>
      </c>
      <c r="AB12" s="60" t="s">
        <v>136</v>
      </c>
      <c r="AC12" s="60" t="s">
        <v>137</v>
      </c>
      <c r="AD12" s="60" t="s">
        <v>138</v>
      </c>
      <c r="AE12" s="60" t="s">
        <v>139</v>
      </c>
      <c r="AF12" s="60" t="s">
        <v>140</v>
      </c>
      <c r="AG12" s="60" t="s">
        <v>141</v>
      </c>
      <c r="AH12" s="60" t="s">
        <v>142</v>
      </c>
      <c r="AI12" s="60" t="s">
        <v>143</v>
      </c>
      <c r="AJ12" s="60" t="s">
        <v>136</v>
      </c>
      <c r="AK12" s="60" t="s">
        <v>144</v>
      </c>
      <c r="AL12" s="60" t="s">
        <v>136</v>
      </c>
      <c r="AM12" s="61">
        <v>308</v>
      </c>
      <c r="AN12" s="62">
        <f t="shared" ref="AN12:AN41" si="0">IF(R12&lt;&gt;0,AM12/R12,"")</f>
        <v>11.846153846153847</v>
      </c>
      <c r="AO12" s="61">
        <v>55</v>
      </c>
      <c r="AP12" s="61">
        <v>273000</v>
      </c>
      <c r="AQ12" s="62">
        <f t="shared" ref="AQ12:AQ41" si="1">IF(R12&lt;&gt;0,5.5%*AP12,"")</f>
        <v>15015</v>
      </c>
      <c r="AR12" s="62">
        <f t="shared" ref="AR12:AR41" si="2">IFERROR(AP12/R12,"")</f>
        <v>10500</v>
      </c>
      <c r="AS12" s="62">
        <f t="shared" ref="AS12:AS41" si="3">IF(AC12="Não tem",$AC$9)+IF(AB12="Não tem",$AB$9)+IF(AA12="Não tem",$AA$9)+IF(Z12="Não tem",$Z$9)+IF(Y12="Não tem",$Y$9)+IF(X12="Não tem",$X$9)+IF(W12="Não tem",$W$9)+IF(V12="Não tem",$V$9)+IF(U12="Aberta",$U$9)+IF(T12="Contrapiso",$T$9)</f>
        <v>5500</v>
      </c>
      <c r="AT12" s="62">
        <f>IF(R12&lt;&gt;0,(AP12+AS12)/R12,0)</f>
        <v>10711.538461538461</v>
      </c>
      <c r="AU12" s="63">
        <f t="shared" ref="AU12:AU41" si="4">IF(R12&lt;&gt;0,(AT12/AVERAGE(AT:AT))-100%,"")</f>
        <v>0.11189974492625043</v>
      </c>
      <c r="AV12" s="62">
        <f>IF(R12&lt;&gt;0,AP12+AQ12+AS12,0)</f>
        <v>293515</v>
      </c>
    </row>
    <row r="13" spans="1:48" ht="15.75" customHeight="1">
      <c r="A13" s="54">
        <v>2</v>
      </c>
      <c r="B13" s="64" t="s">
        <v>145</v>
      </c>
      <c r="C13" s="65">
        <v>395</v>
      </c>
      <c r="D13" s="65" t="s">
        <v>121</v>
      </c>
      <c r="E13" s="65" t="s">
        <v>146</v>
      </c>
      <c r="F13" s="65" t="s">
        <v>147</v>
      </c>
      <c r="G13" s="66" t="s">
        <v>148</v>
      </c>
      <c r="H13" s="65">
        <v>1</v>
      </c>
      <c r="I13" s="65">
        <v>1</v>
      </c>
      <c r="J13" s="65">
        <v>1</v>
      </c>
      <c r="K13" s="67">
        <v>1</v>
      </c>
      <c r="L13" s="68" t="s">
        <v>149</v>
      </c>
      <c r="M13" s="69" t="s">
        <v>150</v>
      </c>
      <c r="N13" s="65" t="s">
        <v>151</v>
      </c>
      <c r="O13" s="65" t="s">
        <v>127</v>
      </c>
      <c r="P13" s="56" t="s">
        <v>152</v>
      </c>
      <c r="Q13" s="65">
        <v>2017</v>
      </c>
      <c r="R13" s="65">
        <v>36</v>
      </c>
      <c r="S13" s="65" t="s">
        <v>129</v>
      </c>
      <c r="T13" s="65" t="s">
        <v>130</v>
      </c>
      <c r="U13" s="65" t="s">
        <v>131</v>
      </c>
      <c r="V13" s="70" t="s">
        <v>132</v>
      </c>
      <c r="W13" s="70" t="s">
        <v>133</v>
      </c>
      <c r="X13" s="70" t="s">
        <v>153</v>
      </c>
      <c r="Y13" s="70" t="s">
        <v>137</v>
      </c>
      <c r="Z13" s="70" t="s">
        <v>136</v>
      </c>
      <c r="AA13" s="70" t="s">
        <v>136</v>
      </c>
      <c r="AB13" s="70" t="s">
        <v>136</v>
      </c>
      <c r="AC13" s="70" t="s">
        <v>137</v>
      </c>
      <c r="AD13" s="70" t="s">
        <v>138</v>
      </c>
      <c r="AE13" s="70" t="s">
        <v>139</v>
      </c>
      <c r="AF13" s="70" t="s">
        <v>154</v>
      </c>
      <c r="AG13" s="70" t="s">
        <v>155</v>
      </c>
      <c r="AH13" s="70" t="s">
        <v>137</v>
      </c>
      <c r="AI13" s="70" t="s">
        <v>134</v>
      </c>
      <c r="AJ13" s="70" t="s">
        <v>137</v>
      </c>
      <c r="AK13" s="70" t="s">
        <v>137</v>
      </c>
      <c r="AL13" s="70" t="s">
        <v>137</v>
      </c>
      <c r="AM13" s="71">
        <v>520</v>
      </c>
      <c r="AN13" s="62">
        <f t="shared" si="0"/>
        <v>14.444444444444445</v>
      </c>
      <c r="AO13" s="71">
        <v>84</v>
      </c>
      <c r="AP13" s="71">
        <v>300000</v>
      </c>
      <c r="AQ13" s="62">
        <f t="shared" si="1"/>
        <v>16500</v>
      </c>
      <c r="AR13" s="62">
        <f t="shared" si="2"/>
        <v>8333.3333333333339</v>
      </c>
      <c r="AS13" s="62">
        <f t="shared" si="3"/>
        <v>8000</v>
      </c>
      <c r="AT13" s="62">
        <f t="shared" ref="AT13:AT41" si="5">IF(R13&lt;&gt;0,(AP13+AS13)/R13,"")</f>
        <v>8555.5555555555547</v>
      </c>
      <c r="AU13" s="63">
        <f t="shared" si="4"/>
        <v>-0.11189974492625043</v>
      </c>
      <c r="AV13" s="62">
        <f t="shared" ref="AV13:AV41" si="6">IF(R13&lt;&gt;0,AP13+AQ13+AS13,"")</f>
        <v>324500</v>
      </c>
    </row>
    <row r="14" spans="1:48" ht="15.75" customHeight="1">
      <c r="A14" s="54">
        <v>3</v>
      </c>
      <c r="B14" s="64"/>
      <c r="C14" s="65"/>
      <c r="D14" s="65"/>
      <c r="E14" s="65"/>
      <c r="F14" s="65"/>
      <c r="G14" s="65"/>
      <c r="H14" s="65"/>
      <c r="I14" s="65"/>
      <c r="J14" s="65"/>
      <c r="K14" s="67"/>
      <c r="L14" s="68"/>
      <c r="M14" s="69"/>
      <c r="N14" s="65"/>
      <c r="O14" s="65"/>
      <c r="P14" s="56"/>
      <c r="Q14" s="65"/>
      <c r="R14" s="65"/>
      <c r="S14" s="65"/>
      <c r="T14" s="65"/>
      <c r="U14" s="65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1"/>
      <c r="AN14" s="62" t="str">
        <f t="shared" si="0"/>
        <v/>
      </c>
      <c r="AO14" s="71"/>
      <c r="AP14" s="71"/>
      <c r="AQ14" s="62" t="str">
        <f t="shared" si="1"/>
        <v/>
      </c>
      <c r="AR14" s="62" t="str">
        <f t="shared" si="2"/>
        <v/>
      </c>
      <c r="AS14" s="62">
        <f t="shared" si="3"/>
        <v>0</v>
      </c>
      <c r="AT14" s="62" t="str">
        <f t="shared" si="5"/>
        <v/>
      </c>
      <c r="AU14" s="63" t="str">
        <f t="shared" si="4"/>
        <v/>
      </c>
      <c r="AV14" s="62" t="str">
        <f t="shared" si="6"/>
        <v/>
      </c>
    </row>
    <row r="15" spans="1:48" ht="15.75" customHeight="1">
      <c r="A15" s="54">
        <v>4</v>
      </c>
      <c r="B15" s="64"/>
      <c r="C15" s="65"/>
      <c r="D15" s="65"/>
      <c r="E15" s="65"/>
      <c r="F15" s="65"/>
      <c r="G15" s="65"/>
      <c r="H15" s="65"/>
      <c r="I15" s="65"/>
      <c r="J15" s="65"/>
      <c r="K15" s="67"/>
      <c r="L15" s="68"/>
      <c r="M15" s="69"/>
      <c r="N15" s="65"/>
      <c r="O15" s="65"/>
      <c r="P15" s="56"/>
      <c r="Q15" s="65"/>
      <c r="R15" s="65"/>
      <c r="S15" s="65"/>
      <c r="T15" s="65"/>
      <c r="U15" s="65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1"/>
      <c r="AN15" s="62" t="str">
        <f t="shared" si="0"/>
        <v/>
      </c>
      <c r="AO15" s="71"/>
      <c r="AP15" s="71"/>
      <c r="AQ15" s="62" t="str">
        <f t="shared" si="1"/>
        <v/>
      </c>
      <c r="AR15" s="62" t="str">
        <f t="shared" si="2"/>
        <v/>
      </c>
      <c r="AS15" s="62">
        <f t="shared" si="3"/>
        <v>0</v>
      </c>
      <c r="AT15" s="62" t="str">
        <f t="shared" si="5"/>
        <v/>
      </c>
      <c r="AU15" s="63" t="str">
        <f t="shared" si="4"/>
        <v/>
      </c>
      <c r="AV15" s="62" t="str">
        <f t="shared" si="6"/>
        <v/>
      </c>
    </row>
    <row r="16" spans="1:48" ht="15.75" customHeight="1">
      <c r="A16" s="54">
        <v>5</v>
      </c>
      <c r="B16" s="64"/>
      <c r="C16" s="65"/>
      <c r="D16" s="65"/>
      <c r="E16" s="65"/>
      <c r="F16" s="65"/>
      <c r="G16" s="65"/>
      <c r="H16" s="65"/>
      <c r="I16" s="65"/>
      <c r="J16" s="65"/>
      <c r="K16" s="67"/>
      <c r="L16" s="68"/>
      <c r="M16" s="69"/>
      <c r="N16" s="65"/>
      <c r="O16" s="65"/>
      <c r="P16" s="56"/>
      <c r="Q16" s="65"/>
      <c r="R16" s="65"/>
      <c r="S16" s="65"/>
      <c r="T16" s="65"/>
      <c r="U16" s="65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1"/>
      <c r="AN16" s="62" t="str">
        <f t="shared" si="0"/>
        <v/>
      </c>
      <c r="AO16" s="71"/>
      <c r="AP16" s="71"/>
      <c r="AQ16" s="62" t="str">
        <f t="shared" si="1"/>
        <v/>
      </c>
      <c r="AR16" s="62" t="str">
        <f t="shared" si="2"/>
        <v/>
      </c>
      <c r="AS16" s="62">
        <f t="shared" si="3"/>
        <v>0</v>
      </c>
      <c r="AT16" s="62" t="str">
        <f t="shared" si="5"/>
        <v/>
      </c>
      <c r="AU16" s="63" t="str">
        <f t="shared" si="4"/>
        <v/>
      </c>
      <c r="AV16" s="62" t="str">
        <f t="shared" si="6"/>
        <v/>
      </c>
    </row>
    <row r="17" spans="1:48" ht="15.75" customHeight="1">
      <c r="A17" s="54">
        <v>6</v>
      </c>
      <c r="B17" s="64"/>
      <c r="C17" s="65"/>
      <c r="D17" s="65"/>
      <c r="E17" s="65"/>
      <c r="F17" s="65"/>
      <c r="G17" s="65"/>
      <c r="H17" s="65"/>
      <c r="I17" s="65"/>
      <c r="J17" s="65"/>
      <c r="K17" s="67"/>
      <c r="L17" s="68"/>
      <c r="M17" s="69"/>
      <c r="N17" s="65"/>
      <c r="O17" s="65"/>
      <c r="P17" s="56"/>
      <c r="Q17" s="65"/>
      <c r="R17" s="65"/>
      <c r="S17" s="65"/>
      <c r="T17" s="65"/>
      <c r="U17" s="65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1"/>
      <c r="AN17" s="62" t="str">
        <f t="shared" si="0"/>
        <v/>
      </c>
      <c r="AO17" s="71"/>
      <c r="AP17" s="71"/>
      <c r="AQ17" s="62" t="str">
        <f t="shared" si="1"/>
        <v/>
      </c>
      <c r="AR17" s="62" t="str">
        <f t="shared" si="2"/>
        <v/>
      </c>
      <c r="AS17" s="62">
        <f t="shared" si="3"/>
        <v>0</v>
      </c>
      <c r="AT17" s="62" t="str">
        <f t="shared" si="5"/>
        <v/>
      </c>
      <c r="AU17" s="63" t="str">
        <f t="shared" si="4"/>
        <v/>
      </c>
      <c r="AV17" s="62" t="str">
        <f t="shared" si="6"/>
        <v/>
      </c>
    </row>
    <row r="18" spans="1:48" ht="15.75" customHeight="1">
      <c r="A18" s="54">
        <v>7</v>
      </c>
      <c r="B18" s="64"/>
      <c r="C18" s="65"/>
      <c r="D18" s="65"/>
      <c r="E18" s="65"/>
      <c r="F18" s="65"/>
      <c r="G18" s="65"/>
      <c r="H18" s="65"/>
      <c r="I18" s="65"/>
      <c r="J18" s="65"/>
      <c r="K18" s="67"/>
      <c r="L18" s="68"/>
      <c r="M18" s="69"/>
      <c r="N18" s="65"/>
      <c r="O18" s="65"/>
      <c r="P18" s="56"/>
      <c r="Q18" s="65"/>
      <c r="R18" s="65"/>
      <c r="S18" s="65"/>
      <c r="T18" s="65"/>
      <c r="U18" s="65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1"/>
      <c r="AN18" s="62" t="str">
        <f t="shared" si="0"/>
        <v/>
      </c>
      <c r="AO18" s="71"/>
      <c r="AP18" s="71"/>
      <c r="AQ18" s="62" t="str">
        <f t="shared" si="1"/>
        <v/>
      </c>
      <c r="AR18" s="62" t="str">
        <f t="shared" si="2"/>
        <v/>
      </c>
      <c r="AS18" s="62">
        <f t="shared" si="3"/>
        <v>0</v>
      </c>
      <c r="AT18" s="62" t="str">
        <f t="shared" si="5"/>
        <v/>
      </c>
      <c r="AU18" s="63" t="str">
        <f t="shared" si="4"/>
        <v/>
      </c>
      <c r="AV18" s="62" t="str">
        <f t="shared" si="6"/>
        <v/>
      </c>
    </row>
    <row r="19" spans="1:48" ht="15.75" customHeight="1">
      <c r="A19" s="54">
        <v>8</v>
      </c>
      <c r="B19" s="64"/>
      <c r="C19" s="65"/>
      <c r="D19" s="65"/>
      <c r="E19" s="65"/>
      <c r="F19" s="65"/>
      <c r="G19" s="65"/>
      <c r="H19" s="65"/>
      <c r="I19" s="65"/>
      <c r="J19" s="65"/>
      <c r="K19" s="67"/>
      <c r="L19" s="68"/>
      <c r="M19" s="69"/>
      <c r="N19" s="65"/>
      <c r="O19" s="65"/>
      <c r="P19" s="56"/>
      <c r="Q19" s="65"/>
      <c r="R19" s="65"/>
      <c r="S19" s="65"/>
      <c r="T19" s="65"/>
      <c r="U19" s="65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1"/>
      <c r="AN19" s="62" t="str">
        <f t="shared" si="0"/>
        <v/>
      </c>
      <c r="AO19" s="71"/>
      <c r="AP19" s="71"/>
      <c r="AQ19" s="62" t="str">
        <f t="shared" si="1"/>
        <v/>
      </c>
      <c r="AR19" s="62" t="str">
        <f t="shared" si="2"/>
        <v/>
      </c>
      <c r="AS19" s="62">
        <f t="shared" si="3"/>
        <v>0</v>
      </c>
      <c r="AT19" s="62" t="str">
        <f t="shared" si="5"/>
        <v/>
      </c>
      <c r="AU19" s="63" t="str">
        <f t="shared" si="4"/>
        <v/>
      </c>
      <c r="AV19" s="62" t="str">
        <f t="shared" si="6"/>
        <v/>
      </c>
    </row>
    <row r="20" spans="1:48" ht="15.75" customHeight="1">
      <c r="A20" s="54">
        <v>9</v>
      </c>
      <c r="B20" s="64"/>
      <c r="C20" s="65"/>
      <c r="D20" s="65"/>
      <c r="E20" s="65"/>
      <c r="F20" s="65"/>
      <c r="G20" s="65"/>
      <c r="H20" s="65"/>
      <c r="I20" s="65"/>
      <c r="J20" s="65"/>
      <c r="K20" s="67"/>
      <c r="L20" s="68"/>
      <c r="M20" s="69"/>
      <c r="N20" s="65"/>
      <c r="O20" s="65"/>
      <c r="P20" s="56"/>
      <c r="Q20" s="65"/>
      <c r="R20" s="65"/>
      <c r="S20" s="65"/>
      <c r="T20" s="65"/>
      <c r="U20" s="65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1"/>
      <c r="AN20" s="62" t="str">
        <f t="shared" si="0"/>
        <v/>
      </c>
      <c r="AO20" s="71"/>
      <c r="AP20" s="71"/>
      <c r="AQ20" s="62" t="str">
        <f t="shared" si="1"/>
        <v/>
      </c>
      <c r="AR20" s="62" t="str">
        <f t="shared" si="2"/>
        <v/>
      </c>
      <c r="AS20" s="62">
        <f t="shared" si="3"/>
        <v>0</v>
      </c>
      <c r="AT20" s="62" t="str">
        <f t="shared" si="5"/>
        <v/>
      </c>
      <c r="AU20" s="63" t="str">
        <f t="shared" si="4"/>
        <v/>
      </c>
      <c r="AV20" s="62" t="str">
        <f t="shared" si="6"/>
        <v/>
      </c>
    </row>
    <row r="21" spans="1:48" ht="15.75" customHeight="1">
      <c r="A21" s="54">
        <v>10</v>
      </c>
      <c r="B21" s="64"/>
      <c r="C21" s="65"/>
      <c r="D21" s="65"/>
      <c r="E21" s="65"/>
      <c r="F21" s="65"/>
      <c r="G21" s="65"/>
      <c r="H21" s="65"/>
      <c r="I21" s="65"/>
      <c r="J21" s="65"/>
      <c r="K21" s="67"/>
      <c r="L21" s="68"/>
      <c r="M21" s="69"/>
      <c r="N21" s="65"/>
      <c r="O21" s="65"/>
      <c r="P21" s="56"/>
      <c r="Q21" s="65"/>
      <c r="R21" s="65"/>
      <c r="S21" s="65"/>
      <c r="T21" s="65"/>
      <c r="U21" s="65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1"/>
      <c r="AN21" s="62" t="str">
        <f t="shared" si="0"/>
        <v/>
      </c>
      <c r="AO21" s="71"/>
      <c r="AP21" s="71"/>
      <c r="AQ21" s="62" t="str">
        <f t="shared" si="1"/>
        <v/>
      </c>
      <c r="AR21" s="62" t="str">
        <f t="shared" si="2"/>
        <v/>
      </c>
      <c r="AS21" s="62">
        <f t="shared" si="3"/>
        <v>0</v>
      </c>
      <c r="AT21" s="62" t="str">
        <f t="shared" si="5"/>
        <v/>
      </c>
      <c r="AU21" s="63" t="str">
        <f t="shared" si="4"/>
        <v/>
      </c>
      <c r="AV21" s="62" t="str">
        <f t="shared" si="6"/>
        <v/>
      </c>
    </row>
    <row r="22" spans="1:48" ht="15.75" customHeight="1">
      <c r="A22" s="54">
        <v>11</v>
      </c>
      <c r="B22" s="64"/>
      <c r="C22" s="65"/>
      <c r="D22" s="65"/>
      <c r="E22" s="65"/>
      <c r="F22" s="65"/>
      <c r="G22" s="65"/>
      <c r="H22" s="65"/>
      <c r="I22" s="65"/>
      <c r="J22" s="65"/>
      <c r="K22" s="67"/>
      <c r="L22" s="68"/>
      <c r="M22" s="69"/>
      <c r="N22" s="65"/>
      <c r="O22" s="65"/>
      <c r="P22" s="56"/>
      <c r="Q22" s="65"/>
      <c r="R22" s="65"/>
      <c r="S22" s="65"/>
      <c r="T22" s="65"/>
      <c r="U22" s="65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1"/>
      <c r="AN22" s="62" t="str">
        <f t="shared" si="0"/>
        <v/>
      </c>
      <c r="AO22" s="71"/>
      <c r="AP22" s="71"/>
      <c r="AQ22" s="62" t="str">
        <f t="shared" si="1"/>
        <v/>
      </c>
      <c r="AR22" s="62" t="str">
        <f t="shared" si="2"/>
        <v/>
      </c>
      <c r="AS22" s="62">
        <f t="shared" si="3"/>
        <v>0</v>
      </c>
      <c r="AT22" s="62" t="str">
        <f t="shared" si="5"/>
        <v/>
      </c>
      <c r="AU22" s="63" t="str">
        <f t="shared" si="4"/>
        <v/>
      </c>
      <c r="AV22" s="62" t="str">
        <f t="shared" si="6"/>
        <v/>
      </c>
    </row>
    <row r="23" spans="1:48" ht="15.75" customHeight="1">
      <c r="A23" s="54">
        <v>12</v>
      </c>
      <c r="B23" s="64"/>
      <c r="C23" s="65"/>
      <c r="D23" s="65"/>
      <c r="E23" s="65"/>
      <c r="F23" s="65"/>
      <c r="G23" s="65"/>
      <c r="H23" s="65"/>
      <c r="I23" s="65"/>
      <c r="J23" s="65"/>
      <c r="K23" s="67"/>
      <c r="L23" s="68"/>
      <c r="M23" s="69"/>
      <c r="N23" s="65"/>
      <c r="O23" s="65"/>
      <c r="P23" s="56"/>
      <c r="Q23" s="65"/>
      <c r="R23" s="65"/>
      <c r="S23" s="65"/>
      <c r="T23" s="65"/>
      <c r="U23" s="65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1"/>
      <c r="AN23" s="62" t="str">
        <f t="shared" si="0"/>
        <v/>
      </c>
      <c r="AO23" s="71"/>
      <c r="AP23" s="71"/>
      <c r="AQ23" s="62" t="str">
        <f t="shared" si="1"/>
        <v/>
      </c>
      <c r="AR23" s="62" t="str">
        <f t="shared" si="2"/>
        <v/>
      </c>
      <c r="AS23" s="62">
        <f t="shared" si="3"/>
        <v>0</v>
      </c>
      <c r="AT23" s="62" t="str">
        <f t="shared" si="5"/>
        <v/>
      </c>
      <c r="AU23" s="63" t="str">
        <f t="shared" si="4"/>
        <v/>
      </c>
      <c r="AV23" s="62" t="str">
        <f t="shared" si="6"/>
        <v/>
      </c>
    </row>
    <row r="24" spans="1:48" ht="15.75" customHeight="1">
      <c r="A24" s="54">
        <v>13</v>
      </c>
      <c r="B24" s="64"/>
      <c r="C24" s="65"/>
      <c r="D24" s="65"/>
      <c r="E24" s="65"/>
      <c r="F24" s="65"/>
      <c r="G24" s="65"/>
      <c r="H24" s="65"/>
      <c r="I24" s="65"/>
      <c r="J24" s="65"/>
      <c r="K24" s="67"/>
      <c r="L24" s="68"/>
      <c r="M24" s="69"/>
      <c r="N24" s="65"/>
      <c r="O24" s="65"/>
      <c r="P24" s="56"/>
      <c r="Q24" s="65"/>
      <c r="R24" s="65"/>
      <c r="S24" s="65"/>
      <c r="T24" s="65"/>
      <c r="U24" s="65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1"/>
      <c r="AN24" s="62" t="str">
        <f t="shared" si="0"/>
        <v/>
      </c>
      <c r="AO24" s="71"/>
      <c r="AP24" s="71"/>
      <c r="AQ24" s="62" t="str">
        <f t="shared" si="1"/>
        <v/>
      </c>
      <c r="AR24" s="62" t="str">
        <f t="shared" si="2"/>
        <v/>
      </c>
      <c r="AS24" s="62">
        <f t="shared" si="3"/>
        <v>0</v>
      </c>
      <c r="AT24" s="62" t="str">
        <f t="shared" si="5"/>
        <v/>
      </c>
      <c r="AU24" s="63" t="str">
        <f t="shared" si="4"/>
        <v/>
      </c>
      <c r="AV24" s="62" t="str">
        <f t="shared" si="6"/>
        <v/>
      </c>
    </row>
    <row r="25" spans="1:48" ht="15.75" customHeight="1">
      <c r="A25" s="54">
        <v>14</v>
      </c>
      <c r="B25" s="64"/>
      <c r="C25" s="65"/>
      <c r="D25" s="65"/>
      <c r="E25" s="65"/>
      <c r="F25" s="65"/>
      <c r="G25" s="65"/>
      <c r="H25" s="65"/>
      <c r="I25" s="65"/>
      <c r="J25" s="65"/>
      <c r="K25" s="67"/>
      <c r="L25" s="68"/>
      <c r="M25" s="69"/>
      <c r="N25" s="65"/>
      <c r="O25" s="65"/>
      <c r="P25" s="56"/>
      <c r="Q25" s="65"/>
      <c r="R25" s="65"/>
      <c r="S25" s="65"/>
      <c r="T25" s="65"/>
      <c r="U25" s="65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1"/>
      <c r="AN25" s="62" t="str">
        <f t="shared" si="0"/>
        <v/>
      </c>
      <c r="AO25" s="71"/>
      <c r="AP25" s="71"/>
      <c r="AQ25" s="62" t="str">
        <f t="shared" si="1"/>
        <v/>
      </c>
      <c r="AR25" s="62" t="str">
        <f t="shared" si="2"/>
        <v/>
      </c>
      <c r="AS25" s="62">
        <f t="shared" si="3"/>
        <v>0</v>
      </c>
      <c r="AT25" s="62" t="str">
        <f t="shared" si="5"/>
        <v/>
      </c>
      <c r="AU25" s="63" t="str">
        <f t="shared" si="4"/>
        <v/>
      </c>
      <c r="AV25" s="62" t="str">
        <f t="shared" si="6"/>
        <v/>
      </c>
    </row>
    <row r="26" spans="1:48" ht="15.75" customHeight="1">
      <c r="A26" s="54">
        <v>15</v>
      </c>
      <c r="B26" s="64"/>
      <c r="C26" s="65"/>
      <c r="D26" s="65"/>
      <c r="E26" s="65"/>
      <c r="F26" s="65"/>
      <c r="G26" s="65"/>
      <c r="H26" s="65"/>
      <c r="I26" s="65"/>
      <c r="J26" s="65"/>
      <c r="K26" s="67"/>
      <c r="L26" s="68"/>
      <c r="M26" s="69"/>
      <c r="N26" s="65"/>
      <c r="O26" s="65"/>
      <c r="P26" s="56"/>
      <c r="Q26" s="65"/>
      <c r="R26" s="65"/>
      <c r="S26" s="65"/>
      <c r="T26" s="65"/>
      <c r="U26" s="65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1"/>
      <c r="AN26" s="62" t="str">
        <f t="shared" si="0"/>
        <v/>
      </c>
      <c r="AO26" s="71"/>
      <c r="AP26" s="71"/>
      <c r="AQ26" s="62" t="str">
        <f t="shared" si="1"/>
        <v/>
      </c>
      <c r="AR26" s="62" t="str">
        <f t="shared" si="2"/>
        <v/>
      </c>
      <c r="AS26" s="62">
        <f t="shared" si="3"/>
        <v>0</v>
      </c>
      <c r="AT26" s="62" t="str">
        <f t="shared" si="5"/>
        <v/>
      </c>
      <c r="AU26" s="63" t="str">
        <f t="shared" si="4"/>
        <v/>
      </c>
      <c r="AV26" s="62" t="str">
        <f t="shared" si="6"/>
        <v/>
      </c>
    </row>
    <row r="27" spans="1:48" ht="15.75" customHeight="1">
      <c r="A27" s="54">
        <v>16</v>
      </c>
      <c r="B27" s="64"/>
      <c r="C27" s="65"/>
      <c r="D27" s="65"/>
      <c r="E27" s="65"/>
      <c r="F27" s="65"/>
      <c r="G27" s="65"/>
      <c r="H27" s="65"/>
      <c r="I27" s="65"/>
      <c r="J27" s="65"/>
      <c r="K27" s="67"/>
      <c r="L27" s="68"/>
      <c r="M27" s="69"/>
      <c r="N27" s="65"/>
      <c r="O27" s="65"/>
      <c r="P27" s="56"/>
      <c r="Q27" s="65"/>
      <c r="R27" s="65"/>
      <c r="S27" s="65"/>
      <c r="T27" s="65"/>
      <c r="U27" s="65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1"/>
      <c r="AN27" s="62" t="str">
        <f t="shared" si="0"/>
        <v/>
      </c>
      <c r="AO27" s="71"/>
      <c r="AP27" s="71"/>
      <c r="AQ27" s="62" t="str">
        <f t="shared" si="1"/>
        <v/>
      </c>
      <c r="AR27" s="62" t="str">
        <f t="shared" si="2"/>
        <v/>
      </c>
      <c r="AS27" s="62">
        <f t="shared" si="3"/>
        <v>0</v>
      </c>
      <c r="AT27" s="62" t="str">
        <f t="shared" si="5"/>
        <v/>
      </c>
      <c r="AU27" s="63" t="str">
        <f t="shared" si="4"/>
        <v/>
      </c>
      <c r="AV27" s="62" t="str">
        <f t="shared" si="6"/>
        <v/>
      </c>
    </row>
    <row r="28" spans="1:48" ht="15.75" customHeight="1">
      <c r="A28" s="54">
        <v>17</v>
      </c>
      <c r="B28" s="64"/>
      <c r="C28" s="65"/>
      <c r="D28" s="65"/>
      <c r="E28" s="65"/>
      <c r="F28" s="65"/>
      <c r="G28" s="65"/>
      <c r="H28" s="65"/>
      <c r="I28" s="65"/>
      <c r="J28" s="65"/>
      <c r="K28" s="67"/>
      <c r="L28" s="68"/>
      <c r="M28" s="69"/>
      <c r="N28" s="65"/>
      <c r="O28" s="65"/>
      <c r="P28" s="56"/>
      <c r="Q28" s="65"/>
      <c r="R28" s="65"/>
      <c r="S28" s="65"/>
      <c r="T28" s="65"/>
      <c r="U28" s="65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1"/>
      <c r="AN28" s="62" t="str">
        <f t="shared" si="0"/>
        <v/>
      </c>
      <c r="AO28" s="71"/>
      <c r="AP28" s="71"/>
      <c r="AQ28" s="62" t="str">
        <f t="shared" si="1"/>
        <v/>
      </c>
      <c r="AR28" s="62" t="str">
        <f t="shared" si="2"/>
        <v/>
      </c>
      <c r="AS28" s="62">
        <f t="shared" si="3"/>
        <v>0</v>
      </c>
      <c r="AT28" s="62" t="str">
        <f t="shared" si="5"/>
        <v/>
      </c>
      <c r="AU28" s="63" t="str">
        <f t="shared" si="4"/>
        <v/>
      </c>
      <c r="AV28" s="62" t="str">
        <f t="shared" si="6"/>
        <v/>
      </c>
    </row>
    <row r="29" spans="1:48" ht="15.75" customHeight="1">
      <c r="A29" s="54">
        <v>18</v>
      </c>
      <c r="B29" s="64"/>
      <c r="C29" s="65"/>
      <c r="D29" s="65"/>
      <c r="E29" s="65"/>
      <c r="F29" s="65"/>
      <c r="G29" s="65"/>
      <c r="H29" s="65"/>
      <c r="I29" s="65"/>
      <c r="J29" s="65"/>
      <c r="K29" s="67"/>
      <c r="L29" s="68"/>
      <c r="M29" s="69"/>
      <c r="N29" s="65"/>
      <c r="O29" s="65"/>
      <c r="P29" s="56"/>
      <c r="Q29" s="65"/>
      <c r="R29" s="65"/>
      <c r="S29" s="65"/>
      <c r="T29" s="65"/>
      <c r="U29" s="65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1"/>
      <c r="AN29" s="62" t="str">
        <f t="shared" si="0"/>
        <v/>
      </c>
      <c r="AO29" s="71"/>
      <c r="AP29" s="71"/>
      <c r="AQ29" s="62" t="str">
        <f t="shared" si="1"/>
        <v/>
      </c>
      <c r="AR29" s="62" t="str">
        <f t="shared" si="2"/>
        <v/>
      </c>
      <c r="AS29" s="62">
        <f t="shared" si="3"/>
        <v>0</v>
      </c>
      <c r="AT29" s="62" t="str">
        <f t="shared" si="5"/>
        <v/>
      </c>
      <c r="AU29" s="63" t="str">
        <f t="shared" si="4"/>
        <v/>
      </c>
      <c r="AV29" s="62" t="str">
        <f t="shared" si="6"/>
        <v/>
      </c>
    </row>
    <row r="30" spans="1:48" ht="15.75" customHeight="1">
      <c r="A30" s="54">
        <v>19</v>
      </c>
      <c r="B30" s="64"/>
      <c r="C30" s="65"/>
      <c r="D30" s="65"/>
      <c r="E30" s="65"/>
      <c r="F30" s="65"/>
      <c r="G30" s="65"/>
      <c r="H30" s="65"/>
      <c r="I30" s="65"/>
      <c r="J30" s="65"/>
      <c r="K30" s="67"/>
      <c r="L30" s="68"/>
      <c r="M30" s="69"/>
      <c r="N30" s="65"/>
      <c r="O30" s="65"/>
      <c r="P30" s="56"/>
      <c r="Q30" s="65"/>
      <c r="R30" s="65"/>
      <c r="S30" s="65"/>
      <c r="T30" s="65"/>
      <c r="U30" s="65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1"/>
      <c r="AN30" s="62" t="str">
        <f t="shared" si="0"/>
        <v/>
      </c>
      <c r="AO30" s="71"/>
      <c r="AP30" s="71"/>
      <c r="AQ30" s="62" t="str">
        <f t="shared" si="1"/>
        <v/>
      </c>
      <c r="AR30" s="62" t="str">
        <f t="shared" si="2"/>
        <v/>
      </c>
      <c r="AS30" s="62">
        <f t="shared" si="3"/>
        <v>0</v>
      </c>
      <c r="AT30" s="62" t="str">
        <f t="shared" si="5"/>
        <v/>
      </c>
      <c r="AU30" s="63" t="str">
        <f t="shared" si="4"/>
        <v/>
      </c>
      <c r="AV30" s="62" t="str">
        <f t="shared" si="6"/>
        <v/>
      </c>
    </row>
    <row r="31" spans="1:48" ht="15.75" customHeight="1">
      <c r="A31" s="54">
        <v>20</v>
      </c>
      <c r="B31" s="64"/>
      <c r="C31" s="65"/>
      <c r="D31" s="65"/>
      <c r="E31" s="65"/>
      <c r="F31" s="65"/>
      <c r="G31" s="65"/>
      <c r="H31" s="65"/>
      <c r="I31" s="65"/>
      <c r="J31" s="65"/>
      <c r="K31" s="67"/>
      <c r="L31" s="68"/>
      <c r="M31" s="69"/>
      <c r="N31" s="65"/>
      <c r="O31" s="65"/>
      <c r="P31" s="56"/>
      <c r="Q31" s="65"/>
      <c r="R31" s="65"/>
      <c r="S31" s="65"/>
      <c r="T31" s="65"/>
      <c r="U31" s="65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1"/>
      <c r="AN31" s="62" t="str">
        <f t="shared" si="0"/>
        <v/>
      </c>
      <c r="AO31" s="71"/>
      <c r="AP31" s="71"/>
      <c r="AQ31" s="62" t="str">
        <f t="shared" si="1"/>
        <v/>
      </c>
      <c r="AR31" s="62" t="str">
        <f t="shared" si="2"/>
        <v/>
      </c>
      <c r="AS31" s="62">
        <f t="shared" si="3"/>
        <v>0</v>
      </c>
      <c r="AT31" s="62" t="str">
        <f t="shared" si="5"/>
        <v/>
      </c>
      <c r="AU31" s="63" t="str">
        <f t="shared" si="4"/>
        <v/>
      </c>
      <c r="AV31" s="62" t="str">
        <f t="shared" si="6"/>
        <v/>
      </c>
    </row>
    <row r="32" spans="1:48" ht="15.75" customHeight="1">
      <c r="A32" s="54">
        <v>21</v>
      </c>
      <c r="B32" s="64"/>
      <c r="C32" s="65"/>
      <c r="D32" s="65"/>
      <c r="E32" s="65"/>
      <c r="F32" s="65"/>
      <c r="G32" s="65"/>
      <c r="H32" s="65"/>
      <c r="I32" s="65"/>
      <c r="J32" s="65"/>
      <c r="K32" s="67"/>
      <c r="L32" s="68"/>
      <c r="M32" s="69"/>
      <c r="N32" s="65"/>
      <c r="O32" s="65"/>
      <c r="P32" s="56"/>
      <c r="Q32" s="65"/>
      <c r="R32" s="65"/>
      <c r="S32" s="65"/>
      <c r="T32" s="65"/>
      <c r="U32" s="65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1"/>
      <c r="AN32" s="62" t="str">
        <f t="shared" si="0"/>
        <v/>
      </c>
      <c r="AO32" s="71"/>
      <c r="AP32" s="71"/>
      <c r="AQ32" s="62" t="str">
        <f t="shared" si="1"/>
        <v/>
      </c>
      <c r="AR32" s="62" t="str">
        <f t="shared" si="2"/>
        <v/>
      </c>
      <c r="AS32" s="62">
        <f t="shared" si="3"/>
        <v>0</v>
      </c>
      <c r="AT32" s="62" t="str">
        <f t="shared" si="5"/>
        <v/>
      </c>
      <c r="AU32" s="63" t="str">
        <f t="shared" si="4"/>
        <v/>
      </c>
      <c r="AV32" s="62" t="str">
        <f t="shared" si="6"/>
        <v/>
      </c>
    </row>
    <row r="33" spans="1:48" ht="15.75" customHeight="1">
      <c r="A33" s="54">
        <v>22</v>
      </c>
      <c r="B33" s="64"/>
      <c r="C33" s="65"/>
      <c r="D33" s="65"/>
      <c r="E33" s="65"/>
      <c r="F33" s="65"/>
      <c r="G33" s="65"/>
      <c r="H33" s="65"/>
      <c r="I33" s="65"/>
      <c r="J33" s="65"/>
      <c r="K33" s="67"/>
      <c r="L33" s="68"/>
      <c r="M33" s="69"/>
      <c r="N33" s="65"/>
      <c r="O33" s="65"/>
      <c r="P33" s="56"/>
      <c r="Q33" s="65"/>
      <c r="R33" s="65"/>
      <c r="S33" s="65"/>
      <c r="T33" s="65"/>
      <c r="U33" s="65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1"/>
      <c r="AN33" s="62" t="str">
        <f t="shared" si="0"/>
        <v/>
      </c>
      <c r="AO33" s="71"/>
      <c r="AP33" s="71"/>
      <c r="AQ33" s="62" t="str">
        <f t="shared" si="1"/>
        <v/>
      </c>
      <c r="AR33" s="62" t="str">
        <f t="shared" si="2"/>
        <v/>
      </c>
      <c r="AS33" s="62">
        <f t="shared" si="3"/>
        <v>0</v>
      </c>
      <c r="AT33" s="62" t="str">
        <f t="shared" si="5"/>
        <v/>
      </c>
      <c r="AU33" s="63" t="str">
        <f t="shared" si="4"/>
        <v/>
      </c>
      <c r="AV33" s="62" t="str">
        <f t="shared" si="6"/>
        <v/>
      </c>
    </row>
    <row r="34" spans="1:48" ht="15.75" customHeight="1">
      <c r="A34" s="54">
        <v>23</v>
      </c>
      <c r="B34" s="64"/>
      <c r="C34" s="65"/>
      <c r="D34" s="65"/>
      <c r="E34" s="65"/>
      <c r="F34" s="65"/>
      <c r="G34" s="65"/>
      <c r="H34" s="65"/>
      <c r="I34" s="65"/>
      <c r="J34" s="65"/>
      <c r="K34" s="67"/>
      <c r="L34" s="68"/>
      <c r="M34" s="69"/>
      <c r="N34" s="65"/>
      <c r="O34" s="65"/>
      <c r="P34" s="56"/>
      <c r="Q34" s="65"/>
      <c r="R34" s="65"/>
      <c r="S34" s="65"/>
      <c r="T34" s="65"/>
      <c r="U34" s="65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1"/>
      <c r="AN34" s="62" t="str">
        <f t="shared" si="0"/>
        <v/>
      </c>
      <c r="AO34" s="71"/>
      <c r="AP34" s="71"/>
      <c r="AQ34" s="62" t="str">
        <f t="shared" si="1"/>
        <v/>
      </c>
      <c r="AR34" s="62" t="str">
        <f t="shared" si="2"/>
        <v/>
      </c>
      <c r="AS34" s="62">
        <f t="shared" si="3"/>
        <v>0</v>
      </c>
      <c r="AT34" s="62" t="str">
        <f t="shared" si="5"/>
        <v/>
      </c>
      <c r="AU34" s="63" t="str">
        <f t="shared" si="4"/>
        <v/>
      </c>
      <c r="AV34" s="62" t="str">
        <f t="shared" si="6"/>
        <v/>
      </c>
    </row>
    <row r="35" spans="1:48" ht="15.75" customHeight="1">
      <c r="A35" s="54">
        <v>24</v>
      </c>
      <c r="B35" s="64"/>
      <c r="C35" s="65"/>
      <c r="D35" s="65"/>
      <c r="E35" s="65"/>
      <c r="F35" s="65"/>
      <c r="G35" s="65"/>
      <c r="H35" s="65"/>
      <c r="I35" s="65"/>
      <c r="J35" s="65"/>
      <c r="K35" s="67"/>
      <c r="L35" s="68"/>
      <c r="M35" s="69"/>
      <c r="N35" s="65"/>
      <c r="O35" s="65"/>
      <c r="P35" s="56"/>
      <c r="Q35" s="65"/>
      <c r="R35" s="65"/>
      <c r="S35" s="65"/>
      <c r="T35" s="65"/>
      <c r="U35" s="65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1"/>
      <c r="AN35" s="62" t="str">
        <f t="shared" si="0"/>
        <v/>
      </c>
      <c r="AO35" s="71"/>
      <c r="AP35" s="71"/>
      <c r="AQ35" s="62" t="str">
        <f t="shared" si="1"/>
        <v/>
      </c>
      <c r="AR35" s="62" t="str">
        <f t="shared" si="2"/>
        <v/>
      </c>
      <c r="AS35" s="62">
        <f t="shared" si="3"/>
        <v>0</v>
      </c>
      <c r="AT35" s="62" t="str">
        <f t="shared" si="5"/>
        <v/>
      </c>
      <c r="AU35" s="63" t="str">
        <f t="shared" si="4"/>
        <v/>
      </c>
      <c r="AV35" s="62" t="str">
        <f t="shared" si="6"/>
        <v/>
      </c>
    </row>
    <row r="36" spans="1:48" ht="15.75" customHeight="1">
      <c r="A36" s="54">
        <v>25</v>
      </c>
      <c r="B36" s="64"/>
      <c r="C36" s="65"/>
      <c r="D36" s="65"/>
      <c r="E36" s="65"/>
      <c r="F36" s="65"/>
      <c r="G36" s="65"/>
      <c r="H36" s="65"/>
      <c r="I36" s="65"/>
      <c r="J36" s="65"/>
      <c r="K36" s="67"/>
      <c r="L36" s="68"/>
      <c r="M36" s="69"/>
      <c r="N36" s="65"/>
      <c r="O36" s="65"/>
      <c r="P36" s="56"/>
      <c r="Q36" s="65"/>
      <c r="R36" s="65"/>
      <c r="S36" s="65"/>
      <c r="T36" s="65"/>
      <c r="U36" s="65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1"/>
      <c r="AN36" s="62" t="str">
        <f t="shared" si="0"/>
        <v/>
      </c>
      <c r="AO36" s="71"/>
      <c r="AP36" s="71"/>
      <c r="AQ36" s="62" t="str">
        <f t="shared" si="1"/>
        <v/>
      </c>
      <c r="AR36" s="62" t="str">
        <f t="shared" si="2"/>
        <v/>
      </c>
      <c r="AS36" s="62">
        <f t="shared" si="3"/>
        <v>0</v>
      </c>
      <c r="AT36" s="62" t="str">
        <f t="shared" si="5"/>
        <v/>
      </c>
      <c r="AU36" s="63" t="str">
        <f t="shared" si="4"/>
        <v/>
      </c>
      <c r="AV36" s="62" t="str">
        <f t="shared" si="6"/>
        <v/>
      </c>
    </row>
    <row r="37" spans="1:48" ht="15.75" customHeight="1">
      <c r="A37" s="54">
        <v>26</v>
      </c>
      <c r="B37" s="64"/>
      <c r="C37" s="65"/>
      <c r="D37" s="65"/>
      <c r="E37" s="65"/>
      <c r="F37" s="65"/>
      <c r="G37" s="65"/>
      <c r="H37" s="65"/>
      <c r="I37" s="65"/>
      <c r="J37" s="65"/>
      <c r="K37" s="67"/>
      <c r="L37" s="68"/>
      <c r="M37" s="69"/>
      <c r="N37" s="65"/>
      <c r="O37" s="65"/>
      <c r="P37" s="56"/>
      <c r="Q37" s="65"/>
      <c r="R37" s="65"/>
      <c r="S37" s="65"/>
      <c r="T37" s="65"/>
      <c r="U37" s="65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1"/>
      <c r="AN37" s="62" t="str">
        <f t="shared" si="0"/>
        <v/>
      </c>
      <c r="AO37" s="71"/>
      <c r="AP37" s="71"/>
      <c r="AQ37" s="62" t="str">
        <f t="shared" si="1"/>
        <v/>
      </c>
      <c r="AR37" s="62" t="str">
        <f t="shared" si="2"/>
        <v/>
      </c>
      <c r="AS37" s="62">
        <f t="shared" si="3"/>
        <v>0</v>
      </c>
      <c r="AT37" s="62" t="str">
        <f t="shared" si="5"/>
        <v/>
      </c>
      <c r="AU37" s="63" t="str">
        <f t="shared" si="4"/>
        <v/>
      </c>
      <c r="AV37" s="62" t="str">
        <f t="shared" si="6"/>
        <v/>
      </c>
    </row>
    <row r="38" spans="1:48" ht="15.75" customHeight="1">
      <c r="A38" s="54">
        <v>27</v>
      </c>
      <c r="B38" s="64"/>
      <c r="C38" s="65"/>
      <c r="D38" s="65"/>
      <c r="E38" s="65"/>
      <c r="F38" s="65"/>
      <c r="G38" s="65"/>
      <c r="H38" s="65"/>
      <c r="I38" s="65"/>
      <c r="J38" s="65"/>
      <c r="K38" s="67"/>
      <c r="L38" s="68"/>
      <c r="M38" s="69"/>
      <c r="N38" s="65"/>
      <c r="O38" s="65"/>
      <c r="P38" s="56"/>
      <c r="Q38" s="65"/>
      <c r="R38" s="65"/>
      <c r="S38" s="65"/>
      <c r="T38" s="65"/>
      <c r="U38" s="65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1"/>
      <c r="AN38" s="62" t="str">
        <f t="shared" si="0"/>
        <v/>
      </c>
      <c r="AO38" s="71"/>
      <c r="AP38" s="71"/>
      <c r="AQ38" s="62" t="str">
        <f t="shared" si="1"/>
        <v/>
      </c>
      <c r="AR38" s="62" t="str">
        <f t="shared" si="2"/>
        <v/>
      </c>
      <c r="AS38" s="62">
        <f t="shared" si="3"/>
        <v>0</v>
      </c>
      <c r="AT38" s="62" t="str">
        <f t="shared" si="5"/>
        <v/>
      </c>
      <c r="AU38" s="63" t="str">
        <f t="shared" si="4"/>
        <v/>
      </c>
      <c r="AV38" s="62" t="str">
        <f t="shared" si="6"/>
        <v/>
      </c>
    </row>
    <row r="39" spans="1:48" ht="15.75" customHeight="1">
      <c r="A39" s="54">
        <v>28</v>
      </c>
      <c r="B39" s="64"/>
      <c r="C39" s="65"/>
      <c r="D39" s="65"/>
      <c r="E39" s="65"/>
      <c r="F39" s="65"/>
      <c r="G39" s="65"/>
      <c r="H39" s="65"/>
      <c r="I39" s="65"/>
      <c r="J39" s="65"/>
      <c r="K39" s="67"/>
      <c r="L39" s="68"/>
      <c r="M39" s="69"/>
      <c r="N39" s="65"/>
      <c r="O39" s="65"/>
      <c r="P39" s="56"/>
      <c r="Q39" s="65"/>
      <c r="R39" s="65"/>
      <c r="S39" s="65"/>
      <c r="T39" s="65"/>
      <c r="U39" s="65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1"/>
      <c r="AN39" s="62" t="str">
        <f t="shared" si="0"/>
        <v/>
      </c>
      <c r="AO39" s="71"/>
      <c r="AP39" s="71"/>
      <c r="AQ39" s="62" t="str">
        <f t="shared" si="1"/>
        <v/>
      </c>
      <c r="AR39" s="62" t="str">
        <f t="shared" si="2"/>
        <v/>
      </c>
      <c r="AS39" s="62">
        <f t="shared" si="3"/>
        <v>0</v>
      </c>
      <c r="AT39" s="62" t="str">
        <f t="shared" si="5"/>
        <v/>
      </c>
      <c r="AU39" s="63" t="str">
        <f t="shared" si="4"/>
        <v/>
      </c>
      <c r="AV39" s="62" t="str">
        <f t="shared" si="6"/>
        <v/>
      </c>
    </row>
    <row r="40" spans="1:48" ht="15.75" customHeight="1">
      <c r="A40" s="54">
        <v>29</v>
      </c>
      <c r="B40" s="64"/>
      <c r="C40" s="65"/>
      <c r="D40" s="65"/>
      <c r="E40" s="65"/>
      <c r="F40" s="65"/>
      <c r="G40" s="65"/>
      <c r="H40" s="65"/>
      <c r="I40" s="65"/>
      <c r="J40" s="65"/>
      <c r="K40" s="67"/>
      <c r="L40" s="68"/>
      <c r="M40" s="69"/>
      <c r="N40" s="65"/>
      <c r="O40" s="65"/>
      <c r="P40" s="56"/>
      <c r="Q40" s="65"/>
      <c r="R40" s="65"/>
      <c r="S40" s="65"/>
      <c r="T40" s="65"/>
      <c r="U40" s="65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1"/>
      <c r="AN40" s="62" t="str">
        <f t="shared" si="0"/>
        <v/>
      </c>
      <c r="AO40" s="71"/>
      <c r="AP40" s="71"/>
      <c r="AQ40" s="62" t="str">
        <f t="shared" si="1"/>
        <v/>
      </c>
      <c r="AR40" s="62" t="str">
        <f t="shared" si="2"/>
        <v/>
      </c>
      <c r="AS40" s="62">
        <f t="shared" si="3"/>
        <v>0</v>
      </c>
      <c r="AT40" s="62" t="str">
        <f t="shared" si="5"/>
        <v/>
      </c>
      <c r="AU40" s="63" t="str">
        <f t="shared" si="4"/>
        <v/>
      </c>
      <c r="AV40" s="62" t="str">
        <f t="shared" si="6"/>
        <v/>
      </c>
    </row>
    <row r="41" spans="1:48" ht="15.75" customHeight="1">
      <c r="A41" s="54">
        <v>30</v>
      </c>
      <c r="B41" s="72"/>
      <c r="C41" s="73"/>
      <c r="D41" s="73"/>
      <c r="E41" s="73"/>
      <c r="F41" s="73"/>
      <c r="G41" s="73"/>
      <c r="H41" s="73"/>
      <c r="I41" s="73"/>
      <c r="J41" s="73"/>
      <c r="K41" s="74"/>
      <c r="L41" s="75"/>
      <c r="M41" s="76"/>
      <c r="N41" s="73"/>
      <c r="O41" s="73"/>
      <c r="P41" s="56"/>
      <c r="Q41" s="73"/>
      <c r="R41" s="73"/>
      <c r="S41" s="73"/>
      <c r="T41" s="73"/>
      <c r="U41" s="73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8"/>
      <c r="AN41" s="62" t="str">
        <f t="shared" si="0"/>
        <v/>
      </c>
      <c r="AO41" s="78"/>
      <c r="AP41" s="78"/>
      <c r="AQ41" s="62" t="str">
        <f t="shared" si="1"/>
        <v/>
      </c>
      <c r="AR41" s="62" t="str">
        <f t="shared" si="2"/>
        <v/>
      </c>
      <c r="AS41" s="62">
        <f t="shared" si="3"/>
        <v>0</v>
      </c>
      <c r="AT41" s="62" t="str">
        <f t="shared" si="5"/>
        <v/>
      </c>
      <c r="AU41" s="63" t="str">
        <f t="shared" si="4"/>
        <v/>
      </c>
      <c r="AV41" s="62" t="str">
        <f t="shared" si="6"/>
        <v/>
      </c>
    </row>
    <row r="42" spans="1:48" ht="15.75" customHeight="1">
      <c r="A42" s="40"/>
      <c r="B42" s="13"/>
      <c r="C42" s="11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41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ht="15.75" customHeight="1">
      <c r="A43" s="40"/>
      <c r="B43" s="13"/>
      <c r="C43" s="11"/>
      <c r="D43" s="13"/>
      <c r="E43" s="13"/>
      <c r="F43" s="13"/>
      <c r="G43" s="13"/>
      <c r="H43" s="13"/>
      <c r="I43" s="11"/>
      <c r="J43" s="11"/>
      <c r="K43" s="11"/>
      <c r="L43" s="11"/>
      <c r="M43" s="13"/>
      <c r="N43" s="13"/>
      <c r="O43" s="13"/>
      <c r="P43" s="13"/>
      <c r="Q43" s="13"/>
      <c r="R43" s="13"/>
      <c r="S43" s="13"/>
      <c r="T43" s="13"/>
      <c r="U43" s="41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ht="15.75" customHeight="1">
      <c r="A44" s="40"/>
      <c r="B44" s="13"/>
      <c r="C44" s="11"/>
      <c r="D44" s="13"/>
      <c r="E44" s="13"/>
      <c r="F44" s="13"/>
      <c r="G44" s="13"/>
      <c r="H44" s="13"/>
      <c r="I44" s="11"/>
      <c r="J44" s="11"/>
      <c r="K44" s="11"/>
      <c r="L44" s="11"/>
      <c r="M44" s="13"/>
      <c r="N44" s="13"/>
      <c r="O44" s="13"/>
      <c r="P44" s="13"/>
      <c r="Q44" s="13"/>
      <c r="R44" s="13"/>
      <c r="S44" s="13"/>
      <c r="T44" s="13"/>
      <c r="U44" s="41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15.75" customHeight="1">
      <c r="A45" s="40"/>
      <c r="B45" s="13"/>
      <c r="C45" s="11"/>
      <c r="D45" s="13"/>
      <c r="E45" s="13"/>
      <c r="F45" s="13"/>
      <c r="G45" s="13"/>
      <c r="H45" s="13"/>
      <c r="I45" s="11"/>
      <c r="J45" s="11"/>
      <c r="K45" s="11"/>
      <c r="L45" s="11"/>
      <c r="M45" s="13"/>
      <c r="N45" s="13"/>
      <c r="O45" s="13"/>
      <c r="P45" s="13"/>
      <c r="Q45" s="13"/>
      <c r="R45" s="13"/>
      <c r="S45" s="13"/>
      <c r="T45" s="13"/>
      <c r="U45" s="41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ht="15.75" customHeight="1">
      <c r="A46" s="40"/>
      <c r="B46" s="13"/>
      <c r="C46" s="11"/>
      <c r="D46" s="13"/>
      <c r="E46" s="13"/>
      <c r="F46" s="13"/>
      <c r="G46" s="13"/>
      <c r="H46" s="13"/>
      <c r="I46" s="11"/>
      <c r="J46" s="11"/>
      <c r="K46" s="11"/>
      <c r="L46" s="11"/>
      <c r="M46" s="13"/>
      <c r="N46" s="13"/>
      <c r="O46" s="13"/>
      <c r="P46" s="13"/>
      <c r="Q46" s="13"/>
      <c r="R46" s="13"/>
      <c r="S46" s="13"/>
      <c r="T46" s="13"/>
      <c r="U46" s="41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ht="15.75" customHeight="1">
      <c r="A47" s="40"/>
      <c r="B47" s="13"/>
      <c r="C47" s="11"/>
      <c r="D47" s="13"/>
      <c r="E47" s="13"/>
      <c r="F47" s="13"/>
      <c r="G47" s="13"/>
      <c r="H47" s="13"/>
      <c r="I47" s="11"/>
      <c r="J47" s="11"/>
      <c r="K47" s="11"/>
      <c r="L47" s="11"/>
      <c r="M47" s="13"/>
      <c r="N47" s="13"/>
      <c r="O47" s="13"/>
      <c r="P47" s="13"/>
      <c r="Q47" s="13"/>
      <c r="R47" s="13"/>
      <c r="S47" s="13"/>
      <c r="T47" s="13"/>
      <c r="U47" s="41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  <row r="48" spans="1:48" ht="15.75" customHeight="1">
      <c r="A48" s="40"/>
      <c r="B48" s="13"/>
      <c r="C48" s="11"/>
      <c r="D48" s="13"/>
      <c r="E48" s="13"/>
      <c r="F48" s="13"/>
      <c r="G48" s="13"/>
      <c r="H48" s="13"/>
      <c r="I48" s="11"/>
      <c r="J48" s="11"/>
      <c r="K48" s="11"/>
      <c r="L48" s="11"/>
      <c r="M48" s="13"/>
      <c r="N48" s="13"/>
      <c r="O48" s="13"/>
      <c r="P48" s="13"/>
      <c r="Q48" s="13"/>
      <c r="R48" s="13"/>
      <c r="S48" s="13"/>
      <c r="T48" s="13"/>
      <c r="U48" s="41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</row>
    <row r="49" spans="1:48" ht="15.75" customHeight="1">
      <c r="A49" s="40"/>
      <c r="B49" s="13"/>
      <c r="C49" s="11"/>
      <c r="D49" s="13"/>
      <c r="E49" s="13"/>
      <c r="F49" s="13"/>
      <c r="G49" s="13"/>
      <c r="H49" s="13"/>
      <c r="I49" s="11"/>
      <c r="J49" s="11"/>
      <c r="K49" s="11"/>
      <c r="L49" s="11"/>
      <c r="M49" s="13"/>
      <c r="N49" s="13"/>
      <c r="O49" s="13"/>
      <c r="P49" s="13"/>
      <c r="Q49" s="13"/>
      <c r="R49" s="13"/>
      <c r="S49" s="13"/>
      <c r="T49" s="13"/>
      <c r="U49" s="41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</row>
    <row r="50" spans="1:48" ht="15.75" customHeight="1">
      <c r="A50" s="40"/>
      <c r="B50" s="13"/>
      <c r="C50" s="11"/>
      <c r="D50" s="13"/>
      <c r="E50" s="13"/>
      <c r="F50" s="13"/>
      <c r="G50" s="13"/>
      <c r="H50" s="13"/>
      <c r="I50" s="11"/>
      <c r="J50" s="11"/>
      <c r="K50" s="11"/>
      <c r="L50" s="11"/>
      <c r="M50" s="13"/>
      <c r="N50" s="13"/>
      <c r="O50" s="13"/>
      <c r="P50" s="13"/>
      <c r="Q50" s="13"/>
      <c r="R50" s="13"/>
      <c r="S50" s="13"/>
      <c r="T50" s="13"/>
      <c r="U50" s="41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</row>
    <row r="51" spans="1:48" ht="15.75" customHeight="1">
      <c r="A51" s="40"/>
      <c r="B51" s="13"/>
      <c r="C51" s="11"/>
      <c r="D51" s="13"/>
      <c r="E51" s="13"/>
      <c r="F51" s="13"/>
      <c r="G51" s="13"/>
      <c r="H51" s="13"/>
      <c r="I51" s="11"/>
      <c r="J51" s="11"/>
      <c r="K51" s="11"/>
      <c r="L51" s="11"/>
      <c r="M51" s="13"/>
      <c r="N51" s="13"/>
      <c r="O51" s="13"/>
      <c r="P51" s="13"/>
      <c r="Q51" s="13"/>
      <c r="R51" s="13"/>
      <c r="S51" s="13"/>
      <c r="T51" s="13"/>
      <c r="U51" s="41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</row>
    <row r="52" spans="1:48" ht="15.75" customHeight="1">
      <c r="A52" s="40"/>
      <c r="B52" s="13"/>
      <c r="C52" s="11"/>
      <c r="D52" s="13"/>
      <c r="E52" s="13"/>
      <c r="F52" s="13"/>
      <c r="G52" s="13"/>
      <c r="H52" s="13"/>
      <c r="I52" s="11"/>
      <c r="J52" s="11"/>
      <c r="K52" s="11"/>
      <c r="L52" s="11"/>
      <c r="M52" s="13"/>
      <c r="N52" s="13"/>
      <c r="O52" s="13"/>
      <c r="P52" s="13"/>
      <c r="Q52" s="13"/>
      <c r="R52" s="13"/>
      <c r="S52" s="13"/>
      <c r="T52" s="13"/>
      <c r="U52" s="41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</row>
    <row r="53" spans="1:48" ht="15.75" customHeight="1">
      <c r="A53" s="40"/>
      <c r="B53" s="13"/>
      <c r="C53" s="11"/>
      <c r="D53" s="13"/>
      <c r="E53" s="13"/>
      <c r="F53" s="13"/>
      <c r="G53" s="13"/>
      <c r="H53" s="13"/>
      <c r="I53" s="11"/>
      <c r="J53" s="11"/>
      <c r="K53" s="11"/>
      <c r="L53" s="11"/>
      <c r="M53" s="13"/>
      <c r="N53" s="13"/>
      <c r="O53" s="13"/>
      <c r="P53" s="13"/>
      <c r="Q53" s="13"/>
      <c r="R53" s="13"/>
      <c r="S53" s="13"/>
      <c r="T53" s="13"/>
      <c r="U53" s="41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</row>
    <row r="54" spans="1:48" ht="15.75" customHeight="1">
      <c r="A54" s="40"/>
      <c r="B54" s="13"/>
      <c r="C54" s="11"/>
      <c r="D54" s="13"/>
      <c r="E54" s="13"/>
      <c r="F54" s="13"/>
      <c r="G54" s="13"/>
      <c r="H54" s="13"/>
      <c r="I54" s="11"/>
      <c r="J54" s="11"/>
      <c r="K54" s="11"/>
      <c r="L54" s="11"/>
      <c r="M54" s="13"/>
      <c r="N54" s="13"/>
      <c r="O54" s="13"/>
      <c r="P54" s="13"/>
      <c r="Q54" s="13"/>
      <c r="R54" s="13"/>
      <c r="S54" s="13"/>
      <c r="T54" s="13"/>
      <c r="U54" s="41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</row>
    <row r="55" spans="1:48" ht="15.75" customHeight="1">
      <c r="A55" s="40"/>
      <c r="B55" s="13"/>
      <c r="C55" s="11"/>
      <c r="D55" s="13"/>
      <c r="E55" s="13"/>
      <c r="F55" s="13"/>
      <c r="G55" s="13"/>
      <c r="H55" s="13"/>
      <c r="I55" s="11"/>
      <c r="J55" s="11"/>
      <c r="K55" s="11"/>
      <c r="L55" s="11"/>
      <c r="M55" s="13"/>
      <c r="N55" s="13"/>
      <c r="O55" s="13"/>
      <c r="P55" s="13"/>
      <c r="Q55" s="13"/>
      <c r="R55" s="13"/>
      <c r="S55" s="13"/>
      <c r="T55" s="13"/>
      <c r="U55" s="41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</row>
    <row r="56" spans="1:48" ht="15.75" customHeight="1">
      <c r="A56" s="40"/>
      <c r="B56" s="13"/>
      <c r="C56" s="11"/>
      <c r="D56" s="13"/>
      <c r="E56" s="13"/>
      <c r="F56" s="13"/>
      <c r="G56" s="13"/>
      <c r="H56" s="13"/>
      <c r="I56" s="11"/>
      <c r="J56" s="11"/>
      <c r="K56" s="11"/>
      <c r="L56" s="11"/>
      <c r="M56" s="13"/>
      <c r="N56" s="13"/>
      <c r="O56" s="13"/>
      <c r="P56" s="13"/>
      <c r="Q56" s="13"/>
      <c r="R56" s="13"/>
      <c r="S56" s="13"/>
      <c r="T56" s="13"/>
      <c r="U56" s="41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</row>
    <row r="57" spans="1:48" ht="15.75" customHeight="1">
      <c r="A57" s="40"/>
      <c r="B57" s="13"/>
      <c r="C57" s="11"/>
      <c r="D57" s="13"/>
      <c r="E57" s="13"/>
      <c r="F57" s="13"/>
      <c r="G57" s="13"/>
      <c r="H57" s="13"/>
      <c r="I57" s="11"/>
      <c r="J57" s="11"/>
      <c r="K57" s="11"/>
      <c r="L57" s="11"/>
      <c r="M57" s="13"/>
      <c r="N57" s="13"/>
      <c r="O57" s="13"/>
      <c r="P57" s="13"/>
      <c r="Q57" s="13"/>
      <c r="R57" s="13"/>
      <c r="S57" s="13"/>
      <c r="T57" s="13"/>
      <c r="U57" s="41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</row>
    <row r="58" spans="1:48" ht="15.75" customHeight="1">
      <c r="A58" s="40"/>
      <c r="B58" s="13"/>
      <c r="C58" s="11"/>
      <c r="D58" s="13"/>
      <c r="E58" s="13"/>
      <c r="F58" s="13"/>
      <c r="G58" s="13"/>
      <c r="H58" s="13"/>
      <c r="I58" s="11"/>
      <c r="J58" s="11"/>
      <c r="K58" s="11"/>
      <c r="L58" s="11"/>
      <c r="M58" s="13"/>
      <c r="N58" s="13"/>
      <c r="O58" s="13"/>
      <c r="P58" s="13"/>
      <c r="Q58" s="13"/>
      <c r="R58" s="13"/>
      <c r="S58" s="13"/>
      <c r="T58" s="13"/>
      <c r="U58" s="41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</row>
    <row r="59" spans="1:48" ht="15.75" customHeight="1">
      <c r="A59" s="40"/>
      <c r="B59" s="13"/>
      <c r="C59" s="11"/>
      <c r="D59" s="13"/>
      <c r="E59" s="13"/>
      <c r="F59" s="13"/>
      <c r="G59" s="13"/>
      <c r="H59" s="13"/>
      <c r="I59" s="11"/>
      <c r="J59" s="11"/>
      <c r="K59" s="11"/>
      <c r="L59" s="11"/>
      <c r="M59" s="13"/>
      <c r="N59" s="13"/>
      <c r="O59" s="13"/>
      <c r="P59" s="13"/>
      <c r="Q59" s="13"/>
      <c r="R59" s="13"/>
      <c r="S59" s="13"/>
      <c r="T59" s="13"/>
      <c r="U59" s="41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</row>
    <row r="60" spans="1:48" ht="15.75" customHeight="1">
      <c r="A60" s="40"/>
      <c r="B60" s="13"/>
      <c r="C60" s="11"/>
      <c r="D60" s="13"/>
      <c r="E60" s="13"/>
      <c r="F60" s="13"/>
      <c r="G60" s="13"/>
      <c r="H60" s="13"/>
      <c r="I60" s="11"/>
      <c r="J60" s="11"/>
      <c r="K60" s="11"/>
      <c r="L60" s="11"/>
      <c r="M60" s="13"/>
      <c r="N60" s="13"/>
      <c r="O60" s="13"/>
      <c r="P60" s="13"/>
      <c r="Q60" s="13"/>
      <c r="R60" s="13"/>
      <c r="S60" s="13"/>
      <c r="T60" s="13"/>
      <c r="U60" s="41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</row>
    <row r="61" spans="1:48" ht="15.75" customHeight="1">
      <c r="A61" s="40"/>
      <c r="B61" s="13"/>
      <c r="C61" s="11"/>
      <c r="D61" s="13"/>
      <c r="E61" s="13"/>
      <c r="F61" s="13"/>
      <c r="G61" s="13"/>
      <c r="H61" s="13"/>
      <c r="I61" s="11"/>
      <c r="J61" s="11"/>
      <c r="K61" s="11"/>
      <c r="L61" s="11"/>
      <c r="M61" s="13"/>
      <c r="N61" s="13"/>
      <c r="O61" s="13"/>
      <c r="P61" s="13"/>
      <c r="Q61" s="13"/>
      <c r="R61" s="13"/>
      <c r="S61" s="13"/>
      <c r="T61" s="13"/>
      <c r="U61" s="41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</row>
    <row r="62" spans="1:48" ht="15.75" customHeight="1">
      <c r="A62" s="40"/>
      <c r="B62" s="13"/>
      <c r="C62" s="11"/>
      <c r="D62" s="13"/>
      <c r="E62" s="13"/>
      <c r="F62" s="13"/>
      <c r="G62" s="13"/>
      <c r="H62" s="13"/>
      <c r="I62" s="11"/>
      <c r="J62" s="11"/>
      <c r="K62" s="11"/>
      <c r="L62" s="11"/>
      <c r="M62" s="13"/>
      <c r="N62" s="13"/>
      <c r="O62" s="13"/>
      <c r="P62" s="13"/>
      <c r="Q62" s="13"/>
      <c r="R62" s="13"/>
      <c r="S62" s="13"/>
      <c r="T62" s="13"/>
      <c r="U62" s="41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</row>
    <row r="63" spans="1:48" ht="15.75" customHeight="1">
      <c r="A63" s="40"/>
      <c r="B63" s="13"/>
      <c r="C63" s="11"/>
      <c r="D63" s="13"/>
      <c r="E63" s="13"/>
      <c r="F63" s="13"/>
      <c r="G63" s="13"/>
      <c r="H63" s="13"/>
      <c r="I63" s="11"/>
      <c r="J63" s="11"/>
      <c r="K63" s="11"/>
      <c r="L63" s="11"/>
      <c r="M63" s="13"/>
      <c r="N63" s="13"/>
      <c r="O63" s="13"/>
      <c r="P63" s="13"/>
      <c r="Q63" s="13"/>
      <c r="R63" s="13"/>
      <c r="S63" s="13"/>
      <c r="T63" s="13"/>
      <c r="U63" s="41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</row>
    <row r="64" spans="1:48" ht="15.75" customHeight="1">
      <c r="A64" s="40"/>
      <c r="B64" s="13"/>
      <c r="C64" s="11"/>
      <c r="D64" s="13"/>
      <c r="E64" s="13"/>
      <c r="F64" s="13"/>
      <c r="G64" s="13"/>
      <c r="H64" s="13"/>
      <c r="I64" s="11"/>
      <c r="J64" s="11"/>
      <c r="K64" s="11"/>
      <c r="L64" s="11"/>
      <c r="M64" s="13"/>
      <c r="N64" s="13"/>
      <c r="O64" s="13"/>
      <c r="P64" s="13"/>
      <c r="Q64" s="13"/>
      <c r="R64" s="13"/>
      <c r="S64" s="13"/>
      <c r="T64" s="13"/>
      <c r="U64" s="41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</row>
    <row r="65" spans="1:48" ht="15.75" customHeight="1">
      <c r="A65" s="40"/>
      <c r="B65" s="13"/>
      <c r="C65" s="11"/>
      <c r="D65" s="13"/>
      <c r="E65" s="13"/>
      <c r="F65" s="13"/>
      <c r="G65" s="13"/>
      <c r="H65" s="13"/>
      <c r="I65" s="11"/>
      <c r="J65" s="11"/>
      <c r="K65" s="11"/>
      <c r="L65" s="11"/>
      <c r="M65" s="13"/>
      <c r="N65" s="13"/>
      <c r="O65" s="13"/>
      <c r="P65" s="13"/>
      <c r="Q65" s="13"/>
      <c r="R65" s="13"/>
      <c r="S65" s="13"/>
      <c r="T65" s="13"/>
      <c r="U65" s="41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</row>
    <row r="66" spans="1:48" ht="15.75" customHeight="1">
      <c r="A66" s="40"/>
      <c r="B66" s="13"/>
      <c r="C66" s="11"/>
      <c r="D66" s="13"/>
      <c r="E66" s="13"/>
      <c r="F66" s="13"/>
      <c r="G66" s="13"/>
      <c r="H66" s="13"/>
      <c r="I66" s="11"/>
      <c r="J66" s="11"/>
      <c r="K66" s="11"/>
      <c r="L66" s="11"/>
      <c r="M66" s="13"/>
      <c r="N66" s="13"/>
      <c r="O66" s="13"/>
      <c r="P66" s="13"/>
      <c r="Q66" s="13"/>
      <c r="R66" s="13"/>
      <c r="S66" s="13"/>
      <c r="T66" s="13"/>
      <c r="U66" s="41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</row>
    <row r="67" spans="1:48" ht="15.75" customHeight="1">
      <c r="A67" s="40"/>
      <c r="B67" s="13"/>
      <c r="C67" s="11"/>
      <c r="D67" s="13"/>
      <c r="E67" s="13"/>
      <c r="F67" s="13"/>
      <c r="G67" s="13"/>
      <c r="H67" s="13"/>
      <c r="I67" s="11"/>
      <c r="J67" s="11"/>
      <c r="K67" s="11"/>
      <c r="L67" s="11"/>
      <c r="M67" s="13"/>
      <c r="N67" s="13"/>
      <c r="O67" s="13"/>
      <c r="P67" s="13"/>
      <c r="Q67" s="13"/>
      <c r="R67" s="13"/>
      <c r="S67" s="13"/>
      <c r="T67" s="13"/>
      <c r="U67" s="41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</row>
    <row r="68" spans="1:48" ht="15.75" customHeight="1">
      <c r="A68" s="40"/>
      <c r="B68" s="13"/>
      <c r="C68" s="11"/>
      <c r="D68" s="13"/>
      <c r="E68" s="13"/>
      <c r="F68" s="13"/>
      <c r="G68" s="13"/>
      <c r="H68" s="13"/>
      <c r="I68" s="11"/>
      <c r="J68" s="11"/>
      <c r="K68" s="11"/>
      <c r="L68" s="11"/>
      <c r="M68" s="13"/>
      <c r="N68" s="13"/>
      <c r="O68" s="13"/>
      <c r="P68" s="13"/>
      <c r="Q68" s="13"/>
      <c r="R68" s="13"/>
      <c r="S68" s="13"/>
      <c r="T68" s="13"/>
      <c r="U68" s="41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</row>
    <row r="69" spans="1:48" ht="15.75" customHeight="1">
      <c r="A69" s="40"/>
      <c r="B69" s="13"/>
      <c r="C69" s="11"/>
      <c r="D69" s="13"/>
      <c r="E69" s="13"/>
      <c r="F69" s="13"/>
      <c r="G69" s="13"/>
      <c r="H69" s="13"/>
      <c r="I69" s="11"/>
      <c r="J69" s="11"/>
      <c r="K69" s="11"/>
      <c r="L69" s="11"/>
      <c r="M69" s="13"/>
      <c r="N69" s="13"/>
      <c r="O69" s="13"/>
      <c r="P69" s="13"/>
      <c r="Q69" s="13"/>
      <c r="R69" s="13"/>
      <c r="S69" s="13"/>
      <c r="T69" s="13"/>
      <c r="U69" s="41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</row>
    <row r="70" spans="1:48" ht="15.75" customHeight="1">
      <c r="A70" s="40"/>
      <c r="B70" s="13"/>
      <c r="C70" s="11"/>
      <c r="D70" s="13"/>
      <c r="E70" s="13"/>
      <c r="F70" s="13"/>
      <c r="G70" s="13"/>
      <c r="H70" s="13"/>
      <c r="I70" s="11"/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41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</row>
    <row r="71" spans="1:48" ht="15.75" customHeight="1">
      <c r="A71" s="40"/>
      <c r="B71" s="13"/>
      <c r="C71" s="11"/>
      <c r="D71" s="13"/>
      <c r="E71" s="13"/>
      <c r="F71" s="13"/>
      <c r="G71" s="13"/>
      <c r="H71" s="13"/>
      <c r="I71" s="11"/>
      <c r="J71" s="11"/>
      <c r="K71" s="11"/>
      <c r="L71" s="11"/>
      <c r="M71" s="13"/>
      <c r="N71" s="13"/>
      <c r="O71" s="13"/>
      <c r="P71" s="13"/>
      <c r="Q71" s="13"/>
      <c r="R71" s="13"/>
      <c r="S71" s="13"/>
      <c r="T71" s="13"/>
      <c r="U71" s="41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</row>
    <row r="72" spans="1:48" ht="15.75" customHeight="1">
      <c r="A72" s="40"/>
      <c r="B72" s="13"/>
      <c r="C72" s="11"/>
      <c r="D72" s="13"/>
      <c r="E72" s="13"/>
      <c r="F72" s="13"/>
      <c r="G72" s="13"/>
      <c r="H72" s="13"/>
      <c r="I72" s="11"/>
      <c r="J72" s="11"/>
      <c r="K72" s="11"/>
      <c r="L72" s="11"/>
      <c r="M72" s="13"/>
      <c r="N72" s="13"/>
      <c r="O72" s="13"/>
      <c r="P72" s="13"/>
      <c r="Q72" s="13"/>
      <c r="R72" s="13"/>
      <c r="S72" s="13"/>
      <c r="T72" s="13"/>
      <c r="U72" s="41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</row>
    <row r="73" spans="1:48" ht="15.75" customHeight="1">
      <c r="A73" s="40"/>
      <c r="B73" s="13"/>
      <c r="C73" s="11"/>
      <c r="D73" s="13"/>
      <c r="E73" s="13"/>
      <c r="F73" s="13"/>
      <c r="G73" s="13"/>
      <c r="H73" s="13"/>
      <c r="I73" s="11"/>
      <c r="J73" s="11"/>
      <c r="K73" s="11"/>
      <c r="L73" s="11"/>
      <c r="M73" s="13"/>
      <c r="N73" s="13"/>
      <c r="O73" s="13"/>
      <c r="P73" s="13"/>
      <c r="Q73" s="13"/>
      <c r="R73" s="13"/>
      <c r="S73" s="13"/>
      <c r="T73" s="13"/>
      <c r="U73" s="41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</row>
    <row r="74" spans="1:48" ht="15.75" customHeight="1">
      <c r="A74" s="40"/>
      <c r="B74" s="13"/>
      <c r="C74" s="11"/>
      <c r="D74" s="13"/>
      <c r="E74" s="13"/>
      <c r="F74" s="13"/>
      <c r="G74" s="13"/>
      <c r="H74" s="13"/>
      <c r="I74" s="11"/>
      <c r="J74" s="11"/>
      <c r="K74" s="11"/>
      <c r="L74" s="11"/>
      <c r="M74" s="13"/>
      <c r="N74" s="13"/>
      <c r="O74" s="13"/>
      <c r="P74" s="13"/>
      <c r="Q74" s="13"/>
      <c r="R74" s="13"/>
      <c r="S74" s="13"/>
      <c r="T74" s="13"/>
      <c r="U74" s="41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</row>
    <row r="75" spans="1:48" ht="15.75" customHeight="1">
      <c r="A75" s="40"/>
      <c r="B75" s="13"/>
      <c r="C75" s="11"/>
      <c r="D75" s="13"/>
      <c r="E75" s="13"/>
      <c r="F75" s="13"/>
      <c r="G75" s="13"/>
      <c r="H75" s="13"/>
      <c r="I75" s="11"/>
      <c r="J75" s="11"/>
      <c r="K75" s="11"/>
      <c r="L75" s="11"/>
      <c r="M75" s="13"/>
      <c r="N75" s="13"/>
      <c r="O75" s="13"/>
      <c r="P75" s="13"/>
      <c r="Q75" s="13"/>
      <c r="R75" s="13"/>
      <c r="S75" s="13"/>
      <c r="T75" s="13"/>
      <c r="U75" s="41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</row>
    <row r="76" spans="1:48" ht="15.75" customHeight="1">
      <c r="A76" s="40"/>
      <c r="B76" s="13"/>
      <c r="C76" s="11"/>
      <c r="D76" s="13"/>
      <c r="E76" s="13"/>
      <c r="F76" s="13"/>
      <c r="G76" s="13"/>
      <c r="H76" s="13"/>
      <c r="I76" s="11"/>
      <c r="J76" s="11"/>
      <c r="K76" s="11"/>
      <c r="L76" s="11"/>
      <c r="M76" s="13"/>
      <c r="N76" s="13"/>
      <c r="O76" s="13"/>
      <c r="P76" s="13"/>
      <c r="Q76" s="13"/>
      <c r="R76" s="13"/>
      <c r="S76" s="13"/>
      <c r="T76" s="13"/>
      <c r="U76" s="41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ht="15.75" customHeight="1">
      <c r="A77" s="40"/>
      <c r="B77" s="13"/>
      <c r="C77" s="11"/>
      <c r="D77" s="13"/>
      <c r="E77" s="13"/>
      <c r="F77" s="13"/>
      <c r="G77" s="13"/>
      <c r="H77" s="13"/>
      <c r="I77" s="11"/>
      <c r="J77" s="11"/>
      <c r="K77" s="11"/>
      <c r="L77" s="11"/>
      <c r="M77" s="13"/>
      <c r="N77" s="13"/>
      <c r="O77" s="13"/>
      <c r="P77" s="13"/>
      <c r="Q77" s="13"/>
      <c r="R77" s="13"/>
      <c r="S77" s="13"/>
      <c r="T77" s="13"/>
      <c r="U77" s="41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</row>
    <row r="78" spans="1:48" ht="15.75" customHeight="1">
      <c r="A78" s="40"/>
      <c r="B78" s="13"/>
      <c r="C78" s="11"/>
      <c r="D78" s="13"/>
      <c r="E78" s="13"/>
      <c r="F78" s="13"/>
      <c r="G78" s="13"/>
      <c r="H78" s="13"/>
      <c r="I78" s="11"/>
      <c r="J78" s="11"/>
      <c r="K78" s="11"/>
      <c r="L78" s="11"/>
      <c r="M78" s="13"/>
      <c r="N78" s="13"/>
      <c r="O78" s="13"/>
      <c r="P78" s="13"/>
      <c r="Q78" s="13"/>
      <c r="R78" s="13"/>
      <c r="S78" s="13"/>
      <c r="T78" s="13"/>
      <c r="U78" s="41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</row>
    <row r="79" spans="1:48" ht="15.75" customHeight="1">
      <c r="A79" s="40"/>
      <c r="B79" s="13"/>
      <c r="C79" s="11"/>
      <c r="D79" s="13"/>
      <c r="E79" s="13"/>
      <c r="F79" s="13"/>
      <c r="G79" s="13"/>
      <c r="H79" s="13"/>
      <c r="I79" s="11"/>
      <c r="J79" s="11"/>
      <c r="K79" s="11"/>
      <c r="L79" s="11"/>
      <c r="M79" s="13"/>
      <c r="N79" s="13"/>
      <c r="O79" s="13"/>
      <c r="P79" s="13"/>
      <c r="Q79" s="13"/>
      <c r="R79" s="13"/>
      <c r="S79" s="13"/>
      <c r="T79" s="13"/>
      <c r="U79" s="41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</row>
    <row r="80" spans="1:48" ht="15.75" customHeight="1">
      <c r="A80" s="40"/>
      <c r="B80" s="13"/>
      <c r="C80" s="11"/>
      <c r="D80" s="13"/>
      <c r="E80" s="13"/>
      <c r="F80" s="13"/>
      <c r="G80" s="13"/>
      <c r="H80" s="13"/>
      <c r="I80" s="11"/>
      <c r="J80" s="11"/>
      <c r="K80" s="11"/>
      <c r="L80" s="11"/>
      <c r="M80" s="13"/>
      <c r="N80" s="13"/>
      <c r="O80" s="13"/>
      <c r="P80" s="13"/>
      <c r="Q80" s="13"/>
      <c r="R80" s="13"/>
      <c r="S80" s="13"/>
      <c r="T80" s="13"/>
      <c r="U80" s="41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</row>
    <row r="81" spans="1:48" ht="15.75" customHeight="1">
      <c r="A81" s="40"/>
      <c r="B81" s="13"/>
      <c r="C81" s="11"/>
      <c r="D81" s="13"/>
      <c r="E81" s="13"/>
      <c r="F81" s="13"/>
      <c r="G81" s="13"/>
      <c r="H81" s="13"/>
      <c r="I81" s="11"/>
      <c r="J81" s="11"/>
      <c r="K81" s="11"/>
      <c r="L81" s="11"/>
      <c r="M81" s="13"/>
      <c r="N81" s="13"/>
      <c r="O81" s="13"/>
      <c r="P81" s="13"/>
      <c r="Q81" s="13"/>
      <c r="R81" s="13"/>
      <c r="S81" s="13"/>
      <c r="T81" s="13"/>
      <c r="U81" s="41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</row>
    <row r="82" spans="1:48" ht="15.75" customHeight="1">
      <c r="A82" s="40"/>
      <c r="B82" s="13"/>
      <c r="C82" s="11"/>
      <c r="D82" s="13"/>
      <c r="E82" s="13"/>
      <c r="F82" s="13"/>
      <c r="G82" s="13"/>
      <c r="H82" s="13"/>
      <c r="I82" s="11"/>
      <c r="J82" s="11"/>
      <c r="K82" s="11"/>
      <c r="L82" s="11"/>
      <c r="M82" s="13"/>
      <c r="N82" s="13"/>
      <c r="O82" s="13"/>
      <c r="P82" s="13"/>
      <c r="Q82" s="13"/>
      <c r="R82" s="13"/>
      <c r="S82" s="13"/>
      <c r="T82" s="13"/>
      <c r="U82" s="41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</row>
    <row r="83" spans="1:48" ht="15.75" customHeight="1">
      <c r="A83" s="40"/>
      <c r="B83" s="13"/>
      <c r="C83" s="11"/>
      <c r="D83" s="13"/>
      <c r="E83" s="13"/>
      <c r="F83" s="13"/>
      <c r="G83" s="13"/>
      <c r="H83" s="13"/>
      <c r="I83" s="11"/>
      <c r="J83" s="11"/>
      <c r="K83" s="11"/>
      <c r="L83" s="11"/>
      <c r="M83" s="13"/>
      <c r="N83" s="13"/>
      <c r="O83" s="13"/>
      <c r="P83" s="13"/>
      <c r="Q83" s="13"/>
      <c r="R83" s="13"/>
      <c r="S83" s="13"/>
      <c r="T83" s="13"/>
      <c r="U83" s="41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</row>
    <row r="84" spans="1:48" ht="15.75" customHeight="1">
      <c r="A84" s="40"/>
      <c r="B84" s="13"/>
      <c r="C84" s="11"/>
      <c r="D84" s="13"/>
      <c r="E84" s="13"/>
      <c r="F84" s="13"/>
      <c r="G84" s="13"/>
      <c r="H84" s="13"/>
      <c r="I84" s="11"/>
      <c r="J84" s="11"/>
      <c r="K84" s="11"/>
      <c r="L84" s="11"/>
      <c r="M84" s="13"/>
      <c r="N84" s="13"/>
      <c r="O84" s="13"/>
      <c r="P84" s="13"/>
      <c r="Q84" s="13"/>
      <c r="R84" s="13"/>
      <c r="S84" s="13"/>
      <c r="T84" s="13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</row>
    <row r="85" spans="1:48" ht="15.75" customHeight="1">
      <c r="A85" s="40"/>
      <c r="B85" s="13"/>
      <c r="C85" s="11"/>
      <c r="D85" s="13"/>
      <c r="E85" s="13"/>
      <c r="F85" s="13"/>
      <c r="G85" s="13"/>
      <c r="H85" s="13"/>
      <c r="I85" s="11"/>
      <c r="J85" s="11"/>
      <c r="K85" s="11"/>
      <c r="L85" s="11"/>
      <c r="M85" s="13"/>
      <c r="N85" s="13"/>
      <c r="O85" s="13"/>
      <c r="P85" s="13"/>
      <c r="Q85" s="13"/>
      <c r="R85" s="13"/>
      <c r="S85" s="13"/>
      <c r="T85" s="13"/>
      <c r="U85" s="41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</row>
    <row r="86" spans="1:48" ht="15.75" customHeight="1">
      <c r="A86" s="40"/>
      <c r="B86" s="13"/>
      <c r="C86" s="11"/>
      <c r="D86" s="13"/>
      <c r="E86" s="13"/>
      <c r="F86" s="13"/>
      <c r="G86" s="13"/>
      <c r="H86" s="13"/>
      <c r="I86" s="11"/>
      <c r="J86" s="11"/>
      <c r="K86" s="11"/>
      <c r="L86" s="11"/>
      <c r="M86" s="13"/>
      <c r="N86" s="13"/>
      <c r="O86" s="13"/>
      <c r="P86" s="13"/>
      <c r="Q86" s="13"/>
      <c r="R86" s="13"/>
      <c r="S86" s="13"/>
      <c r="T86" s="13"/>
      <c r="U86" s="41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</row>
    <row r="87" spans="1:48" ht="15.75" customHeight="1">
      <c r="A87" s="40"/>
      <c r="B87" s="13"/>
      <c r="C87" s="11"/>
      <c r="D87" s="13"/>
      <c r="E87" s="13"/>
      <c r="F87" s="13"/>
      <c r="G87" s="13"/>
      <c r="H87" s="13"/>
      <c r="I87" s="11"/>
      <c r="J87" s="11"/>
      <c r="K87" s="11"/>
      <c r="L87" s="11"/>
      <c r="M87" s="13"/>
      <c r="N87" s="13"/>
      <c r="O87" s="13"/>
      <c r="P87" s="13"/>
      <c r="Q87" s="13"/>
      <c r="R87" s="13"/>
      <c r="S87" s="13"/>
      <c r="T87" s="13"/>
      <c r="U87" s="41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</row>
    <row r="88" spans="1:48" ht="15.75" customHeight="1">
      <c r="A88" s="40"/>
      <c r="B88" s="13"/>
      <c r="C88" s="11"/>
      <c r="D88" s="13"/>
      <c r="E88" s="13"/>
      <c r="F88" s="13"/>
      <c r="G88" s="13"/>
      <c r="H88" s="13"/>
      <c r="I88" s="11"/>
      <c r="J88" s="11"/>
      <c r="K88" s="11"/>
      <c r="L88" s="11"/>
      <c r="M88" s="13"/>
      <c r="N88" s="13"/>
      <c r="O88" s="13"/>
      <c r="P88" s="13"/>
      <c r="Q88" s="13"/>
      <c r="R88" s="13"/>
      <c r="S88" s="13"/>
      <c r="T88" s="13"/>
      <c r="U88" s="41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</row>
    <row r="89" spans="1:48" ht="15.75" customHeight="1">
      <c r="A89" s="40"/>
      <c r="B89" s="13"/>
      <c r="C89" s="11"/>
      <c r="D89" s="13"/>
      <c r="E89" s="13"/>
      <c r="F89" s="13"/>
      <c r="G89" s="13"/>
      <c r="H89" s="13"/>
      <c r="I89" s="11"/>
      <c r="J89" s="11"/>
      <c r="K89" s="11"/>
      <c r="L89" s="11"/>
      <c r="M89" s="13"/>
      <c r="N89" s="13"/>
      <c r="O89" s="13"/>
      <c r="P89" s="13"/>
      <c r="Q89" s="13"/>
      <c r="R89" s="13"/>
      <c r="S89" s="13"/>
      <c r="T89" s="13"/>
      <c r="U89" s="41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</row>
    <row r="90" spans="1:48" ht="15.75" customHeight="1">
      <c r="A90" s="40"/>
      <c r="B90" s="13"/>
      <c r="C90" s="11"/>
      <c r="D90" s="13"/>
      <c r="E90" s="13"/>
      <c r="F90" s="13"/>
      <c r="G90" s="13"/>
      <c r="H90" s="13"/>
      <c r="I90" s="11"/>
      <c r="J90" s="11"/>
      <c r="K90" s="11"/>
      <c r="L90" s="11"/>
      <c r="M90" s="13"/>
      <c r="N90" s="13"/>
      <c r="O90" s="13"/>
      <c r="P90" s="13"/>
      <c r="Q90" s="13"/>
      <c r="R90" s="13"/>
      <c r="S90" s="13"/>
      <c r="T90" s="13"/>
      <c r="U90" s="41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</row>
    <row r="91" spans="1:48" ht="15.75" customHeight="1">
      <c r="A91" s="40"/>
      <c r="B91" s="13"/>
      <c r="C91" s="11"/>
      <c r="D91" s="13"/>
      <c r="E91" s="13"/>
      <c r="F91" s="13"/>
      <c r="G91" s="13"/>
      <c r="H91" s="13"/>
      <c r="I91" s="11"/>
      <c r="J91" s="11"/>
      <c r="K91" s="11"/>
      <c r="L91" s="11"/>
      <c r="M91" s="13"/>
      <c r="N91" s="13"/>
      <c r="O91" s="13"/>
      <c r="P91" s="13"/>
      <c r="Q91" s="13"/>
      <c r="R91" s="13"/>
      <c r="S91" s="13"/>
      <c r="T91" s="13"/>
      <c r="U91" s="41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</row>
    <row r="92" spans="1:48" ht="15.75" customHeight="1">
      <c r="A92" s="40"/>
      <c r="B92" s="13"/>
      <c r="C92" s="11"/>
      <c r="D92" s="13"/>
      <c r="E92" s="13"/>
      <c r="F92" s="13"/>
      <c r="G92" s="13"/>
      <c r="H92" s="13"/>
      <c r="I92" s="11"/>
      <c r="J92" s="11"/>
      <c r="K92" s="11"/>
      <c r="L92" s="11"/>
      <c r="M92" s="13"/>
      <c r="N92" s="13"/>
      <c r="O92" s="13"/>
      <c r="P92" s="13"/>
      <c r="Q92" s="13"/>
      <c r="R92" s="13"/>
      <c r="S92" s="13"/>
      <c r="T92" s="13"/>
      <c r="U92" s="41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</row>
    <row r="93" spans="1:48" ht="15.75" customHeight="1">
      <c r="A93" s="40"/>
      <c r="B93" s="13"/>
      <c r="C93" s="11"/>
      <c r="D93" s="13"/>
      <c r="E93" s="13"/>
      <c r="F93" s="13"/>
      <c r="G93" s="13"/>
      <c r="H93" s="13"/>
      <c r="I93" s="11"/>
      <c r="J93" s="11"/>
      <c r="K93" s="11"/>
      <c r="L93" s="11"/>
      <c r="M93" s="13"/>
      <c r="N93" s="13"/>
      <c r="O93" s="13"/>
      <c r="P93" s="13"/>
      <c r="Q93" s="13"/>
      <c r="R93" s="13"/>
      <c r="S93" s="13"/>
      <c r="T93" s="13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</row>
    <row r="94" spans="1:48" ht="15.75" customHeight="1">
      <c r="A94" s="40"/>
      <c r="B94" s="13"/>
      <c r="C94" s="11"/>
      <c r="D94" s="13"/>
      <c r="E94" s="13"/>
      <c r="F94" s="13"/>
      <c r="G94" s="13"/>
      <c r="H94" s="13"/>
      <c r="I94" s="11"/>
      <c r="J94" s="11"/>
      <c r="K94" s="11"/>
      <c r="L94" s="11"/>
      <c r="M94" s="13"/>
      <c r="N94" s="13"/>
      <c r="O94" s="13"/>
      <c r="P94" s="13"/>
      <c r="Q94" s="13"/>
      <c r="R94" s="13"/>
      <c r="S94" s="13"/>
      <c r="T94" s="13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1:48" ht="15.75" customHeight="1">
      <c r="A95" s="40"/>
      <c r="B95" s="13"/>
      <c r="C95" s="11"/>
      <c r="D95" s="13"/>
      <c r="E95" s="13"/>
      <c r="F95" s="13"/>
      <c r="G95" s="13"/>
      <c r="H95" s="13"/>
      <c r="I95" s="11"/>
      <c r="J95" s="11"/>
      <c r="K95" s="11"/>
      <c r="L95" s="11"/>
      <c r="M95" s="13"/>
      <c r="N95" s="13"/>
      <c r="O95" s="13"/>
      <c r="P95" s="13"/>
      <c r="Q95" s="13"/>
      <c r="R95" s="13"/>
      <c r="S95" s="13"/>
      <c r="T95" s="13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</row>
    <row r="96" spans="1:48" ht="15.75" customHeight="1">
      <c r="A96" s="40"/>
      <c r="B96" s="13"/>
      <c r="C96" s="11"/>
      <c r="D96" s="13"/>
      <c r="E96" s="13"/>
      <c r="F96" s="13"/>
      <c r="G96" s="13"/>
      <c r="H96" s="13"/>
      <c r="I96" s="11"/>
      <c r="J96" s="11"/>
      <c r="K96" s="11"/>
      <c r="L96" s="11"/>
      <c r="M96" s="13"/>
      <c r="N96" s="13"/>
      <c r="O96" s="13"/>
      <c r="P96" s="13"/>
      <c r="Q96" s="13"/>
      <c r="R96" s="13"/>
      <c r="S96" s="13"/>
      <c r="T96" s="13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1:48" ht="15.75" customHeight="1">
      <c r="A97" s="40"/>
      <c r="B97" s="13"/>
      <c r="C97" s="11"/>
      <c r="D97" s="13"/>
      <c r="E97" s="13"/>
      <c r="F97" s="13"/>
      <c r="G97" s="13"/>
      <c r="H97" s="13"/>
      <c r="I97" s="11"/>
      <c r="J97" s="11"/>
      <c r="K97" s="11"/>
      <c r="L97" s="11"/>
      <c r="M97" s="13"/>
      <c r="N97" s="13"/>
      <c r="O97" s="13"/>
      <c r="P97" s="13"/>
      <c r="Q97" s="13"/>
      <c r="R97" s="13"/>
      <c r="S97" s="13"/>
      <c r="T97" s="13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1:48" ht="15.75" customHeight="1">
      <c r="A98" s="40"/>
      <c r="B98" s="13"/>
      <c r="C98" s="11"/>
      <c r="D98" s="13"/>
      <c r="E98" s="13"/>
      <c r="F98" s="13"/>
      <c r="G98" s="13"/>
      <c r="H98" s="13"/>
      <c r="I98" s="11"/>
      <c r="J98" s="11"/>
      <c r="K98" s="11"/>
      <c r="L98" s="11"/>
      <c r="M98" s="13"/>
      <c r="N98" s="13"/>
      <c r="O98" s="13"/>
      <c r="P98" s="13"/>
      <c r="Q98" s="13"/>
      <c r="R98" s="13"/>
      <c r="S98" s="13"/>
      <c r="T98" s="13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</row>
    <row r="99" spans="1:48" ht="15.75" customHeight="1">
      <c r="A99" s="40"/>
      <c r="B99" s="13"/>
      <c r="C99" s="11"/>
      <c r="D99" s="13"/>
      <c r="E99" s="13"/>
      <c r="F99" s="13"/>
      <c r="G99" s="13"/>
      <c r="H99" s="13"/>
      <c r="I99" s="11"/>
      <c r="J99" s="11"/>
      <c r="K99" s="11"/>
      <c r="L99" s="11"/>
      <c r="M99" s="13"/>
      <c r="N99" s="13"/>
      <c r="O99" s="13"/>
      <c r="P99" s="13"/>
      <c r="Q99" s="13"/>
      <c r="R99" s="13"/>
      <c r="S99" s="13"/>
      <c r="T99" s="13"/>
      <c r="U99" s="41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</row>
    <row r="100" spans="1:48" ht="15.75" customHeight="1">
      <c r="A100" s="40"/>
      <c r="B100" s="13"/>
      <c r="C100" s="11"/>
      <c r="D100" s="13"/>
      <c r="E100" s="13"/>
      <c r="F100" s="13"/>
      <c r="G100" s="13"/>
      <c r="H100" s="13"/>
      <c r="I100" s="11"/>
      <c r="J100" s="11"/>
      <c r="K100" s="11"/>
      <c r="L100" s="11"/>
      <c r="M100" s="13"/>
      <c r="N100" s="13"/>
      <c r="O100" s="13"/>
      <c r="P100" s="13"/>
      <c r="Q100" s="13"/>
      <c r="R100" s="13"/>
      <c r="S100" s="13"/>
      <c r="T100" s="13"/>
      <c r="U100" s="41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1:48" ht="15.75" customHeight="1">
      <c r="A101" s="40"/>
      <c r="B101" s="13"/>
      <c r="C101" s="11"/>
      <c r="D101" s="13"/>
      <c r="E101" s="13"/>
      <c r="F101" s="13"/>
      <c r="G101" s="13"/>
      <c r="H101" s="13"/>
      <c r="I101" s="11"/>
      <c r="J101" s="11"/>
      <c r="K101" s="11"/>
      <c r="L101" s="11"/>
      <c r="M101" s="13"/>
      <c r="N101" s="13"/>
      <c r="O101" s="13"/>
      <c r="P101" s="13"/>
      <c r="Q101" s="13"/>
      <c r="R101" s="13"/>
      <c r="S101" s="13"/>
      <c r="T101" s="13"/>
      <c r="U101" s="41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</row>
    <row r="102" spans="1:48" ht="15.75" customHeight="1">
      <c r="A102" s="40"/>
      <c r="B102" s="13"/>
      <c r="C102" s="11"/>
      <c r="D102" s="13"/>
      <c r="E102" s="13"/>
      <c r="F102" s="13"/>
      <c r="G102" s="13"/>
      <c r="H102" s="13"/>
      <c r="I102" s="11"/>
      <c r="J102" s="11"/>
      <c r="K102" s="11"/>
      <c r="L102" s="11"/>
      <c r="M102" s="13"/>
      <c r="N102" s="13"/>
      <c r="O102" s="13"/>
      <c r="P102" s="13"/>
      <c r="Q102" s="13"/>
      <c r="R102" s="13"/>
      <c r="S102" s="13"/>
      <c r="T102" s="13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</row>
    <row r="103" spans="1:48" ht="15.75" customHeight="1">
      <c r="A103" s="40"/>
      <c r="B103" s="13"/>
      <c r="C103" s="11"/>
      <c r="D103" s="13"/>
      <c r="E103" s="13"/>
      <c r="F103" s="13"/>
      <c r="G103" s="13"/>
      <c r="H103" s="13"/>
      <c r="I103" s="11"/>
      <c r="J103" s="11"/>
      <c r="K103" s="11"/>
      <c r="L103" s="11"/>
      <c r="M103" s="13"/>
      <c r="N103" s="13"/>
      <c r="O103" s="13"/>
      <c r="P103" s="13"/>
      <c r="Q103" s="13"/>
      <c r="R103" s="13"/>
      <c r="S103" s="13"/>
      <c r="T103" s="13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 spans="1:48" ht="15.75" customHeight="1">
      <c r="A104" s="40"/>
      <c r="B104" s="13"/>
      <c r="C104" s="11"/>
      <c r="D104" s="13"/>
      <c r="E104" s="13"/>
      <c r="F104" s="13"/>
      <c r="G104" s="13"/>
      <c r="H104" s="13"/>
      <c r="I104" s="11"/>
      <c r="J104" s="11"/>
      <c r="K104" s="11"/>
      <c r="L104" s="11"/>
      <c r="M104" s="13"/>
      <c r="N104" s="13"/>
      <c r="O104" s="13"/>
      <c r="P104" s="13"/>
      <c r="Q104" s="13"/>
      <c r="R104" s="13"/>
      <c r="S104" s="13"/>
      <c r="T104" s="13"/>
      <c r="U104" s="41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  <row r="105" spans="1:48" ht="15.75" customHeight="1">
      <c r="A105" s="40"/>
      <c r="B105" s="13"/>
      <c r="C105" s="11"/>
      <c r="D105" s="13"/>
      <c r="E105" s="13"/>
      <c r="F105" s="13"/>
      <c r="G105" s="13"/>
      <c r="H105" s="13"/>
      <c r="I105" s="11"/>
      <c r="J105" s="11"/>
      <c r="K105" s="11"/>
      <c r="L105" s="11"/>
      <c r="M105" s="13"/>
      <c r="N105" s="13"/>
      <c r="O105" s="13"/>
      <c r="P105" s="13"/>
      <c r="Q105" s="13"/>
      <c r="R105" s="13"/>
      <c r="S105" s="13"/>
      <c r="T105" s="13"/>
      <c r="U105" s="41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</row>
    <row r="106" spans="1:48" ht="15.75" customHeight="1">
      <c r="A106" s="40"/>
      <c r="B106" s="13"/>
      <c r="C106" s="11"/>
      <c r="D106" s="13"/>
      <c r="E106" s="13"/>
      <c r="F106" s="13"/>
      <c r="G106" s="13"/>
      <c r="H106" s="13"/>
      <c r="I106" s="11"/>
      <c r="J106" s="11"/>
      <c r="K106" s="11"/>
      <c r="L106" s="11"/>
      <c r="M106" s="13"/>
      <c r="N106" s="13"/>
      <c r="O106" s="13"/>
      <c r="P106" s="13"/>
      <c r="Q106" s="13"/>
      <c r="R106" s="13"/>
      <c r="S106" s="13"/>
      <c r="T106" s="13"/>
      <c r="U106" s="41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</row>
    <row r="107" spans="1:48" ht="15.75" customHeight="1">
      <c r="A107" s="40"/>
      <c r="B107" s="13"/>
      <c r="C107" s="11"/>
      <c r="D107" s="13"/>
      <c r="E107" s="13"/>
      <c r="F107" s="13"/>
      <c r="G107" s="13"/>
      <c r="H107" s="13"/>
      <c r="I107" s="11"/>
      <c r="J107" s="11"/>
      <c r="K107" s="11"/>
      <c r="L107" s="11"/>
      <c r="M107" s="13"/>
      <c r="N107" s="13"/>
      <c r="O107" s="13"/>
      <c r="P107" s="13"/>
      <c r="Q107" s="13"/>
      <c r="R107" s="13"/>
      <c r="S107" s="13"/>
      <c r="T107" s="13"/>
      <c r="U107" s="41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1:48" ht="15.75" customHeight="1">
      <c r="A108" s="40"/>
      <c r="B108" s="13"/>
      <c r="C108" s="11"/>
      <c r="D108" s="13"/>
      <c r="E108" s="13"/>
      <c r="F108" s="13"/>
      <c r="G108" s="13"/>
      <c r="H108" s="13"/>
      <c r="I108" s="11"/>
      <c r="J108" s="11"/>
      <c r="K108" s="11"/>
      <c r="L108" s="11"/>
      <c r="M108" s="13"/>
      <c r="N108" s="13"/>
      <c r="O108" s="13"/>
      <c r="P108" s="13"/>
      <c r="Q108" s="13"/>
      <c r="R108" s="13"/>
      <c r="S108" s="13"/>
      <c r="T108" s="13"/>
      <c r="U108" s="41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</row>
    <row r="109" spans="1:48" ht="15.75" customHeight="1">
      <c r="A109" s="40"/>
      <c r="B109" s="13"/>
      <c r="C109" s="11"/>
      <c r="D109" s="13"/>
      <c r="E109" s="13"/>
      <c r="F109" s="13"/>
      <c r="G109" s="13"/>
      <c r="H109" s="13"/>
      <c r="I109" s="11"/>
      <c r="J109" s="11"/>
      <c r="K109" s="11"/>
      <c r="L109" s="11"/>
      <c r="M109" s="13"/>
      <c r="N109" s="13"/>
      <c r="O109" s="13"/>
      <c r="P109" s="13"/>
      <c r="Q109" s="13"/>
      <c r="R109" s="13"/>
      <c r="S109" s="13"/>
      <c r="T109" s="13"/>
      <c r="U109" s="41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</row>
    <row r="110" spans="1:48" ht="15.75" customHeight="1">
      <c r="A110" s="40"/>
      <c r="B110" s="13"/>
      <c r="C110" s="11"/>
      <c r="D110" s="13"/>
      <c r="E110" s="13"/>
      <c r="F110" s="13"/>
      <c r="G110" s="13"/>
      <c r="H110" s="13"/>
      <c r="I110" s="11"/>
      <c r="J110" s="11"/>
      <c r="K110" s="11"/>
      <c r="L110" s="11"/>
      <c r="M110" s="13"/>
      <c r="N110" s="13"/>
      <c r="O110" s="13"/>
      <c r="P110" s="13"/>
      <c r="Q110" s="13"/>
      <c r="R110" s="13"/>
      <c r="S110" s="13"/>
      <c r="T110" s="13"/>
      <c r="U110" s="41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1:48" ht="15.75" customHeight="1">
      <c r="A111" s="40"/>
      <c r="B111" s="13"/>
      <c r="C111" s="11"/>
      <c r="D111" s="13"/>
      <c r="E111" s="13"/>
      <c r="F111" s="13"/>
      <c r="G111" s="13"/>
      <c r="H111" s="13"/>
      <c r="I111" s="11"/>
      <c r="J111" s="11"/>
      <c r="K111" s="11"/>
      <c r="L111" s="11"/>
      <c r="M111" s="13"/>
      <c r="N111" s="13"/>
      <c r="O111" s="13"/>
      <c r="P111" s="13"/>
      <c r="Q111" s="13"/>
      <c r="R111" s="13"/>
      <c r="S111" s="13"/>
      <c r="T111" s="13"/>
      <c r="U111" s="41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</row>
    <row r="112" spans="1:48" ht="15.75" customHeight="1">
      <c r="A112" s="40"/>
      <c r="B112" s="13"/>
      <c r="C112" s="11"/>
      <c r="D112" s="13"/>
      <c r="E112" s="13"/>
      <c r="F112" s="13"/>
      <c r="G112" s="13"/>
      <c r="H112" s="13"/>
      <c r="I112" s="11"/>
      <c r="J112" s="11"/>
      <c r="K112" s="11"/>
      <c r="L112" s="11"/>
      <c r="M112" s="13"/>
      <c r="N112" s="13"/>
      <c r="O112" s="13"/>
      <c r="P112" s="13"/>
      <c r="Q112" s="13"/>
      <c r="R112" s="13"/>
      <c r="S112" s="13"/>
      <c r="T112" s="13"/>
      <c r="U112" s="41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spans="1:48" ht="15.75" customHeight="1">
      <c r="A113" s="40"/>
      <c r="B113" s="13"/>
      <c r="C113" s="11"/>
      <c r="D113" s="13"/>
      <c r="E113" s="13"/>
      <c r="F113" s="13"/>
      <c r="G113" s="13"/>
      <c r="H113" s="13"/>
      <c r="I113" s="11"/>
      <c r="J113" s="11"/>
      <c r="K113" s="11"/>
      <c r="L113" s="11"/>
      <c r="M113" s="13"/>
      <c r="N113" s="13"/>
      <c r="O113" s="13"/>
      <c r="P113" s="13"/>
      <c r="Q113" s="13"/>
      <c r="R113" s="13"/>
      <c r="S113" s="13"/>
      <c r="T113" s="13"/>
      <c r="U113" s="41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</row>
    <row r="114" spans="1:48" ht="15.75" customHeight="1">
      <c r="A114" s="40"/>
      <c r="B114" s="13"/>
      <c r="C114" s="11"/>
      <c r="D114" s="13"/>
      <c r="E114" s="13"/>
      <c r="F114" s="13"/>
      <c r="G114" s="13"/>
      <c r="H114" s="13"/>
      <c r="I114" s="11"/>
      <c r="J114" s="11"/>
      <c r="K114" s="11"/>
      <c r="L114" s="11"/>
      <c r="M114" s="13"/>
      <c r="N114" s="13"/>
      <c r="O114" s="13"/>
      <c r="P114" s="13"/>
      <c r="Q114" s="13"/>
      <c r="R114" s="13"/>
      <c r="S114" s="13"/>
      <c r="T114" s="13"/>
      <c r="U114" s="41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</row>
    <row r="115" spans="1:48" ht="15.75" customHeight="1">
      <c r="A115" s="40"/>
      <c r="B115" s="13"/>
      <c r="C115" s="11"/>
      <c r="D115" s="13"/>
      <c r="E115" s="13"/>
      <c r="F115" s="13"/>
      <c r="G115" s="13"/>
      <c r="H115" s="13"/>
      <c r="I115" s="11"/>
      <c r="J115" s="11"/>
      <c r="K115" s="11"/>
      <c r="L115" s="11"/>
      <c r="M115" s="13"/>
      <c r="N115" s="13"/>
      <c r="O115" s="13"/>
      <c r="P115" s="13"/>
      <c r="Q115" s="13"/>
      <c r="R115" s="13"/>
      <c r="S115" s="13"/>
      <c r="T115" s="13"/>
      <c r="U115" s="41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</row>
    <row r="116" spans="1:48" ht="15.75" customHeight="1">
      <c r="A116" s="40"/>
      <c r="B116" s="13"/>
      <c r="C116" s="11"/>
      <c r="D116" s="13"/>
      <c r="E116" s="13"/>
      <c r="F116" s="13"/>
      <c r="G116" s="13"/>
      <c r="H116" s="13"/>
      <c r="I116" s="11"/>
      <c r="J116" s="11"/>
      <c r="K116" s="11"/>
      <c r="L116" s="11"/>
      <c r="M116" s="13"/>
      <c r="N116" s="13"/>
      <c r="O116" s="13"/>
      <c r="P116" s="13"/>
      <c r="Q116" s="13"/>
      <c r="R116" s="13"/>
      <c r="S116" s="13"/>
      <c r="T116" s="13"/>
      <c r="U116" s="41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</row>
    <row r="117" spans="1:48" ht="15.75" customHeight="1">
      <c r="A117" s="40"/>
      <c r="B117" s="13"/>
      <c r="C117" s="11"/>
      <c r="D117" s="13"/>
      <c r="E117" s="13"/>
      <c r="F117" s="13"/>
      <c r="G117" s="13"/>
      <c r="H117" s="13"/>
      <c r="I117" s="11"/>
      <c r="J117" s="11"/>
      <c r="K117" s="11"/>
      <c r="L117" s="11"/>
      <c r="M117" s="13"/>
      <c r="N117" s="13"/>
      <c r="O117" s="13"/>
      <c r="P117" s="13"/>
      <c r="Q117" s="13"/>
      <c r="R117" s="13"/>
      <c r="S117" s="13"/>
      <c r="T117" s="13"/>
      <c r="U117" s="41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</row>
    <row r="118" spans="1:48" ht="15.75" customHeight="1">
      <c r="A118" s="40"/>
      <c r="B118" s="13"/>
      <c r="C118" s="11"/>
      <c r="D118" s="13"/>
      <c r="E118" s="13"/>
      <c r="F118" s="13"/>
      <c r="G118" s="13"/>
      <c r="H118" s="13"/>
      <c r="I118" s="11"/>
      <c r="J118" s="11"/>
      <c r="K118" s="11"/>
      <c r="L118" s="11"/>
      <c r="M118" s="13"/>
      <c r="N118" s="13"/>
      <c r="O118" s="13"/>
      <c r="P118" s="13"/>
      <c r="Q118" s="13"/>
      <c r="R118" s="13"/>
      <c r="S118" s="13"/>
      <c r="T118" s="13"/>
      <c r="U118" s="41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</row>
    <row r="119" spans="1:48" ht="15.75" customHeight="1">
      <c r="A119" s="40"/>
      <c r="B119" s="13"/>
      <c r="C119" s="11"/>
      <c r="D119" s="13"/>
      <c r="E119" s="13"/>
      <c r="F119" s="13"/>
      <c r="G119" s="13"/>
      <c r="H119" s="13"/>
      <c r="I119" s="11"/>
      <c r="J119" s="11"/>
      <c r="K119" s="11"/>
      <c r="L119" s="11"/>
      <c r="M119" s="13"/>
      <c r="N119" s="13"/>
      <c r="O119" s="13"/>
      <c r="P119" s="13"/>
      <c r="Q119" s="13"/>
      <c r="R119" s="13"/>
      <c r="S119" s="13"/>
      <c r="T119" s="13"/>
      <c r="U119" s="41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</row>
    <row r="120" spans="1:48" ht="15.75" customHeight="1">
      <c r="A120" s="40"/>
      <c r="B120" s="13"/>
      <c r="C120" s="11"/>
      <c r="D120" s="13"/>
      <c r="E120" s="13"/>
      <c r="F120" s="13"/>
      <c r="G120" s="13"/>
      <c r="H120" s="13"/>
      <c r="I120" s="11"/>
      <c r="J120" s="11"/>
      <c r="K120" s="11"/>
      <c r="L120" s="11"/>
      <c r="M120" s="13"/>
      <c r="N120" s="13"/>
      <c r="O120" s="13"/>
      <c r="P120" s="13"/>
      <c r="Q120" s="13"/>
      <c r="R120" s="13"/>
      <c r="S120" s="13"/>
      <c r="T120" s="13"/>
      <c r="U120" s="41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</row>
    <row r="121" spans="1:48" ht="15.75" customHeight="1">
      <c r="A121" s="40"/>
      <c r="B121" s="13"/>
      <c r="C121" s="11"/>
      <c r="D121" s="13"/>
      <c r="E121" s="13"/>
      <c r="F121" s="13"/>
      <c r="G121" s="13"/>
      <c r="H121" s="13"/>
      <c r="I121" s="11"/>
      <c r="J121" s="11"/>
      <c r="K121" s="11"/>
      <c r="L121" s="11"/>
      <c r="M121" s="13"/>
      <c r="N121" s="13"/>
      <c r="O121" s="13"/>
      <c r="P121" s="13"/>
      <c r="Q121" s="13"/>
      <c r="R121" s="13"/>
      <c r="S121" s="13"/>
      <c r="T121" s="13"/>
      <c r="U121" s="41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1:48" ht="15.75" customHeight="1">
      <c r="A122" s="40"/>
      <c r="B122" s="13"/>
      <c r="C122" s="11"/>
      <c r="D122" s="13"/>
      <c r="E122" s="13"/>
      <c r="F122" s="13"/>
      <c r="G122" s="13"/>
      <c r="H122" s="13"/>
      <c r="I122" s="11"/>
      <c r="J122" s="11"/>
      <c r="K122" s="11"/>
      <c r="L122" s="11"/>
      <c r="M122" s="13"/>
      <c r="N122" s="13"/>
      <c r="O122" s="13"/>
      <c r="P122" s="13"/>
      <c r="Q122" s="13"/>
      <c r="R122" s="13"/>
      <c r="S122" s="13"/>
      <c r="T122" s="13"/>
      <c r="U122" s="41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</row>
    <row r="123" spans="1:48" ht="15.75" customHeight="1">
      <c r="A123" s="40"/>
      <c r="B123" s="13"/>
      <c r="C123" s="11"/>
      <c r="D123" s="13"/>
      <c r="E123" s="13"/>
      <c r="F123" s="13"/>
      <c r="G123" s="13"/>
      <c r="H123" s="13"/>
      <c r="I123" s="11"/>
      <c r="J123" s="11"/>
      <c r="K123" s="11"/>
      <c r="L123" s="11"/>
      <c r="M123" s="13"/>
      <c r="N123" s="13"/>
      <c r="O123" s="13"/>
      <c r="P123" s="13"/>
      <c r="Q123" s="13"/>
      <c r="R123" s="13"/>
      <c r="S123" s="13"/>
      <c r="T123" s="13"/>
      <c r="U123" s="41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</row>
    <row r="124" spans="1:48" ht="15.75" customHeight="1">
      <c r="A124" s="40"/>
      <c r="B124" s="13"/>
      <c r="C124" s="11"/>
      <c r="D124" s="13"/>
      <c r="E124" s="13"/>
      <c r="F124" s="13"/>
      <c r="G124" s="13"/>
      <c r="H124" s="13"/>
      <c r="I124" s="11"/>
      <c r="J124" s="11"/>
      <c r="K124" s="11"/>
      <c r="L124" s="11"/>
      <c r="M124" s="13"/>
      <c r="N124" s="13"/>
      <c r="O124" s="13"/>
      <c r="P124" s="13"/>
      <c r="Q124" s="13"/>
      <c r="R124" s="13"/>
      <c r="S124" s="13"/>
      <c r="T124" s="13"/>
      <c r="U124" s="41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</row>
    <row r="125" spans="1:48" ht="15.75" customHeight="1">
      <c r="A125" s="40"/>
      <c r="B125" s="13"/>
      <c r="C125" s="11"/>
      <c r="D125" s="13"/>
      <c r="E125" s="13"/>
      <c r="F125" s="13"/>
      <c r="G125" s="13"/>
      <c r="H125" s="13"/>
      <c r="I125" s="11"/>
      <c r="J125" s="11"/>
      <c r="K125" s="11"/>
      <c r="L125" s="11"/>
      <c r="M125" s="13"/>
      <c r="N125" s="13"/>
      <c r="O125" s="13"/>
      <c r="P125" s="13"/>
      <c r="Q125" s="13"/>
      <c r="R125" s="13"/>
      <c r="S125" s="13"/>
      <c r="T125" s="13"/>
      <c r="U125" s="41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</row>
    <row r="126" spans="1:48" ht="15.75" customHeight="1">
      <c r="A126" s="40"/>
      <c r="B126" s="13"/>
      <c r="C126" s="11"/>
      <c r="D126" s="13"/>
      <c r="E126" s="13"/>
      <c r="F126" s="13"/>
      <c r="G126" s="13"/>
      <c r="H126" s="13"/>
      <c r="I126" s="11"/>
      <c r="J126" s="11"/>
      <c r="K126" s="11"/>
      <c r="L126" s="11"/>
      <c r="M126" s="13"/>
      <c r="N126" s="13"/>
      <c r="O126" s="13"/>
      <c r="P126" s="13"/>
      <c r="Q126" s="13"/>
      <c r="R126" s="13"/>
      <c r="S126" s="13"/>
      <c r="T126" s="13"/>
      <c r="U126" s="41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</row>
    <row r="127" spans="1:48" ht="15.75" customHeight="1">
      <c r="A127" s="40"/>
      <c r="B127" s="13"/>
      <c r="C127" s="11"/>
      <c r="D127" s="13"/>
      <c r="E127" s="13"/>
      <c r="F127" s="13"/>
      <c r="G127" s="13"/>
      <c r="H127" s="13"/>
      <c r="I127" s="11"/>
      <c r="J127" s="11"/>
      <c r="K127" s="11"/>
      <c r="L127" s="11"/>
      <c r="M127" s="13"/>
      <c r="N127" s="13"/>
      <c r="O127" s="13"/>
      <c r="P127" s="13"/>
      <c r="Q127" s="13"/>
      <c r="R127" s="13"/>
      <c r="S127" s="13"/>
      <c r="T127" s="13"/>
      <c r="U127" s="41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</row>
    <row r="128" spans="1:48" ht="15.75" customHeight="1">
      <c r="A128" s="40"/>
      <c r="B128" s="13"/>
      <c r="C128" s="11"/>
      <c r="D128" s="13"/>
      <c r="E128" s="13"/>
      <c r="F128" s="13"/>
      <c r="G128" s="13"/>
      <c r="H128" s="13"/>
      <c r="I128" s="11"/>
      <c r="J128" s="11"/>
      <c r="K128" s="11"/>
      <c r="L128" s="11"/>
      <c r="M128" s="13"/>
      <c r="N128" s="13"/>
      <c r="O128" s="13"/>
      <c r="P128" s="13"/>
      <c r="Q128" s="13"/>
      <c r="R128" s="13"/>
      <c r="S128" s="13"/>
      <c r="T128" s="13"/>
      <c r="U128" s="41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</row>
    <row r="129" spans="1:48" ht="15.75" customHeight="1">
      <c r="A129" s="40"/>
      <c r="B129" s="13"/>
      <c r="C129" s="11"/>
      <c r="D129" s="13"/>
      <c r="E129" s="13"/>
      <c r="F129" s="13"/>
      <c r="G129" s="13"/>
      <c r="H129" s="13"/>
      <c r="I129" s="11"/>
      <c r="J129" s="11"/>
      <c r="K129" s="11"/>
      <c r="L129" s="11"/>
      <c r="M129" s="13"/>
      <c r="N129" s="13"/>
      <c r="O129" s="13"/>
      <c r="P129" s="13"/>
      <c r="Q129" s="13"/>
      <c r="R129" s="13"/>
      <c r="S129" s="13"/>
      <c r="T129" s="13"/>
      <c r="U129" s="41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</row>
    <row r="130" spans="1:48" ht="15.75" customHeight="1">
      <c r="A130" s="40"/>
      <c r="B130" s="13"/>
      <c r="C130" s="11"/>
      <c r="D130" s="13"/>
      <c r="E130" s="13"/>
      <c r="F130" s="13"/>
      <c r="G130" s="13"/>
      <c r="H130" s="13"/>
      <c r="I130" s="11"/>
      <c r="J130" s="11"/>
      <c r="K130" s="11"/>
      <c r="L130" s="11"/>
      <c r="M130" s="13"/>
      <c r="N130" s="13"/>
      <c r="O130" s="13"/>
      <c r="P130" s="13"/>
      <c r="Q130" s="13"/>
      <c r="R130" s="13"/>
      <c r="S130" s="13"/>
      <c r="T130" s="13"/>
      <c r="U130" s="41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</row>
    <row r="131" spans="1:48" ht="15.75" customHeight="1">
      <c r="A131" s="40"/>
      <c r="B131" s="13"/>
      <c r="C131" s="11"/>
      <c r="D131" s="13"/>
      <c r="E131" s="13"/>
      <c r="F131" s="13"/>
      <c r="G131" s="13"/>
      <c r="H131" s="13"/>
      <c r="I131" s="11"/>
      <c r="J131" s="11"/>
      <c r="K131" s="11"/>
      <c r="L131" s="11"/>
      <c r="M131" s="13"/>
      <c r="N131" s="13"/>
      <c r="O131" s="13"/>
      <c r="P131" s="13"/>
      <c r="Q131" s="13"/>
      <c r="R131" s="13"/>
      <c r="S131" s="13"/>
      <c r="T131" s="13"/>
      <c r="U131" s="41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</row>
    <row r="132" spans="1:48" ht="15.75" customHeight="1">
      <c r="A132" s="40"/>
      <c r="B132" s="13"/>
      <c r="C132" s="11"/>
      <c r="D132" s="13"/>
      <c r="E132" s="13"/>
      <c r="F132" s="13"/>
      <c r="G132" s="13"/>
      <c r="H132" s="13"/>
      <c r="I132" s="11"/>
      <c r="J132" s="11"/>
      <c r="K132" s="11"/>
      <c r="L132" s="11"/>
      <c r="M132" s="13"/>
      <c r="N132" s="13"/>
      <c r="O132" s="13"/>
      <c r="P132" s="13"/>
      <c r="Q132" s="13"/>
      <c r="R132" s="13"/>
      <c r="S132" s="13"/>
      <c r="T132" s="13"/>
      <c r="U132" s="41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</row>
    <row r="133" spans="1:48" ht="15.75" customHeight="1">
      <c r="A133" s="40"/>
      <c r="B133" s="13"/>
      <c r="C133" s="11"/>
      <c r="D133" s="13"/>
      <c r="E133" s="13"/>
      <c r="F133" s="13"/>
      <c r="G133" s="13"/>
      <c r="H133" s="13"/>
      <c r="I133" s="11"/>
      <c r="J133" s="11"/>
      <c r="K133" s="11"/>
      <c r="L133" s="11"/>
      <c r="M133" s="13"/>
      <c r="N133" s="13"/>
      <c r="O133" s="13"/>
      <c r="P133" s="13"/>
      <c r="Q133" s="13"/>
      <c r="R133" s="13"/>
      <c r="S133" s="13"/>
      <c r="T133" s="13"/>
      <c r="U133" s="41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</row>
    <row r="134" spans="1:48" ht="15.75" customHeight="1">
      <c r="A134" s="40"/>
      <c r="B134" s="13"/>
      <c r="C134" s="11"/>
      <c r="D134" s="13"/>
      <c r="E134" s="13"/>
      <c r="F134" s="13"/>
      <c r="G134" s="13"/>
      <c r="H134" s="13"/>
      <c r="I134" s="11"/>
      <c r="J134" s="11"/>
      <c r="K134" s="11"/>
      <c r="L134" s="11"/>
      <c r="M134" s="13"/>
      <c r="N134" s="13"/>
      <c r="O134" s="13"/>
      <c r="P134" s="13"/>
      <c r="Q134" s="13"/>
      <c r="R134" s="13"/>
      <c r="S134" s="13"/>
      <c r="T134" s="13"/>
      <c r="U134" s="41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</row>
    <row r="135" spans="1:48" ht="15.75" customHeight="1">
      <c r="A135" s="40"/>
      <c r="B135" s="13"/>
      <c r="C135" s="11"/>
      <c r="D135" s="13"/>
      <c r="E135" s="13"/>
      <c r="F135" s="13"/>
      <c r="G135" s="13"/>
      <c r="H135" s="13"/>
      <c r="I135" s="11"/>
      <c r="J135" s="11"/>
      <c r="K135" s="11"/>
      <c r="L135" s="11"/>
      <c r="M135" s="13"/>
      <c r="N135" s="13"/>
      <c r="O135" s="13"/>
      <c r="P135" s="13"/>
      <c r="Q135" s="13"/>
      <c r="R135" s="13"/>
      <c r="S135" s="13"/>
      <c r="T135" s="13"/>
      <c r="U135" s="41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</row>
    <row r="136" spans="1:48" ht="15.75" customHeight="1">
      <c r="A136" s="40"/>
      <c r="B136" s="13"/>
      <c r="C136" s="11"/>
      <c r="D136" s="13"/>
      <c r="E136" s="13"/>
      <c r="F136" s="13"/>
      <c r="G136" s="13"/>
      <c r="H136" s="13"/>
      <c r="I136" s="11"/>
      <c r="J136" s="11"/>
      <c r="K136" s="11"/>
      <c r="L136" s="11"/>
      <c r="M136" s="13"/>
      <c r="N136" s="13"/>
      <c r="O136" s="13"/>
      <c r="P136" s="13"/>
      <c r="Q136" s="13"/>
      <c r="R136" s="13"/>
      <c r="S136" s="13"/>
      <c r="T136" s="13"/>
      <c r="U136" s="41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</row>
    <row r="137" spans="1:48" ht="15.75" customHeight="1">
      <c r="A137" s="40"/>
      <c r="B137" s="13"/>
      <c r="C137" s="11"/>
      <c r="D137" s="13"/>
      <c r="E137" s="13"/>
      <c r="F137" s="13"/>
      <c r="G137" s="13"/>
      <c r="H137" s="13"/>
      <c r="I137" s="11"/>
      <c r="J137" s="11"/>
      <c r="K137" s="11"/>
      <c r="L137" s="11"/>
      <c r="M137" s="13"/>
      <c r="N137" s="13"/>
      <c r="O137" s="13"/>
      <c r="P137" s="13"/>
      <c r="Q137" s="13"/>
      <c r="R137" s="13"/>
      <c r="S137" s="13"/>
      <c r="T137" s="13"/>
      <c r="U137" s="41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</row>
    <row r="138" spans="1:48" ht="15.75" customHeight="1">
      <c r="A138" s="40"/>
      <c r="B138" s="13"/>
      <c r="C138" s="11"/>
      <c r="D138" s="13"/>
      <c r="E138" s="13"/>
      <c r="F138" s="13"/>
      <c r="G138" s="13"/>
      <c r="H138" s="13"/>
      <c r="I138" s="11"/>
      <c r="J138" s="11"/>
      <c r="K138" s="11"/>
      <c r="L138" s="11"/>
      <c r="M138" s="13"/>
      <c r="N138" s="13"/>
      <c r="O138" s="13"/>
      <c r="P138" s="13"/>
      <c r="Q138" s="13"/>
      <c r="R138" s="13"/>
      <c r="S138" s="13"/>
      <c r="T138" s="13"/>
      <c r="U138" s="41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</row>
    <row r="139" spans="1:48" ht="15.75" customHeight="1">
      <c r="A139" s="40"/>
      <c r="B139" s="13"/>
      <c r="C139" s="11"/>
      <c r="D139" s="13"/>
      <c r="E139" s="13"/>
      <c r="F139" s="13"/>
      <c r="G139" s="13"/>
      <c r="H139" s="13"/>
      <c r="I139" s="11"/>
      <c r="J139" s="11"/>
      <c r="K139" s="11"/>
      <c r="L139" s="11"/>
      <c r="M139" s="13"/>
      <c r="N139" s="13"/>
      <c r="O139" s="13"/>
      <c r="P139" s="13"/>
      <c r="Q139" s="13"/>
      <c r="R139" s="13"/>
      <c r="S139" s="13"/>
      <c r="T139" s="13"/>
      <c r="U139" s="41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</row>
    <row r="140" spans="1:48" ht="15.75" customHeight="1">
      <c r="A140" s="40"/>
      <c r="B140" s="13"/>
      <c r="C140" s="11"/>
      <c r="D140" s="13"/>
      <c r="E140" s="13"/>
      <c r="F140" s="13"/>
      <c r="G140" s="13"/>
      <c r="H140" s="13"/>
      <c r="I140" s="11"/>
      <c r="J140" s="11"/>
      <c r="K140" s="11"/>
      <c r="L140" s="11"/>
      <c r="M140" s="13"/>
      <c r="N140" s="13"/>
      <c r="O140" s="13"/>
      <c r="P140" s="13"/>
      <c r="Q140" s="13"/>
      <c r="R140" s="13"/>
      <c r="S140" s="13"/>
      <c r="T140" s="13"/>
      <c r="U140" s="41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</row>
    <row r="141" spans="1:48" ht="15.75" customHeight="1">
      <c r="A141" s="40"/>
      <c r="B141" s="13"/>
      <c r="C141" s="11"/>
      <c r="D141" s="13"/>
      <c r="E141" s="13"/>
      <c r="F141" s="13"/>
      <c r="G141" s="13"/>
      <c r="H141" s="13"/>
      <c r="I141" s="11"/>
      <c r="J141" s="11"/>
      <c r="K141" s="11"/>
      <c r="L141" s="11"/>
      <c r="M141" s="13"/>
      <c r="N141" s="13"/>
      <c r="O141" s="13"/>
      <c r="P141" s="13"/>
      <c r="Q141" s="13"/>
      <c r="R141" s="13"/>
      <c r="S141" s="13"/>
      <c r="T141" s="13"/>
      <c r="U141" s="41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</row>
    <row r="142" spans="1:48" ht="15.75" customHeight="1">
      <c r="A142" s="40"/>
      <c r="B142" s="13"/>
      <c r="C142" s="11"/>
      <c r="D142" s="13"/>
      <c r="E142" s="13"/>
      <c r="F142" s="13"/>
      <c r="G142" s="13"/>
      <c r="H142" s="13"/>
      <c r="I142" s="11"/>
      <c r="J142" s="11"/>
      <c r="K142" s="11"/>
      <c r="L142" s="11"/>
      <c r="M142" s="13"/>
      <c r="N142" s="13"/>
      <c r="O142" s="13"/>
      <c r="P142" s="13"/>
      <c r="Q142" s="13"/>
      <c r="R142" s="13"/>
      <c r="S142" s="13"/>
      <c r="T142" s="13"/>
      <c r="U142" s="41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</row>
    <row r="143" spans="1:48" ht="15.75" customHeight="1">
      <c r="A143" s="40"/>
      <c r="B143" s="13"/>
      <c r="C143" s="11"/>
      <c r="D143" s="13"/>
      <c r="E143" s="13"/>
      <c r="F143" s="13"/>
      <c r="G143" s="13"/>
      <c r="H143" s="13"/>
      <c r="I143" s="11"/>
      <c r="J143" s="11"/>
      <c r="K143" s="11"/>
      <c r="L143" s="11"/>
      <c r="M143" s="13"/>
      <c r="N143" s="13"/>
      <c r="O143" s="13"/>
      <c r="P143" s="13"/>
      <c r="Q143" s="13"/>
      <c r="R143" s="13"/>
      <c r="S143" s="13"/>
      <c r="T143" s="13"/>
      <c r="U143" s="41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</row>
    <row r="144" spans="1:48" ht="15.75" customHeight="1">
      <c r="A144" s="40"/>
      <c r="B144" s="13"/>
      <c r="C144" s="11"/>
      <c r="D144" s="13"/>
      <c r="E144" s="13"/>
      <c r="F144" s="13"/>
      <c r="G144" s="13"/>
      <c r="H144" s="13"/>
      <c r="I144" s="11"/>
      <c r="J144" s="11"/>
      <c r="K144" s="11"/>
      <c r="L144" s="11"/>
      <c r="M144" s="13"/>
      <c r="N144" s="13"/>
      <c r="O144" s="13"/>
      <c r="P144" s="13"/>
      <c r="Q144" s="13"/>
      <c r="R144" s="13"/>
      <c r="S144" s="13"/>
      <c r="T144" s="13"/>
      <c r="U144" s="41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</row>
    <row r="145" spans="1:48" ht="15.75" customHeight="1">
      <c r="A145" s="40"/>
      <c r="B145" s="13"/>
      <c r="C145" s="11"/>
      <c r="D145" s="13"/>
      <c r="E145" s="13"/>
      <c r="F145" s="13"/>
      <c r="G145" s="13"/>
      <c r="H145" s="13"/>
      <c r="I145" s="11"/>
      <c r="J145" s="11"/>
      <c r="K145" s="11"/>
      <c r="L145" s="11"/>
      <c r="M145" s="13"/>
      <c r="N145" s="13"/>
      <c r="O145" s="13"/>
      <c r="P145" s="13"/>
      <c r="Q145" s="13"/>
      <c r="R145" s="13"/>
      <c r="S145" s="13"/>
      <c r="T145" s="13"/>
      <c r="U145" s="41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</row>
    <row r="146" spans="1:48" ht="15.75" customHeight="1">
      <c r="A146" s="40"/>
      <c r="B146" s="13"/>
      <c r="C146" s="11"/>
      <c r="D146" s="13"/>
      <c r="E146" s="13"/>
      <c r="F146" s="13"/>
      <c r="G146" s="13"/>
      <c r="H146" s="13"/>
      <c r="I146" s="11"/>
      <c r="J146" s="11"/>
      <c r="K146" s="11"/>
      <c r="L146" s="11"/>
      <c r="M146" s="13"/>
      <c r="N146" s="13"/>
      <c r="O146" s="13"/>
      <c r="P146" s="13"/>
      <c r="Q146" s="13"/>
      <c r="R146" s="13"/>
      <c r="S146" s="13"/>
      <c r="T146" s="13"/>
      <c r="U146" s="41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</row>
    <row r="147" spans="1:48" ht="15.75" customHeight="1">
      <c r="A147" s="40"/>
      <c r="B147" s="13"/>
      <c r="C147" s="11"/>
      <c r="D147" s="13"/>
      <c r="E147" s="13"/>
      <c r="F147" s="13"/>
      <c r="G147" s="13"/>
      <c r="H147" s="13"/>
      <c r="I147" s="11"/>
      <c r="J147" s="11"/>
      <c r="K147" s="11"/>
      <c r="L147" s="11"/>
      <c r="M147" s="13"/>
      <c r="N147" s="13"/>
      <c r="O147" s="13"/>
      <c r="P147" s="13"/>
      <c r="Q147" s="13"/>
      <c r="R147" s="13"/>
      <c r="S147" s="13"/>
      <c r="T147" s="13"/>
      <c r="U147" s="41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</row>
    <row r="148" spans="1:48" ht="15.75" customHeight="1">
      <c r="A148" s="40"/>
      <c r="B148" s="13"/>
      <c r="C148" s="11"/>
      <c r="D148" s="13"/>
      <c r="E148" s="13"/>
      <c r="F148" s="13"/>
      <c r="G148" s="13"/>
      <c r="H148" s="13"/>
      <c r="I148" s="11"/>
      <c r="J148" s="11"/>
      <c r="K148" s="11"/>
      <c r="L148" s="11"/>
      <c r="M148" s="13"/>
      <c r="N148" s="13"/>
      <c r="O148" s="13"/>
      <c r="P148" s="13"/>
      <c r="Q148" s="13"/>
      <c r="R148" s="13"/>
      <c r="S148" s="13"/>
      <c r="T148" s="13"/>
      <c r="U148" s="41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</row>
    <row r="149" spans="1:48" ht="15.75" customHeight="1">
      <c r="A149" s="40"/>
      <c r="B149" s="13"/>
      <c r="C149" s="11"/>
      <c r="D149" s="13"/>
      <c r="E149" s="13"/>
      <c r="F149" s="13"/>
      <c r="G149" s="13"/>
      <c r="H149" s="13"/>
      <c r="I149" s="11"/>
      <c r="J149" s="11"/>
      <c r="K149" s="11"/>
      <c r="L149" s="11"/>
      <c r="M149" s="13"/>
      <c r="N149" s="13"/>
      <c r="O149" s="13"/>
      <c r="P149" s="13"/>
      <c r="Q149" s="13"/>
      <c r="R149" s="13"/>
      <c r="S149" s="13"/>
      <c r="T149" s="13"/>
      <c r="U149" s="41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</row>
    <row r="150" spans="1:48" ht="15.75" customHeight="1">
      <c r="A150" s="40"/>
      <c r="B150" s="13"/>
      <c r="C150" s="11"/>
      <c r="D150" s="13"/>
      <c r="E150" s="13"/>
      <c r="F150" s="13"/>
      <c r="G150" s="13"/>
      <c r="H150" s="13"/>
      <c r="I150" s="11"/>
      <c r="J150" s="11"/>
      <c r="K150" s="11"/>
      <c r="L150" s="11"/>
      <c r="M150" s="13"/>
      <c r="N150" s="13"/>
      <c r="O150" s="13"/>
      <c r="P150" s="13"/>
      <c r="Q150" s="13"/>
      <c r="R150" s="13"/>
      <c r="S150" s="13"/>
      <c r="T150" s="13"/>
      <c r="U150" s="41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</row>
    <row r="151" spans="1:48" ht="15.75" customHeight="1">
      <c r="A151" s="40"/>
      <c r="B151" s="13"/>
      <c r="C151" s="11"/>
      <c r="D151" s="13"/>
      <c r="E151" s="13"/>
      <c r="F151" s="13"/>
      <c r="G151" s="13"/>
      <c r="H151" s="13"/>
      <c r="I151" s="11"/>
      <c r="J151" s="11"/>
      <c r="K151" s="11"/>
      <c r="L151" s="11"/>
      <c r="M151" s="13"/>
      <c r="N151" s="13"/>
      <c r="O151" s="13"/>
      <c r="P151" s="13"/>
      <c r="Q151" s="13"/>
      <c r="R151" s="13"/>
      <c r="S151" s="13"/>
      <c r="T151" s="13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</row>
    <row r="152" spans="1:48" ht="15.75" customHeight="1">
      <c r="A152" s="40"/>
      <c r="B152" s="13"/>
      <c r="C152" s="11"/>
      <c r="D152" s="13"/>
      <c r="E152" s="13"/>
      <c r="F152" s="13"/>
      <c r="G152" s="13"/>
      <c r="H152" s="13"/>
      <c r="I152" s="11"/>
      <c r="J152" s="11"/>
      <c r="K152" s="11"/>
      <c r="L152" s="11"/>
      <c r="M152" s="13"/>
      <c r="N152" s="13"/>
      <c r="O152" s="13"/>
      <c r="P152" s="13"/>
      <c r="Q152" s="13"/>
      <c r="R152" s="13"/>
      <c r="S152" s="13"/>
      <c r="T152" s="13"/>
      <c r="U152" s="41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</row>
    <row r="153" spans="1:48" ht="15.75" customHeight="1">
      <c r="A153" s="40"/>
      <c r="B153" s="13"/>
      <c r="C153" s="11"/>
      <c r="D153" s="13"/>
      <c r="E153" s="13"/>
      <c r="F153" s="13"/>
      <c r="G153" s="13"/>
      <c r="H153" s="13"/>
      <c r="I153" s="11"/>
      <c r="J153" s="11"/>
      <c r="K153" s="11"/>
      <c r="L153" s="11"/>
      <c r="M153" s="13"/>
      <c r="N153" s="13"/>
      <c r="O153" s="13"/>
      <c r="P153" s="13"/>
      <c r="Q153" s="13"/>
      <c r="R153" s="13"/>
      <c r="S153" s="13"/>
      <c r="T153" s="13"/>
      <c r="U153" s="41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</row>
    <row r="154" spans="1:48" ht="15.75" customHeight="1">
      <c r="A154" s="40"/>
      <c r="B154" s="13"/>
      <c r="C154" s="11"/>
      <c r="D154" s="13"/>
      <c r="E154" s="13"/>
      <c r="F154" s="13"/>
      <c r="G154" s="13"/>
      <c r="H154" s="13"/>
      <c r="I154" s="11"/>
      <c r="J154" s="11"/>
      <c r="K154" s="11"/>
      <c r="L154" s="11"/>
      <c r="M154" s="13"/>
      <c r="N154" s="13"/>
      <c r="O154" s="13"/>
      <c r="P154" s="13"/>
      <c r="Q154" s="13"/>
      <c r="R154" s="13"/>
      <c r="S154" s="13"/>
      <c r="T154" s="13"/>
      <c r="U154" s="41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</row>
    <row r="155" spans="1:48" ht="15.75" customHeight="1">
      <c r="A155" s="40"/>
      <c r="B155" s="13"/>
      <c r="C155" s="11"/>
      <c r="D155" s="13"/>
      <c r="E155" s="13"/>
      <c r="F155" s="13"/>
      <c r="G155" s="13"/>
      <c r="H155" s="13"/>
      <c r="I155" s="11"/>
      <c r="J155" s="11"/>
      <c r="K155" s="11"/>
      <c r="L155" s="11"/>
      <c r="M155" s="13"/>
      <c r="N155" s="13"/>
      <c r="O155" s="13"/>
      <c r="P155" s="13"/>
      <c r="Q155" s="13"/>
      <c r="R155" s="13"/>
      <c r="S155" s="13"/>
      <c r="T155" s="13"/>
      <c r="U155" s="41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</row>
    <row r="156" spans="1:48" ht="15.75" customHeight="1">
      <c r="A156" s="40"/>
      <c r="B156" s="13"/>
      <c r="C156" s="11"/>
      <c r="D156" s="13"/>
      <c r="E156" s="13"/>
      <c r="F156" s="13"/>
      <c r="G156" s="13"/>
      <c r="H156" s="13"/>
      <c r="I156" s="11"/>
      <c r="J156" s="11"/>
      <c r="K156" s="11"/>
      <c r="L156" s="11"/>
      <c r="M156" s="13"/>
      <c r="N156" s="13"/>
      <c r="O156" s="13"/>
      <c r="P156" s="13"/>
      <c r="Q156" s="13"/>
      <c r="R156" s="13"/>
      <c r="S156" s="13"/>
      <c r="T156" s="13"/>
      <c r="U156" s="41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</row>
    <row r="157" spans="1:48" ht="15.75" customHeight="1">
      <c r="A157" s="40"/>
      <c r="B157" s="13"/>
      <c r="C157" s="11"/>
      <c r="D157" s="13"/>
      <c r="E157" s="13"/>
      <c r="F157" s="13"/>
      <c r="G157" s="13"/>
      <c r="H157" s="13"/>
      <c r="I157" s="11"/>
      <c r="J157" s="11"/>
      <c r="K157" s="11"/>
      <c r="L157" s="11"/>
      <c r="M157" s="13"/>
      <c r="N157" s="13"/>
      <c r="O157" s="13"/>
      <c r="P157" s="13"/>
      <c r="Q157" s="13"/>
      <c r="R157" s="13"/>
      <c r="S157" s="13"/>
      <c r="T157" s="13"/>
      <c r="U157" s="41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</row>
    <row r="158" spans="1:48" ht="15.75" customHeight="1">
      <c r="A158" s="40"/>
      <c r="B158" s="13"/>
      <c r="C158" s="11"/>
      <c r="D158" s="13"/>
      <c r="E158" s="13"/>
      <c r="F158" s="13"/>
      <c r="G158" s="13"/>
      <c r="H158" s="13"/>
      <c r="I158" s="11"/>
      <c r="J158" s="11"/>
      <c r="K158" s="11"/>
      <c r="L158" s="11"/>
      <c r="M158" s="13"/>
      <c r="N158" s="13"/>
      <c r="O158" s="13"/>
      <c r="P158" s="13"/>
      <c r="Q158" s="13"/>
      <c r="R158" s="13"/>
      <c r="S158" s="13"/>
      <c r="T158" s="13"/>
      <c r="U158" s="41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</row>
    <row r="159" spans="1:48" ht="15.75" customHeight="1">
      <c r="A159" s="40"/>
      <c r="B159" s="13"/>
      <c r="C159" s="11"/>
      <c r="D159" s="13"/>
      <c r="E159" s="13"/>
      <c r="F159" s="13"/>
      <c r="G159" s="13"/>
      <c r="H159" s="13"/>
      <c r="I159" s="11"/>
      <c r="J159" s="11"/>
      <c r="K159" s="11"/>
      <c r="L159" s="11"/>
      <c r="M159" s="13"/>
      <c r="N159" s="13"/>
      <c r="O159" s="13"/>
      <c r="P159" s="13"/>
      <c r="Q159" s="13"/>
      <c r="R159" s="13"/>
      <c r="S159" s="13"/>
      <c r="T159" s="13"/>
      <c r="U159" s="41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</row>
    <row r="160" spans="1:48" ht="15.75" customHeight="1">
      <c r="A160" s="40"/>
      <c r="B160" s="13"/>
      <c r="C160" s="11"/>
      <c r="D160" s="13"/>
      <c r="E160" s="13"/>
      <c r="F160" s="13"/>
      <c r="G160" s="13"/>
      <c r="H160" s="13"/>
      <c r="I160" s="11"/>
      <c r="J160" s="11"/>
      <c r="K160" s="11"/>
      <c r="L160" s="11"/>
      <c r="M160" s="13"/>
      <c r="N160" s="13"/>
      <c r="O160" s="13"/>
      <c r="P160" s="13"/>
      <c r="Q160" s="13"/>
      <c r="R160" s="13"/>
      <c r="S160" s="13"/>
      <c r="T160" s="13"/>
      <c r="U160" s="41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</row>
    <row r="161" spans="1:48" ht="15.75" customHeight="1">
      <c r="A161" s="40"/>
      <c r="B161" s="13"/>
      <c r="C161" s="11"/>
      <c r="D161" s="13"/>
      <c r="E161" s="13"/>
      <c r="F161" s="13"/>
      <c r="G161" s="13"/>
      <c r="H161" s="13"/>
      <c r="I161" s="11"/>
      <c r="J161" s="11"/>
      <c r="K161" s="11"/>
      <c r="L161" s="11"/>
      <c r="M161" s="13"/>
      <c r="N161" s="13"/>
      <c r="O161" s="13"/>
      <c r="P161" s="13"/>
      <c r="Q161" s="13"/>
      <c r="R161" s="13"/>
      <c r="S161" s="13"/>
      <c r="T161" s="13"/>
      <c r="U161" s="41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</row>
    <row r="162" spans="1:48" ht="15.75" customHeight="1">
      <c r="A162" s="40"/>
      <c r="B162" s="13"/>
      <c r="C162" s="11"/>
      <c r="D162" s="13"/>
      <c r="E162" s="13"/>
      <c r="F162" s="13"/>
      <c r="G162" s="13"/>
      <c r="H162" s="13"/>
      <c r="I162" s="11"/>
      <c r="J162" s="11"/>
      <c r="K162" s="11"/>
      <c r="L162" s="11"/>
      <c r="M162" s="13"/>
      <c r="N162" s="13"/>
      <c r="O162" s="13"/>
      <c r="P162" s="13"/>
      <c r="Q162" s="13"/>
      <c r="R162" s="13"/>
      <c r="S162" s="13"/>
      <c r="T162" s="13"/>
      <c r="U162" s="41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</row>
    <row r="163" spans="1:48" ht="15.75" customHeight="1">
      <c r="A163" s="40"/>
      <c r="B163" s="13"/>
      <c r="C163" s="11"/>
      <c r="D163" s="13"/>
      <c r="E163" s="13"/>
      <c r="F163" s="13"/>
      <c r="G163" s="13"/>
      <c r="H163" s="13"/>
      <c r="I163" s="11"/>
      <c r="J163" s="11"/>
      <c r="K163" s="11"/>
      <c r="L163" s="11"/>
      <c r="M163" s="13"/>
      <c r="N163" s="13"/>
      <c r="O163" s="13"/>
      <c r="P163" s="13"/>
      <c r="Q163" s="13"/>
      <c r="R163" s="13"/>
      <c r="S163" s="13"/>
      <c r="T163" s="13"/>
      <c r="U163" s="41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</row>
    <row r="164" spans="1:48" ht="15.75" customHeight="1">
      <c r="A164" s="40"/>
      <c r="B164" s="13"/>
      <c r="C164" s="11"/>
      <c r="D164" s="13"/>
      <c r="E164" s="13"/>
      <c r="F164" s="13"/>
      <c r="G164" s="13"/>
      <c r="H164" s="13"/>
      <c r="I164" s="11"/>
      <c r="J164" s="11"/>
      <c r="K164" s="11"/>
      <c r="L164" s="11"/>
      <c r="M164" s="13"/>
      <c r="N164" s="13"/>
      <c r="O164" s="13"/>
      <c r="P164" s="13"/>
      <c r="Q164" s="13"/>
      <c r="R164" s="13"/>
      <c r="S164" s="13"/>
      <c r="T164" s="13"/>
      <c r="U164" s="41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</row>
    <row r="165" spans="1:48" ht="15.75" customHeight="1">
      <c r="A165" s="40"/>
      <c r="B165" s="13"/>
      <c r="C165" s="11"/>
      <c r="D165" s="13"/>
      <c r="E165" s="13"/>
      <c r="F165" s="13"/>
      <c r="G165" s="13"/>
      <c r="H165" s="13"/>
      <c r="I165" s="11"/>
      <c r="J165" s="11"/>
      <c r="K165" s="11"/>
      <c r="L165" s="11"/>
      <c r="M165" s="13"/>
      <c r="N165" s="13"/>
      <c r="O165" s="13"/>
      <c r="P165" s="13"/>
      <c r="Q165" s="13"/>
      <c r="R165" s="13"/>
      <c r="S165" s="13"/>
      <c r="T165" s="13"/>
      <c r="U165" s="41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</row>
    <row r="166" spans="1:48" ht="15.75" customHeight="1">
      <c r="A166" s="40"/>
      <c r="B166" s="13"/>
      <c r="C166" s="11"/>
      <c r="D166" s="13"/>
      <c r="E166" s="13"/>
      <c r="F166" s="13"/>
      <c r="G166" s="13"/>
      <c r="H166" s="13"/>
      <c r="I166" s="11"/>
      <c r="J166" s="11"/>
      <c r="K166" s="11"/>
      <c r="L166" s="11"/>
      <c r="M166" s="13"/>
      <c r="N166" s="13"/>
      <c r="O166" s="13"/>
      <c r="P166" s="13"/>
      <c r="Q166" s="13"/>
      <c r="R166" s="13"/>
      <c r="S166" s="13"/>
      <c r="T166" s="13"/>
      <c r="U166" s="41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</row>
    <row r="167" spans="1:48" ht="15.75" customHeight="1">
      <c r="A167" s="40"/>
      <c r="B167" s="13"/>
      <c r="C167" s="11"/>
      <c r="D167" s="13"/>
      <c r="E167" s="13"/>
      <c r="F167" s="13"/>
      <c r="G167" s="13"/>
      <c r="H167" s="13"/>
      <c r="I167" s="11"/>
      <c r="J167" s="11"/>
      <c r="K167" s="11"/>
      <c r="L167" s="11"/>
      <c r="M167" s="13"/>
      <c r="N167" s="13"/>
      <c r="O167" s="13"/>
      <c r="P167" s="13"/>
      <c r="Q167" s="13"/>
      <c r="R167" s="13"/>
      <c r="S167" s="13"/>
      <c r="T167" s="13"/>
      <c r="U167" s="41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</row>
    <row r="168" spans="1:48" ht="15.75" customHeight="1">
      <c r="A168" s="40"/>
      <c r="B168" s="13"/>
      <c r="C168" s="11"/>
      <c r="D168" s="13"/>
      <c r="E168" s="13"/>
      <c r="F168" s="13"/>
      <c r="G168" s="13"/>
      <c r="H168" s="13"/>
      <c r="I168" s="11"/>
      <c r="J168" s="11"/>
      <c r="K168" s="11"/>
      <c r="L168" s="11"/>
      <c r="M168" s="13"/>
      <c r="N168" s="13"/>
      <c r="O168" s="13"/>
      <c r="P168" s="13"/>
      <c r="Q168" s="13"/>
      <c r="R168" s="13"/>
      <c r="S168" s="13"/>
      <c r="T168" s="13"/>
      <c r="U168" s="41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</row>
    <row r="169" spans="1:48" ht="15.75" customHeight="1">
      <c r="A169" s="40"/>
      <c r="B169" s="13"/>
      <c r="C169" s="11"/>
      <c r="D169" s="13"/>
      <c r="E169" s="13"/>
      <c r="F169" s="13"/>
      <c r="G169" s="13"/>
      <c r="H169" s="13"/>
      <c r="I169" s="11"/>
      <c r="J169" s="11"/>
      <c r="K169" s="11"/>
      <c r="L169" s="11"/>
      <c r="M169" s="13"/>
      <c r="N169" s="13"/>
      <c r="O169" s="13"/>
      <c r="P169" s="13"/>
      <c r="Q169" s="13"/>
      <c r="R169" s="13"/>
      <c r="S169" s="13"/>
      <c r="T169" s="13"/>
      <c r="U169" s="41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</row>
    <row r="170" spans="1:48" ht="15.75" customHeight="1">
      <c r="A170" s="40"/>
      <c r="B170" s="13"/>
      <c r="C170" s="11"/>
      <c r="D170" s="13"/>
      <c r="E170" s="13"/>
      <c r="F170" s="13"/>
      <c r="G170" s="13"/>
      <c r="H170" s="13"/>
      <c r="I170" s="11"/>
      <c r="J170" s="11"/>
      <c r="K170" s="11"/>
      <c r="L170" s="11"/>
      <c r="M170" s="13"/>
      <c r="N170" s="13"/>
      <c r="O170" s="13"/>
      <c r="P170" s="13"/>
      <c r="Q170" s="13"/>
      <c r="R170" s="13"/>
      <c r="S170" s="13"/>
      <c r="T170" s="13"/>
      <c r="U170" s="41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</row>
    <row r="171" spans="1:48" ht="15.75" customHeight="1">
      <c r="A171" s="40"/>
      <c r="B171" s="13"/>
      <c r="C171" s="11"/>
      <c r="D171" s="13"/>
      <c r="E171" s="13"/>
      <c r="F171" s="13"/>
      <c r="G171" s="13"/>
      <c r="H171" s="13"/>
      <c r="I171" s="11"/>
      <c r="J171" s="11"/>
      <c r="K171" s="11"/>
      <c r="L171" s="11"/>
      <c r="M171" s="13"/>
      <c r="N171" s="13"/>
      <c r="O171" s="13"/>
      <c r="P171" s="13"/>
      <c r="Q171" s="13"/>
      <c r="R171" s="13"/>
      <c r="S171" s="13"/>
      <c r="T171" s="13"/>
      <c r="U171" s="41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</row>
    <row r="172" spans="1:48" ht="15.75" customHeight="1">
      <c r="A172" s="40"/>
      <c r="B172" s="13"/>
      <c r="C172" s="11"/>
      <c r="D172" s="13"/>
      <c r="E172" s="13"/>
      <c r="F172" s="13"/>
      <c r="G172" s="13"/>
      <c r="H172" s="13"/>
      <c r="I172" s="11"/>
      <c r="J172" s="11"/>
      <c r="K172" s="11"/>
      <c r="L172" s="11"/>
      <c r="M172" s="13"/>
      <c r="N172" s="13"/>
      <c r="O172" s="13"/>
      <c r="P172" s="13"/>
      <c r="Q172" s="13"/>
      <c r="R172" s="13"/>
      <c r="S172" s="13"/>
      <c r="T172" s="13"/>
      <c r="U172" s="41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</row>
    <row r="173" spans="1:48" ht="15.75" customHeight="1">
      <c r="A173" s="40"/>
      <c r="B173" s="13"/>
      <c r="C173" s="11"/>
      <c r="D173" s="13"/>
      <c r="E173" s="13"/>
      <c r="F173" s="13"/>
      <c r="G173" s="13"/>
      <c r="H173" s="13"/>
      <c r="I173" s="11"/>
      <c r="J173" s="11"/>
      <c r="K173" s="11"/>
      <c r="L173" s="11"/>
      <c r="M173" s="13"/>
      <c r="N173" s="13"/>
      <c r="O173" s="13"/>
      <c r="P173" s="13"/>
      <c r="Q173" s="13"/>
      <c r="R173" s="13"/>
      <c r="S173" s="13"/>
      <c r="T173" s="13"/>
      <c r="U173" s="41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</row>
    <row r="174" spans="1:48" ht="15.75" customHeight="1">
      <c r="A174" s="40"/>
      <c r="B174" s="13"/>
      <c r="C174" s="11"/>
      <c r="D174" s="13"/>
      <c r="E174" s="13"/>
      <c r="F174" s="13"/>
      <c r="G174" s="13"/>
      <c r="H174" s="13"/>
      <c r="I174" s="11"/>
      <c r="J174" s="11"/>
      <c r="K174" s="11"/>
      <c r="L174" s="11"/>
      <c r="M174" s="13"/>
      <c r="N174" s="13"/>
      <c r="O174" s="13"/>
      <c r="P174" s="13"/>
      <c r="Q174" s="13"/>
      <c r="R174" s="13"/>
      <c r="S174" s="13"/>
      <c r="T174" s="13"/>
      <c r="U174" s="41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</row>
    <row r="175" spans="1:48" ht="15.75" customHeight="1">
      <c r="A175" s="40"/>
      <c r="B175" s="13"/>
      <c r="C175" s="11"/>
      <c r="D175" s="13"/>
      <c r="E175" s="13"/>
      <c r="F175" s="13"/>
      <c r="G175" s="13"/>
      <c r="H175" s="13"/>
      <c r="I175" s="11"/>
      <c r="J175" s="11"/>
      <c r="K175" s="11"/>
      <c r="L175" s="11"/>
      <c r="M175" s="13"/>
      <c r="N175" s="13"/>
      <c r="O175" s="13"/>
      <c r="P175" s="13"/>
      <c r="Q175" s="13"/>
      <c r="R175" s="13"/>
      <c r="S175" s="13"/>
      <c r="T175" s="13"/>
      <c r="U175" s="41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</row>
    <row r="176" spans="1:48" ht="15.75" customHeight="1">
      <c r="A176" s="40"/>
      <c r="B176" s="13"/>
      <c r="C176" s="11"/>
      <c r="D176" s="13"/>
      <c r="E176" s="13"/>
      <c r="F176" s="13"/>
      <c r="G176" s="13"/>
      <c r="H176" s="13"/>
      <c r="I176" s="11"/>
      <c r="J176" s="11"/>
      <c r="K176" s="11"/>
      <c r="L176" s="11"/>
      <c r="M176" s="13"/>
      <c r="N176" s="13"/>
      <c r="O176" s="13"/>
      <c r="P176" s="13"/>
      <c r="Q176" s="13"/>
      <c r="R176" s="13"/>
      <c r="S176" s="13"/>
      <c r="T176" s="13"/>
      <c r="U176" s="41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</row>
    <row r="177" spans="1:48" ht="15.75" customHeight="1">
      <c r="A177" s="40"/>
      <c r="B177" s="13"/>
      <c r="C177" s="11"/>
      <c r="D177" s="13"/>
      <c r="E177" s="13"/>
      <c r="F177" s="13"/>
      <c r="G177" s="13"/>
      <c r="H177" s="13"/>
      <c r="I177" s="11"/>
      <c r="J177" s="11"/>
      <c r="K177" s="11"/>
      <c r="L177" s="11"/>
      <c r="M177" s="13"/>
      <c r="N177" s="13"/>
      <c r="O177" s="13"/>
      <c r="P177" s="13"/>
      <c r="Q177" s="13"/>
      <c r="R177" s="13"/>
      <c r="S177" s="13"/>
      <c r="T177" s="13"/>
      <c r="U177" s="41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</row>
    <row r="178" spans="1:48" ht="15.75" customHeight="1">
      <c r="A178" s="40"/>
      <c r="B178" s="13"/>
      <c r="C178" s="11"/>
      <c r="D178" s="13"/>
      <c r="E178" s="13"/>
      <c r="F178" s="13"/>
      <c r="G178" s="13"/>
      <c r="H178" s="13"/>
      <c r="I178" s="11"/>
      <c r="J178" s="11"/>
      <c r="K178" s="11"/>
      <c r="L178" s="11"/>
      <c r="M178" s="13"/>
      <c r="N178" s="13"/>
      <c r="O178" s="13"/>
      <c r="P178" s="13"/>
      <c r="Q178" s="13"/>
      <c r="R178" s="13"/>
      <c r="S178" s="13"/>
      <c r="T178" s="13"/>
      <c r="U178" s="41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</row>
    <row r="179" spans="1:48" ht="15.75" customHeight="1">
      <c r="A179" s="40"/>
      <c r="B179" s="13"/>
      <c r="C179" s="11"/>
      <c r="D179" s="13"/>
      <c r="E179" s="13"/>
      <c r="F179" s="13"/>
      <c r="G179" s="13"/>
      <c r="H179" s="13"/>
      <c r="I179" s="11"/>
      <c r="J179" s="11"/>
      <c r="K179" s="11"/>
      <c r="L179" s="11"/>
      <c r="M179" s="13"/>
      <c r="N179" s="13"/>
      <c r="O179" s="13"/>
      <c r="P179" s="13"/>
      <c r="Q179" s="13"/>
      <c r="R179" s="13"/>
      <c r="S179" s="13"/>
      <c r="T179" s="13"/>
      <c r="U179" s="41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</row>
    <row r="180" spans="1:48" ht="15.75" customHeight="1">
      <c r="A180" s="40"/>
      <c r="B180" s="13"/>
      <c r="C180" s="11"/>
      <c r="D180" s="13"/>
      <c r="E180" s="13"/>
      <c r="F180" s="13"/>
      <c r="G180" s="13"/>
      <c r="H180" s="13"/>
      <c r="I180" s="11"/>
      <c r="J180" s="11"/>
      <c r="K180" s="11"/>
      <c r="L180" s="11"/>
      <c r="M180" s="13"/>
      <c r="N180" s="13"/>
      <c r="O180" s="13"/>
      <c r="P180" s="13"/>
      <c r="Q180" s="13"/>
      <c r="R180" s="13"/>
      <c r="S180" s="13"/>
      <c r="T180" s="13"/>
      <c r="U180" s="41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</row>
    <row r="181" spans="1:48" ht="15.75" customHeight="1">
      <c r="A181" s="40"/>
      <c r="B181" s="13"/>
      <c r="C181" s="11"/>
      <c r="D181" s="13"/>
      <c r="E181" s="13"/>
      <c r="F181" s="13"/>
      <c r="G181" s="13"/>
      <c r="H181" s="13"/>
      <c r="I181" s="11"/>
      <c r="J181" s="11"/>
      <c r="K181" s="11"/>
      <c r="L181" s="11"/>
      <c r="M181" s="13"/>
      <c r="N181" s="13"/>
      <c r="O181" s="13"/>
      <c r="P181" s="13"/>
      <c r="Q181" s="13"/>
      <c r="R181" s="13"/>
      <c r="S181" s="13"/>
      <c r="T181" s="13"/>
      <c r="U181" s="41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</row>
    <row r="182" spans="1:48" ht="15.75" customHeight="1">
      <c r="A182" s="40"/>
      <c r="B182" s="13"/>
      <c r="C182" s="11"/>
      <c r="D182" s="13"/>
      <c r="E182" s="13"/>
      <c r="F182" s="13"/>
      <c r="G182" s="13"/>
      <c r="H182" s="13"/>
      <c r="I182" s="11"/>
      <c r="J182" s="11"/>
      <c r="K182" s="11"/>
      <c r="L182" s="11"/>
      <c r="M182" s="13"/>
      <c r="N182" s="13"/>
      <c r="O182" s="13"/>
      <c r="P182" s="13"/>
      <c r="Q182" s="13"/>
      <c r="R182" s="13"/>
      <c r="S182" s="13"/>
      <c r="T182" s="13"/>
      <c r="U182" s="41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</row>
    <row r="183" spans="1:48" ht="15.75" customHeight="1">
      <c r="A183" s="40"/>
      <c r="B183" s="13"/>
      <c r="C183" s="11"/>
      <c r="D183" s="13"/>
      <c r="E183" s="13"/>
      <c r="F183" s="13"/>
      <c r="G183" s="13"/>
      <c r="H183" s="13"/>
      <c r="I183" s="11"/>
      <c r="J183" s="11"/>
      <c r="K183" s="11"/>
      <c r="L183" s="11"/>
      <c r="M183" s="13"/>
      <c r="N183" s="13"/>
      <c r="O183" s="13"/>
      <c r="P183" s="13"/>
      <c r="Q183" s="13"/>
      <c r="R183" s="13"/>
      <c r="S183" s="13"/>
      <c r="T183" s="13"/>
      <c r="U183" s="41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</row>
    <row r="184" spans="1:48" ht="15.75" customHeight="1">
      <c r="A184" s="40"/>
      <c r="B184" s="13"/>
      <c r="C184" s="11"/>
      <c r="D184" s="13"/>
      <c r="E184" s="13"/>
      <c r="F184" s="13"/>
      <c r="G184" s="13"/>
      <c r="H184" s="13"/>
      <c r="I184" s="11"/>
      <c r="J184" s="11"/>
      <c r="K184" s="11"/>
      <c r="L184" s="11"/>
      <c r="M184" s="13"/>
      <c r="N184" s="13"/>
      <c r="O184" s="13"/>
      <c r="P184" s="13"/>
      <c r="Q184" s="13"/>
      <c r="R184" s="13"/>
      <c r="S184" s="13"/>
      <c r="T184" s="13"/>
      <c r="U184" s="41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</row>
    <row r="185" spans="1:48" ht="15.75" customHeight="1">
      <c r="A185" s="40"/>
      <c r="B185" s="13"/>
      <c r="C185" s="11"/>
      <c r="D185" s="13"/>
      <c r="E185" s="13"/>
      <c r="F185" s="13"/>
      <c r="G185" s="13"/>
      <c r="H185" s="13"/>
      <c r="I185" s="11"/>
      <c r="J185" s="11"/>
      <c r="K185" s="11"/>
      <c r="L185" s="11"/>
      <c r="M185" s="13"/>
      <c r="N185" s="13"/>
      <c r="O185" s="13"/>
      <c r="P185" s="13"/>
      <c r="Q185" s="13"/>
      <c r="R185" s="13"/>
      <c r="S185" s="13"/>
      <c r="T185" s="13"/>
      <c r="U185" s="41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</row>
    <row r="186" spans="1:48" ht="15.75" customHeight="1">
      <c r="A186" s="40"/>
      <c r="B186" s="13"/>
      <c r="C186" s="11"/>
      <c r="D186" s="13"/>
      <c r="E186" s="13"/>
      <c r="F186" s="13"/>
      <c r="G186" s="13"/>
      <c r="H186" s="13"/>
      <c r="I186" s="11"/>
      <c r="J186" s="11"/>
      <c r="K186" s="11"/>
      <c r="L186" s="11"/>
      <c r="M186" s="13"/>
      <c r="N186" s="13"/>
      <c r="O186" s="13"/>
      <c r="P186" s="13"/>
      <c r="Q186" s="13"/>
      <c r="R186" s="13"/>
      <c r="S186" s="13"/>
      <c r="T186" s="13"/>
      <c r="U186" s="41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</row>
    <row r="187" spans="1:48" ht="15.75" customHeight="1">
      <c r="A187" s="40"/>
      <c r="B187" s="13"/>
      <c r="C187" s="11"/>
      <c r="D187" s="13"/>
      <c r="E187" s="13"/>
      <c r="F187" s="13"/>
      <c r="G187" s="13"/>
      <c r="H187" s="13"/>
      <c r="I187" s="11"/>
      <c r="J187" s="11"/>
      <c r="K187" s="11"/>
      <c r="L187" s="11"/>
      <c r="M187" s="13"/>
      <c r="N187" s="13"/>
      <c r="O187" s="13"/>
      <c r="P187" s="13"/>
      <c r="Q187" s="13"/>
      <c r="R187" s="13"/>
      <c r="S187" s="13"/>
      <c r="T187" s="13"/>
      <c r="U187" s="41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</row>
    <row r="188" spans="1:48" ht="15.75" customHeight="1">
      <c r="A188" s="40"/>
      <c r="B188" s="13"/>
      <c r="C188" s="11"/>
      <c r="D188" s="13"/>
      <c r="E188" s="13"/>
      <c r="F188" s="13"/>
      <c r="G188" s="13"/>
      <c r="H188" s="13"/>
      <c r="I188" s="11"/>
      <c r="J188" s="11"/>
      <c r="K188" s="11"/>
      <c r="L188" s="11"/>
      <c r="M188" s="13"/>
      <c r="N188" s="13"/>
      <c r="O188" s="13"/>
      <c r="P188" s="13"/>
      <c r="Q188" s="13"/>
      <c r="R188" s="13"/>
      <c r="S188" s="13"/>
      <c r="T188" s="13"/>
      <c r="U188" s="41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</row>
    <row r="189" spans="1:48" ht="15.75" customHeight="1">
      <c r="A189" s="40"/>
      <c r="B189" s="13"/>
      <c r="C189" s="11"/>
      <c r="D189" s="13"/>
      <c r="E189" s="13"/>
      <c r="F189" s="13"/>
      <c r="G189" s="13"/>
      <c r="H189" s="13"/>
      <c r="I189" s="11"/>
      <c r="J189" s="11"/>
      <c r="K189" s="11"/>
      <c r="L189" s="11"/>
      <c r="M189" s="13"/>
      <c r="N189" s="13"/>
      <c r="O189" s="13"/>
      <c r="P189" s="13"/>
      <c r="Q189" s="13"/>
      <c r="R189" s="13"/>
      <c r="S189" s="13"/>
      <c r="T189" s="13"/>
      <c r="U189" s="41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</row>
    <row r="190" spans="1:48" ht="15.75" customHeight="1">
      <c r="A190" s="40"/>
      <c r="B190" s="13"/>
      <c r="C190" s="11"/>
      <c r="D190" s="13"/>
      <c r="E190" s="13"/>
      <c r="F190" s="13"/>
      <c r="G190" s="13"/>
      <c r="H190" s="13"/>
      <c r="I190" s="11"/>
      <c r="J190" s="11"/>
      <c r="K190" s="11"/>
      <c r="L190" s="11"/>
      <c r="M190" s="13"/>
      <c r="N190" s="13"/>
      <c r="O190" s="13"/>
      <c r="P190" s="13"/>
      <c r="Q190" s="13"/>
      <c r="R190" s="13"/>
      <c r="S190" s="13"/>
      <c r="T190" s="13"/>
      <c r="U190" s="41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</row>
    <row r="191" spans="1:48" ht="15.75" customHeight="1">
      <c r="A191" s="40"/>
      <c r="B191" s="13"/>
      <c r="C191" s="11"/>
      <c r="D191" s="13"/>
      <c r="E191" s="13"/>
      <c r="F191" s="13"/>
      <c r="G191" s="13"/>
      <c r="H191" s="13"/>
      <c r="I191" s="11"/>
      <c r="J191" s="11"/>
      <c r="K191" s="11"/>
      <c r="L191" s="11"/>
      <c r="M191" s="13"/>
      <c r="N191" s="13"/>
      <c r="O191" s="13"/>
      <c r="P191" s="13"/>
      <c r="Q191" s="13"/>
      <c r="R191" s="13"/>
      <c r="S191" s="13"/>
      <c r="T191" s="13"/>
      <c r="U191" s="41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</row>
    <row r="192" spans="1:48" ht="15.75" customHeight="1">
      <c r="A192" s="40"/>
      <c r="B192" s="13"/>
      <c r="C192" s="11"/>
      <c r="D192" s="13"/>
      <c r="E192" s="13"/>
      <c r="F192" s="13"/>
      <c r="G192" s="13"/>
      <c r="H192" s="13"/>
      <c r="I192" s="11"/>
      <c r="J192" s="11"/>
      <c r="K192" s="11"/>
      <c r="L192" s="11"/>
      <c r="M192" s="13"/>
      <c r="N192" s="13"/>
      <c r="O192" s="13"/>
      <c r="P192" s="13"/>
      <c r="Q192" s="13"/>
      <c r="R192" s="13"/>
      <c r="S192" s="13"/>
      <c r="T192" s="13"/>
      <c r="U192" s="41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</row>
    <row r="193" spans="1:48" ht="15.75" customHeight="1">
      <c r="A193" s="40"/>
      <c r="B193" s="13"/>
      <c r="C193" s="11"/>
      <c r="D193" s="13"/>
      <c r="E193" s="13"/>
      <c r="F193" s="13"/>
      <c r="G193" s="13"/>
      <c r="H193" s="13"/>
      <c r="I193" s="11"/>
      <c r="J193" s="11"/>
      <c r="K193" s="11"/>
      <c r="L193" s="11"/>
      <c r="M193" s="13"/>
      <c r="N193" s="13"/>
      <c r="O193" s="13"/>
      <c r="P193" s="13"/>
      <c r="Q193" s="13"/>
      <c r="R193" s="13"/>
      <c r="S193" s="13"/>
      <c r="T193" s="13"/>
      <c r="U193" s="41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</row>
    <row r="194" spans="1:48" ht="15.75" customHeight="1">
      <c r="A194" s="40"/>
      <c r="B194" s="13"/>
      <c r="C194" s="11"/>
      <c r="D194" s="13"/>
      <c r="E194" s="13"/>
      <c r="F194" s="13"/>
      <c r="G194" s="13"/>
      <c r="H194" s="13"/>
      <c r="I194" s="11"/>
      <c r="J194" s="11"/>
      <c r="K194" s="11"/>
      <c r="L194" s="11"/>
      <c r="M194" s="13"/>
      <c r="N194" s="13"/>
      <c r="O194" s="13"/>
      <c r="P194" s="13"/>
      <c r="Q194" s="13"/>
      <c r="R194" s="13"/>
      <c r="S194" s="13"/>
      <c r="T194" s="13"/>
      <c r="U194" s="41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</row>
    <row r="195" spans="1:48" ht="15.75" customHeight="1">
      <c r="A195" s="40"/>
      <c r="B195" s="13"/>
      <c r="C195" s="11"/>
      <c r="D195" s="13"/>
      <c r="E195" s="13"/>
      <c r="F195" s="13"/>
      <c r="G195" s="13"/>
      <c r="H195" s="13"/>
      <c r="I195" s="11"/>
      <c r="J195" s="11"/>
      <c r="K195" s="11"/>
      <c r="L195" s="11"/>
      <c r="M195" s="13"/>
      <c r="N195" s="13"/>
      <c r="O195" s="13"/>
      <c r="P195" s="13"/>
      <c r="Q195" s="13"/>
      <c r="R195" s="13"/>
      <c r="S195" s="13"/>
      <c r="T195" s="13"/>
      <c r="U195" s="41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</row>
    <row r="196" spans="1:48" ht="15.75" customHeight="1">
      <c r="A196" s="40"/>
      <c r="B196" s="13"/>
      <c r="C196" s="11"/>
      <c r="D196" s="13"/>
      <c r="E196" s="13"/>
      <c r="F196" s="13"/>
      <c r="G196" s="13"/>
      <c r="H196" s="13"/>
      <c r="I196" s="11"/>
      <c r="J196" s="11"/>
      <c r="K196" s="11"/>
      <c r="L196" s="11"/>
      <c r="M196" s="13"/>
      <c r="N196" s="13"/>
      <c r="O196" s="13"/>
      <c r="P196" s="13"/>
      <c r="Q196" s="13"/>
      <c r="R196" s="13"/>
      <c r="S196" s="13"/>
      <c r="T196" s="13"/>
      <c r="U196" s="41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</row>
    <row r="197" spans="1:48" ht="15.75" customHeight="1">
      <c r="A197" s="40"/>
      <c r="B197" s="13"/>
      <c r="C197" s="11"/>
      <c r="D197" s="13"/>
      <c r="E197" s="13"/>
      <c r="F197" s="13"/>
      <c r="G197" s="13"/>
      <c r="H197" s="13"/>
      <c r="I197" s="11"/>
      <c r="J197" s="11"/>
      <c r="K197" s="11"/>
      <c r="L197" s="11"/>
      <c r="M197" s="13"/>
      <c r="N197" s="13"/>
      <c r="O197" s="13"/>
      <c r="P197" s="13"/>
      <c r="Q197" s="13"/>
      <c r="R197" s="13"/>
      <c r="S197" s="13"/>
      <c r="T197" s="13"/>
      <c r="U197" s="41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</row>
    <row r="198" spans="1:48" ht="15.75" customHeight="1">
      <c r="A198" s="40"/>
      <c r="B198" s="13"/>
      <c r="C198" s="11"/>
      <c r="D198" s="13"/>
      <c r="E198" s="13"/>
      <c r="F198" s="13"/>
      <c r="G198" s="13"/>
      <c r="H198" s="13"/>
      <c r="I198" s="11"/>
      <c r="J198" s="11"/>
      <c r="K198" s="11"/>
      <c r="L198" s="11"/>
      <c r="M198" s="13"/>
      <c r="N198" s="13"/>
      <c r="O198" s="13"/>
      <c r="P198" s="13"/>
      <c r="Q198" s="13"/>
      <c r="R198" s="13"/>
      <c r="S198" s="13"/>
      <c r="T198" s="13"/>
      <c r="U198" s="41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</row>
    <row r="199" spans="1:48" ht="15.75" customHeight="1">
      <c r="A199" s="40"/>
      <c r="B199" s="13"/>
      <c r="C199" s="11"/>
      <c r="D199" s="13"/>
      <c r="E199" s="13"/>
      <c r="F199" s="13"/>
      <c r="G199" s="13"/>
      <c r="H199" s="13"/>
      <c r="I199" s="11"/>
      <c r="J199" s="11"/>
      <c r="K199" s="11"/>
      <c r="L199" s="11"/>
      <c r="M199" s="13"/>
      <c r="N199" s="13"/>
      <c r="O199" s="13"/>
      <c r="P199" s="13"/>
      <c r="Q199" s="13"/>
      <c r="R199" s="13"/>
      <c r="S199" s="13"/>
      <c r="T199" s="13"/>
      <c r="U199" s="41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</row>
    <row r="200" spans="1:48" ht="15.75" customHeight="1">
      <c r="A200" s="40"/>
      <c r="B200" s="13"/>
      <c r="C200" s="11"/>
      <c r="D200" s="13"/>
      <c r="E200" s="13"/>
      <c r="F200" s="13"/>
      <c r="G200" s="13"/>
      <c r="H200" s="13"/>
      <c r="I200" s="11"/>
      <c r="J200" s="11"/>
      <c r="K200" s="11"/>
      <c r="L200" s="11"/>
      <c r="M200" s="13"/>
      <c r="N200" s="13"/>
      <c r="O200" s="13"/>
      <c r="P200" s="13"/>
      <c r="Q200" s="13"/>
      <c r="R200" s="13"/>
      <c r="S200" s="13"/>
      <c r="T200" s="13"/>
      <c r="U200" s="41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</row>
    <row r="201" spans="1:48" ht="15.75" customHeight="1">
      <c r="A201" s="40"/>
      <c r="B201" s="13"/>
      <c r="C201" s="11"/>
      <c r="D201" s="13"/>
      <c r="E201" s="13"/>
      <c r="F201" s="13"/>
      <c r="G201" s="13"/>
      <c r="H201" s="13"/>
      <c r="I201" s="11"/>
      <c r="J201" s="11"/>
      <c r="K201" s="11"/>
      <c r="L201" s="11"/>
      <c r="M201" s="13"/>
      <c r="N201" s="13"/>
      <c r="O201" s="13"/>
      <c r="P201" s="13"/>
      <c r="Q201" s="13"/>
      <c r="R201" s="13"/>
      <c r="S201" s="13"/>
      <c r="T201" s="13"/>
      <c r="U201" s="41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</row>
    <row r="202" spans="1:48" ht="15.75" customHeight="1">
      <c r="A202" s="40"/>
      <c r="B202" s="13"/>
      <c r="C202" s="11"/>
      <c r="D202" s="13"/>
      <c r="E202" s="13"/>
      <c r="F202" s="13"/>
      <c r="G202" s="13"/>
      <c r="H202" s="13"/>
      <c r="I202" s="11"/>
      <c r="J202" s="11"/>
      <c r="K202" s="11"/>
      <c r="L202" s="11"/>
      <c r="M202" s="13"/>
      <c r="N202" s="13"/>
      <c r="O202" s="13"/>
      <c r="P202" s="13"/>
      <c r="Q202" s="13"/>
      <c r="R202" s="13"/>
      <c r="S202" s="13"/>
      <c r="T202" s="13"/>
      <c r="U202" s="41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</row>
    <row r="203" spans="1:48" ht="15.75" customHeight="1">
      <c r="A203" s="40"/>
      <c r="B203" s="13"/>
      <c r="C203" s="11"/>
      <c r="D203" s="13"/>
      <c r="E203" s="13"/>
      <c r="F203" s="13"/>
      <c r="G203" s="13"/>
      <c r="H203" s="13"/>
      <c r="I203" s="11"/>
      <c r="J203" s="11"/>
      <c r="K203" s="11"/>
      <c r="L203" s="11"/>
      <c r="M203" s="13"/>
      <c r="N203" s="13"/>
      <c r="O203" s="13"/>
      <c r="P203" s="13"/>
      <c r="Q203" s="13"/>
      <c r="R203" s="13"/>
      <c r="S203" s="13"/>
      <c r="T203" s="13"/>
      <c r="U203" s="41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</row>
    <row r="204" spans="1:48" ht="15.75" customHeight="1">
      <c r="A204" s="40"/>
      <c r="B204" s="13"/>
      <c r="C204" s="11"/>
      <c r="D204" s="13"/>
      <c r="E204" s="13"/>
      <c r="F204" s="13"/>
      <c r="G204" s="13"/>
      <c r="H204" s="13"/>
      <c r="I204" s="11"/>
      <c r="J204" s="11"/>
      <c r="K204" s="11"/>
      <c r="L204" s="11"/>
      <c r="M204" s="13"/>
      <c r="N204" s="13"/>
      <c r="O204" s="13"/>
      <c r="P204" s="13"/>
      <c r="Q204" s="13"/>
      <c r="R204" s="13"/>
      <c r="S204" s="13"/>
      <c r="T204" s="13"/>
      <c r="U204" s="41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</row>
    <row r="205" spans="1:48" ht="15.75" customHeight="1">
      <c r="A205" s="40"/>
      <c r="B205" s="13"/>
      <c r="C205" s="11"/>
      <c r="D205" s="13"/>
      <c r="E205" s="13"/>
      <c r="F205" s="13"/>
      <c r="G205" s="13"/>
      <c r="H205" s="13"/>
      <c r="I205" s="11"/>
      <c r="J205" s="11"/>
      <c r="K205" s="11"/>
      <c r="L205" s="11"/>
      <c r="M205" s="13"/>
      <c r="N205" s="13"/>
      <c r="O205" s="13"/>
      <c r="P205" s="13"/>
      <c r="Q205" s="13"/>
      <c r="R205" s="13"/>
      <c r="S205" s="13"/>
      <c r="T205" s="13"/>
      <c r="U205" s="41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</row>
    <row r="206" spans="1:48" ht="15.75" customHeight="1">
      <c r="A206" s="40"/>
      <c r="B206" s="13"/>
      <c r="C206" s="11"/>
      <c r="D206" s="13"/>
      <c r="E206" s="13"/>
      <c r="F206" s="13"/>
      <c r="G206" s="13"/>
      <c r="H206" s="13"/>
      <c r="I206" s="11"/>
      <c r="J206" s="11"/>
      <c r="K206" s="11"/>
      <c r="L206" s="11"/>
      <c r="M206" s="13"/>
      <c r="N206" s="13"/>
      <c r="O206" s="13"/>
      <c r="P206" s="13"/>
      <c r="Q206" s="13"/>
      <c r="R206" s="13"/>
      <c r="S206" s="13"/>
      <c r="T206" s="13"/>
      <c r="U206" s="41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</row>
    <row r="207" spans="1:48" ht="15.75" customHeight="1">
      <c r="A207" s="40"/>
      <c r="B207" s="13"/>
      <c r="C207" s="11"/>
      <c r="D207" s="13"/>
      <c r="E207" s="13"/>
      <c r="F207" s="13"/>
      <c r="G207" s="13"/>
      <c r="H207" s="13"/>
      <c r="I207" s="11"/>
      <c r="J207" s="11"/>
      <c r="K207" s="11"/>
      <c r="L207" s="11"/>
      <c r="M207" s="13"/>
      <c r="N207" s="13"/>
      <c r="O207" s="13"/>
      <c r="P207" s="13"/>
      <c r="Q207" s="13"/>
      <c r="R207" s="13"/>
      <c r="S207" s="13"/>
      <c r="T207" s="13"/>
      <c r="U207" s="41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</row>
    <row r="208" spans="1:48" ht="15.75" customHeight="1">
      <c r="A208" s="40"/>
      <c r="B208" s="13"/>
      <c r="C208" s="11"/>
      <c r="D208" s="13"/>
      <c r="E208" s="13"/>
      <c r="F208" s="13"/>
      <c r="G208" s="13"/>
      <c r="H208" s="13"/>
      <c r="I208" s="11"/>
      <c r="J208" s="11"/>
      <c r="K208" s="11"/>
      <c r="L208" s="11"/>
      <c r="M208" s="13"/>
      <c r="N208" s="13"/>
      <c r="O208" s="13"/>
      <c r="P208" s="13"/>
      <c r="Q208" s="13"/>
      <c r="R208" s="13"/>
      <c r="S208" s="13"/>
      <c r="T208" s="13"/>
      <c r="U208" s="41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</row>
    <row r="209" spans="1:48" ht="15.75" customHeight="1">
      <c r="A209" s="40"/>
      <c r="B209" s="13"/>
      <c r="C209" s="11"/>
      <c r="D209" s="13"/>
      <c r="E209" s="13"/>
      <c r="F209" s="13"/>
      <c r="G209" s="13"/>
      <c r="H209" s="13"/>
      <c r="I209" s="11"/>
      <c r="J209" s="11"/>
      <c r="K209" s="11"/>
      <c r="L209" s="11"/>
      <c r="M209" s="13"/>
      <c r="N209" s="13"/>
      <c r="O209" s="13"/>
      <c r="P209" s="13"/>
      <c r="Q209" s="13"/>
      <c r="R209" s="13"/>
      <c r="S209" s="13"/>
      <c r="T209" s="13"/>
      <c r="U209" s="41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</row>
    <row r="210" spans="1:48" ht="15.75" customHeight="1">
      <c r="A210" s="40"/>
      <c r="B210" s="13"/>
      <c r="C210" s="11"/>
      <c r="D210" s="13"/>
      <c r="E210" s="13"/>
      <c r="F210" s="13"/>
      <c r="G210" s="13"/>
      <c r="H210" s="13"/>
      <c r="I210" s="11"/>
      <c r="J210" s="11"/>
      <c r="K210" s="11"/>
      <c r="L210" s="11"/>
      <c r="M210" s="13"/>
      <c r="N210" s="13"/>
      <c r="O210" s="13"/>
      <c r="P210" s="13"/>
      <c r="Q210" s="13"/>
      <c r="R210" s="13"/>
      <c r="S210" s="13"/>
      <c r="T210" s="13"/>
      <c r="U210" s="41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</row>
    <row r="211" spans="1:48" ht="15.75" customHeight="1">
      <c r="A211" s="40"/>
      <c r="B211" s="13"/>
      <c r="C211" s="11"/>
      <c r="D211" s="13"/>
      <c r="E211" s="13"/>
      <c r="F211" s="13"/>
      <c r="G211" s="13"/>
      <c r="H211" s="13"/>
      <c r="I211" s="11"/>
      <c r="J211" s="11"/>
      <c r="K211" s="11"/>
      <c r="L211" s="11"/>
      <c r="M211" s="13"/>
      <c r="N211" s="13"/>
      <c r="O211" s="13"/>
      <c r="P211" s="13"/>
      <c r="Q211" s="13"/>
      <c r="R211" s="13"/>
      <c r="S211" s="13"/>
      <c r="T211" s="13"/>
      <c r="U211" s="41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</row>
    <row r="212" spans="1:48" ht="15.75" customHeight="1">
      <c r="A212" s="40"/>
      <c r="B212" s="13"/>
      <c r="C212" s="11"/>
      <c r="D212" s="13"/>
      <c r="E212" s="13"/>
      <c r="F212" s="13"/>
      <c r="G212" s="13"/>
      <c r="H212" s="13"/>
      <c r="I212" s="11"/>
      <c r="J212" s="11"/>
      <c r="K212" s="11"/>
      <c r="L212" s="11"/>
      <c r="M212" s="13"/>
      <c r="N212" s="13"/>
      <c r="O212" s="13"/>
      <c r="P212" s="13"/>
      <c r="Q212" s="13"/>
      <c r="R212" s="13"/>
      <c r="S212" s="13"/>
      <c r="T212" s="13"/>
      <c r="U212" s="41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</row>
    <row r="213" spans="1:48" ht="15.75" customHeight="1">
      <c r="A213" s="40"/>
      <c r="B213" s="13"/>
      <c r="C213" s="11"/>
      <c r="D213" s="13"/>
      <c r="E213" s="13"/>
      <c r="F213" s="13"/>
      <c r="G213" s="13"/>
      <c r="H213" s="13"/>
      <c r="I213" s="11"/>
      <c r="J213" s="11"/>
      <c r="K213" s="11"/>
      <c r="L213" s="11"/>
      <c r="M213" s="13"/>
      <c r="N213" s="13"/>
      <c r="O213" s="13"/>
      <c r="P213" s="13"/>
      <c r="Q213" s="13"/>
      <c r="R213" s="13"/>
      <c r="S213" s="13"/>
      <c r="T213" s="13"/>
      <c r="U213" s="41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</row>
    <row r="214" spans="1:48" ht="15.75" customHeight="1">
      <c r="A214" s="40"/>
      <c r="B214" s="13"/>
      <c r="C214" s="11"/>
      <c r="D214" s="13"/>
      <c r="E214" s="13"/>
      <c r="F214" s="13"/>
      <c r="G214" s="13"/>
      <c r="H214" s="13"/>
      <c r="I214" s="11"/>
      <c r="J214" s="11"/>
      <c r="K214" s="11"/>
      <c r="L214" s="11"/>
      <c r="M214" s="13"/>
      <c r="N214" s="13"/>
      <c r="O214" s="13"/>
      <c r="P214" s="13"/>
      <c r="Q214" s="13"/>
      <c r="R214" s="13"/>
      <c r="S214" s="13"/>
      <c r="T214" s="13"/>
      <c r="U214" s="41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</row>
    <row r="215" spans="1:48" ht="15.75" customHeight="1">
      <c r="A215" s="40"/>
      <c r="B215" s="13"/>
      <c r="C215" s="11"/>
      <c r="D215" s="13"/>
      <c r="E215" s="13"/>
      <c r="F215" s="13"/>
      <c r="G215" s="13"/>
      <c r="H215" s="13"/>
      <c r="I215" s="11"/>
      <c r="J215" s="11"/>
      <c r="K215" s="11"/>
      <c r="L215" s="11"/>
      <c r="M215" s="13"/>
      <c r="N215" s="13"/>
      <c r="O215" s="13"/>
      <c r="P215" s="13"/>
      <c r="Q215" s="13"/>
      <c r="R215" s="13"/>
      <c r="S215" s="13"/>
      <c r="T215" s="13"/>
      <c r="U215" s="41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</row>
    <row r="216" spans="1:48" ht="15.75" customHeight="1">
      <c r="A216" s="40"/>
      <c r="B216" s="13"/>
      <c r="C216" s="11"/>
      <c r="D216" s="13"/>
      <c r="E216" s="13"/>
      <c r="F216" s="13"/>
      <c r="G216" s="13"/>
      <c r="H216" s="13"/>
      <c r="I216" s="11"/>
      <c r="J216" s="11"/>
      <c r="K216" s="11"/>
      <c r="L216" s="11"/>
      <c r="M216" s="13"/>
      <c r="N216" s="13"/>
      <c r="O216" s="13"/>
      <c r="P216" s="13"/>
      <c r="Q216" s="13"/>
      <c r="R216" s="13"/>
      <c r="S216" s="13"/>
      <c r="T216" s="13"/>
      <c r="U216" s="41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</row>
    <row r="217" spans="1:48" ht="15.75" customHeight="1">
      <c r="A217" s="40"/>
      <c r="B217" s="13"/>
      <c r="C217" s="11"/>
      <c r="D217" s="13"/>
      <c r="E217" s="13"/>
      <c r="F217" s="13"/>
      <c r="G217" s="13"/>
      <c r="H217" s="13"/>
      <c r="I217" s="11"/>
      <c r="J217" s="11"/>
      <c r="K217" s="11"/>
      <c r="L217" s="11"/>
      <c r="M217" s="13"/>
      <c r="N217" s="13"/>
      <c r="O217" s="13"/>
      <c r="P217" s="13"/>
      <c r="Q217" s="13"/>
      <c r="R217" s="13"/>
      <c r="S217" s="13"/>
      <c r="T217" s="13"/>
      <c r="U217" s="41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</row>
    <row r="218" spans="1:48" ht="15.75" customHeight="1">
      <c r="A218" s="40"/>
      <c r="B218" s="13"/>
      <c r="C218" s="11"/>
      <c r="D218" s="13"/>
      <c r="E218" s="13"/>
      <c r="F218" s="13"/>
      <c r="G218" s="13"/>
      <c r="H218" s="13"/>
      <c r="I218" s="11"/>
      <c r="J218" s="11"/>
      <c r="K218" s="11"/>
      <c r="L218" s="11"/>
      <c r="M218" s="13"/>
      <c r="N218" s="13"/>
      <c r="O218" s="13"/>
      <c r="P218" s="13"/>
      <c r="Q218" s="13"/>
      <c r="R218" s="13"/>
      <c r="S218" s="13"/>
      <c r="T218" s="13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</row>
    <row r="219" spans="1:48" ht="15.75" customHeight="1">
      <c r="A219" s="40"/>
      <c r="B219" s="13"/>
      <c r="C219" s="11"/>
      <c r="D219" s="13"/>
      <c r="E219" s="13"/>
      <c r="F219" s="13"/>
      <c r="G219" s="13"/>
      <c r="H219" s="13"/>
      <c r="I219" s="11"/>
      <c r="J219" s="11"/>
      <c r="K219" s="11"/>
      <c r="L219" s="11"/>
      <c r="M219" s="13"/>
      <c r="N219" s="13"/>
      <c r="O219" s="13"/>
      <c r="P219" s="13"/>
      <c r="Q219" s="13"/>
      <c r="R219" s="13"/>
      <c r="S219" s="13"/>
      <c r="T219" s="13"/>
      <c r="U219" s="41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</row>
    <row r="220" spans="1:48" ht="15.75" customHeight="1">
      <c r="A220" s="40"/>
      <c r="B220" s="13"/>
      <c r="C220" s="11"/>
      <c r="D220" s="13"/>
      <c r="E220" s="13"/>
      <c r="F220" s="13"/>
      <c r="G220" s="13"/>
      <c r="H220" s="13"/>
      <c r="I220" s="11"/>
      <c r="J220" s="11"/>
      <c r="K220" s="11"/>
      <c r="L220" s="11"/>
      <c r="M220" s="13"/>
      <c r="N220" s="13"/>
      <c r="O220" s="13"/>
      <c r="P220" s="13"/>
      <c r="Q220" s="13"/>
      <c r="R220" s="13"/>
      <c r="S220" s="13"/>
      <c r="T220" s="13"/>
      <c r="U220" s="41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</row>
    <row r="221" spans="1:48" ht="15.75" customHeight="1">
      <c r="A221" s="40"/>
      <c r="B221" s="13"/>
      <c r="C221" s="11"/>
      <c r="D221" s="13"/>
      <c r="E221" s="13"/>
      <c r="F221" s="13"/>
      <c r="G221" s="13"/>
      <c r="H221" s="13"/>
      <c r="I221" s="11"/>
      <c r="J221" s="11"/>
      <c r="K221" s="11"/>
      <c r="L221" s="11"/>
      <c r="M221" s="13"/>
      <c r="N221" s="13"/>
      <c r="O221" s="13"/>
      <c r="P221" s="13"/>
      <c r="Q221" s="13"/>
      <c r="R221" s="13"/>
      <c r="S221" s="13"/>
      <c r="T221" s="13"/>
      <c r="U221" s="41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</row>
    <row r="222" spans="1:48" ht="15.75" customHeight="1">
      <c r="A222" s="40"/>
      <c r="B222" s="13"/>
      <c r="C222" s="11"/>
      <c r="D222" s="13"/>
      <c r="E222" s="13"/>
      <c r="F222" s="13"/>
      <c r="G222" s="13"/>
      <c r="H222" s="13"/>
      <c r="I222" s="11"/>
      <c r="J222" s="11"/>
      <c r="K222" s="11"/>
      <c r="L222" s="11"/>
      <c r="M222" s="13"/>
      <c r="N222" s="13"/>
      <c r="O222" s="13"/>
      <c r="P222" s="13"/>
      <c r="Q222" s="13"/>
      <c r="R222" s="13"/>
      <c r="S222" s="13"/>
      <c r="T222" s="13"/>
      <c r="U222" s="41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</row>
    <row r="223" spans="1:48" ht="15.75" customHeight="1">
      <c r="A223" s="40"/>
      <c r="B223" s="13"/>
      <c r="C223" s="11"/>
      <c r="D223" s="13"/>
      <c r="E223" s="13"/>
      <c r="F223" s="13"/>
      <c r="G223" s="13"/>
      <c r="H223" s="13"/>
      <c r="I223" s="11"/>
      <c r="J223" s="11"/>
      <c r="K223" s="11"/>
      <c r="L223" s="11"/>
      <c r="M223" s="13"/>
      <c r="N223" s="13"/>
      <c r="O223" s="13"/>
      <c r="P223" s="13"/>
      <c r="Q223" s="13"/>
      <c r="R223" s="13"/>
      <c r="S223" s="13"/>
      <c r="T223" s="13"/>
      <c r="U223" s="41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</row>
    <row r="224" spans="1:48" ht="15.75" customHeight="1">
      <c r="A224" s="40"/>
      <c r="B224" s="13"/>
      <c r="C224" s="11"/>
      <c r="D224" s="13"/>
      <c r="E224" s="13"/>
      <c r="F224" s="13"/>
      <c r="G224" s="13"/>
      <c r="H224" s="13"/>
      <c r="I224" s="11"/>
      <c r="J224" s="11"/>
      <c r="K224" s="11"/>
      <c r="L224" s="11"/>
      <c r="M224" s="13"/>
      <c r="N224" s="13"/>
      <c r="O224" s="13"/>
      <c r="P224" s="13"/>
      <c r="Q224" s="13"/>
      <c r="R224" s="13"/>
      <c r="S224" s="13"/>
      <c r="T224" s="13"/>
      <c r="U224" s="41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</row>
    <row r="225" spans="1:48" ht="15.75" customHeight="1">
      <c r="A225" s="40"/>
      <c r="B225" s="13"/>
      <c r="C225" s="11"/>
      <c r="D225" s="13"/>
      <c r="E225" s="13"/>
      <c r="F225" s="13"/>
      <c r="G225" s="13"/>
      <c r="H225" s="13"/>
      <c r="I225" s="11"/>
      <c r="J225" s="11"/>
      <c r="K225" s="11"/>
      <c r="L225" s="11"/>
      <c r="M225" s="13"/>
      <c r="N225" s="13"/>
      <c r="O225" s="13"/>
      <c r="P225" s="13"/>
      <c r="Q225" s="13"/>
      <c r="R225" s="13"/>
      <c r="S225" s="13"/>
      <c r="T225" s="13"/>
      <c r="U225" s="41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</row>
    <row r="226" spans="1:48" ht="15.75" customHeight="1">
      <c r="A226" s="40"/>
      <c r="B226" s="13"/>
      <c r="C226" s="11"/>
      <c r="D226" s="13"/>
      <c r="E226" s="13"/>
      <c r="F226" s="13"/>
      <c r="G226" s="13"/>
      <c r="H226" s="13"/>
      <c r="I226" s="11"/>
      <c r="J226" s="11"/>
      <c r="K226" s="11"/>
      <c r="L226" s="11"/>
      <c r="M226" s="13"/>
      <c r="N226" s="13"/>
      <c r="O226" s="13"/>
      <c r="P226" s="13"/>
      <c r="Q226" s="13"/>
      <c r="R226" s="13"/>
      <c r="S226" s="13"/>
      <c r="T226" s="13"/>
      <c r="U226" s="41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</row>
    <row r="227" spans="1:48" ht="15.75" customHeight="1">
      <c r="A227" s="40"/>
      <c r="B227" s="13"/>
      <c r="C227" s="11"/>
      <c r="D227" s="13"/>
      <c r="E227" s="13"/>
      <c r="F227" s="13"/>
      <c r="G227" s="13"/>
      <c r="H227" s="13"/>
      <c r="I227" s="11"/>
      <c r="J227" s="11"/>
      <c r="K227" s="11"/>
      <c r="L227" s="11"/>
      <c r="M227" s="13"/>
      <c r="N227" s="13"/>
      <c r="O227" s="13"/>
      <c r="P227" s="13"/>
      <c r="Q227" s="13"/>
      <c r="R227" s="13"/>
      <c r="S227" s="13"/>
      <c r="T227" s="13"/>
      <c r="U227" s="41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</row>
    <row r="228" spans="1:48" ht="15.75" customHeight="1">
      <c r="A228" s="40"/>
      <c r="B228" s="13"/>
      <c r="C228" s="11"/>
      <c r="D228" s="13"/>
      <c r="E228" s="13"/>
      <c r="F228" s="13"/>
      <c r="G228" s="13"/>
      <c r="H228" s="13"/>
      <c r="I228" s="11"/>
      <c r="J228" s="11"/>
      <c r="K228" s="11"/>
      <c r="L228" s="11"/>
      <c r="M228" s="13"/>
      <c r="N228" s="13"/>
      <c r="O228" s="13"/>
      <c r="P228" s="13"/>
      <c r="Q228" s="13"/>
      <c r="R228" s="13"/>
      <c r="S228" s="13"/>
      <c r="T228" s="13"/>
      <c r="U228" s="41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</row>
    <row r="229" spans="1:48" ht="15.75" customHeight="1">
      <c r="A229" s="40"/>
      <c r="B229" s="13"/>
      <c r="C229" s="11"/>
      <c r="D229" s="13"/>
      <c r="E229" s="13"/>
      <c r="F229" s="13"/>
      <c r="G229" s="13"/>
      <c r="H229" s="13"/>
      <c r="I229" s="11"/>
      <c r="J229" s="11"/>
      <c r="K229" s="11"/>
      <c r="L229" s="11"/>
      <c r="M229" s="13"/>
      <c r="N229" s="13"/>
      <c r="O229" s="13"/>
      <c r="P229" s="13"/>
      <c r="Q229" s="13"/>
      <c r="R229" s="13"/>
      <c r="S229" s="13"/>
      <c r="T229" s="13"/>
      <c r="U229" s="41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</row>
    <row r="230" spans="1:48" ht="15.75" customHeight="1">
      <c r="A230" s="40"/>
      <c r="B230" s="13"/>
      <c r="C230" s="11"/>
      <c r="D230" s="13"/>
      <c r="E230" s="13"/>
      <c r="F230" s="13"/>
      <c r="G230" s="13"/>
      <c r="H230" s="13"/>
      <c r="I230" s="11"/>
      <c r="J230" s="11"/>
      <c r="K230" s="11"/>
      <c r="L230" s="11"/>
      <c r="M230" s="13"/>
      <c r="N230" s="13"/>
      <c r="O230" s="13"/>
      <c r="P230" s="13"/>
      <c r="Q230" s="13"/>
      <c r="R230" s="13"/>
      <c r="S230" s="13"/>
      <c r="T230" s="13"/>
      <c r="U230" s="41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</row>
    <row r="231" spans="1:48" ht="15.75" customHeight="1">
      <c r="A231" s="40"/>
      <c r="B231" s="13"/>
      <c r="C231" s="11"/>
      <c r="D231" s="13"/>
      <c r="E231" s="13"/>
      <c r="F231" s="13"/>
      <c r="G231" s="13"/>
      <c r="H231" s="13"/>
      <c r="I231" s="11"/>
      <c r="J231" s="11"/>
      <c r="K231" s="11"/>
      <c r="L231" s="11"/>
      <c r="M231" s="13"/>
      <c r="N231" s="13"/>
      <c r="O231" s="13"/>
      <c r="P231" s="13"/>
      <c r="Q231" s="13"/>
      <c r="R231" s="13"/>
      <c r="S231" s="13"/>
      <c r="T231" s="13"/>
      <c r="U231" s="41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</row>
    <row r="232" spans="1:48" ht="15.75" customHeight="1">
      <c r="A232" s="40"/>
      <c r="B232" s="13"/>
      <c r="C232" s="11"/>
      <c r="D232" s="13"/>
      <c r="E232" s="13"/>
      <c r="F232" s="13"/>
      <c r="G232" s="13"/>
      <c r="H232" s="13"/>
      <c r="I232" s="11"/>
      <c r="J232" s="11"/>
      <c r="K232" s="11"/>
      <c r="L232" s="11"/>
      <c r="M232" s="13"/>
      <c r="N232" s="13"/>
      <c r="O232" s="13"/>
      <c r="P232" s="13"/>
      <c r="Q232" s="13"/>
      <c r="R232" s="13"/>
      <c r="S232" s="13"/>
      <c r="T232" s="13"/>
      <c r="U232" s="41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</row>
    <row r="233" spans="1:48" ht="15.75" customHeight="1">
      <c r="A233" s="40"/>
      <c r="B233" s="13"/>
      <c r="C233" s="11"/>
      <c r="D233" s="13"/>
      <c r="E233" s="13"/>
      <c r="F233" s="13"/>
      <c r="G233" s="13"/>
      <c r="H233" s="13"/>
      <c r="I233" s="11"/>
      <c r="J233" s="11"/>
      <c r="K233" s="11"/>
      <c r="L233" s="11"/>
      <c r="M233" s="13"/>
      <c r="N233" s="13"/>
      <c r="O233" s="13"/>
      <c r="P233" s="13"/>
      <c r="Q233" s="13"/>
      <c r="R233" s="13"/>
      <c r="S233" s="13"/>
      <c r="T233" s="13"/>
      <c r="U233" s="41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</row>
    <row r="234" spans="1:48" ht="15.75" customHeight="1">
      <c r="A234" s="40"/>
      <c r="B234" s="13"/>
      <c r="C234" s="11"/>
      <c r="D234" s="13"/>
      <c r="E234" s="13"/>
      <c r="F234" s="13"/>
      <c r="G234" s="13"/>
      <c r="H234" s="13"/>
      <c r="I234" s="11"/>
      <c r="J234" s="11"/>
      <c r="K234" s="11"/>
      <c r="L234" s="11"/>
      <c r="M234" s="13"/>
      <c r="N234" s="13"/>
      <c r="O234" s="13"/>
      <c r="P234" s="13"/>
      <c r="Q234" s="13"/>
      <c r="R234" s="13"/>
      <c r="S234" s="13"/>
      <c r="T234" s="13"/>
      <c r="U234" s="41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</row>
    <row r="235" spans="1:48" ht="15.75" customHeight="1">
      <c r="A235" s="40"/>
      <c r="B235" s="13"/>
      <c r="C235" s="11"/>
      <c r="D235" s="13"/>
      <c r="E235" s="13"/>
      <c r="F235" s="13"/>
      <c r="G235" s="13"/>
      <c r="H235" s="13"/>
      <c r="I235" s="11"/>
      <c r="J235" s="11"/>
      <c r="K235" s="11"/>
      <c r="L235" s="11"/>
      <c r="M235" s="13"/>
      <c r="N235" s="13"/>
      <c r="O235" s="13"/>
      <c r="P235" s="13"/>
      <c r="Q235" s="13"/>
      <c r="R235" s="13"/>
      <c r="S235" s="13"/>
      <c r="T235" s="13"/>
      <c r="U235" s="41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</row>
    <row r="236" spans="1:48" ht="15.75" customHeight="1">
      <c r="A236" s="40"/>
      <c r="B236" s="13"/>
      <c r="C236" s="11"/>
      <c r="D236" s="13"/>
      <c r="E236" s="13"/>
      <c r="F236" s="13"/>
      <c r="G236" s="13"/>
      <c r="H236" s="13"/>
      <c r="I236" s="11"/>
      <c r="J236" s="11"/>
      <c r="K236" s="11"/>
      <c r="L236" s="11"/>
      <c r="M236" s="13"/>
      <c r="N236" s="13"/>
      <c r="O236" s="13"/>
      <c r="P236" s="13"/>
      <c r="Q236" s="13"/>
      <c r="R236" s="13"/>
      <c r="S236" s="13"/>
      <c r="T236" s="13"/>
      <c r="U236" s="41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</row>
    <row r="237" spans="1:48" ht="15.75" customHeight="1">
      <c r="A237" s="40"/>
      <c r="B237" s="13"/>
      <c r="C237" s="11"/>
      <c r="D237" s="13"/>
      <c r="E237" s="13"/>
      <c r="F237" s="13"/>
      <c r="G237" s="13"/>
      <c r="H237" s="13"/>
      <c r="I237" s="11"/>
      <c r="J237" s="11"/>
      <c r="K237" s="11"/>
      <c r="L237" s="11"/>
      <c r="M237" s="13"/>
      <c r="N237" s="13"/>
      <c r="O237" s="13"/>
      <c r="P237" s="13"/>
      <c r="Q237" s="13"/>
      <c r="R237" s="13"/>
      <c r="S237" s="13"/>
      <c r="T237" s="13"/>
      <c r="U237" s="41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</row>
    <row r="238" spans="1:48" ht="15.75" customHeight="1">
      <c r="A238" s="40"/>
      <c r="B238" s="13"/>
      <c r="C238" s="11"/>
      <c r="D238" s="13"/>
      <c r="E238" s="13"/>
      <c r="F238" s="13"/>
      <c r="G238" s="13"/>
      <c r="H238" s="13"/>
      <c r="I238" s="11"/>
      <c r="J238" s="11"/>
      <c r="K238" s="11"/>
      <c r="L238" s="11"/>
      <c r="M238" s="13"/>
      <c r="N238" s="13"/>
      <c r="O238" s="13"/>
      <c r="P238" s="13"/>
      <c r="Q238" s="13"/>
      <c r="R238" s="13"/>
      <c r="S238" s="13"/>
      <c r="T238" s="13"/>
      <c r="U238" s="41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</row>
    <row r="239" spans="1:48" ht="15.75" customHeight="1">
      <c r="A239" s="40"/>
      <c r="B239" s="13"/>
      <c r="C239" s="11"/>
      <c r="D239" s="13"/>
      <c r="E239" s="13"/>
      <c r="F239" s="13"/>
      <c r="G239" s="13"/>
      <c r="H239" s="13"/>
      <c r="I239" s="11"/>
      <c r="J239" s="11"/>
      <c r="K239" s="11"/>
      <c r="L239" s="11"/>
      <c r="M239" s="13"/>
      <c r="N239" s="13"/>
      <c r="O239" s="13"/>
      <c r="P239" s="13"/>
      <c r="Q239" s="13"/>
      <c r="R239" s="13"/>
      <c r="S239" s="13"/>
      <c r="T239" s="13"/>
      <c r="U239" s="41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</row>
    <row r="240" spans="1:48" ht="15.75" customHeight="1">
      <c r="A240" s="40"/>
      <c r="B240" s="13"/>
      <c r="C240" s="11"/>
      <c r="D240" s="13"/>
      <c r="E240" s="13"/>
      <c r="F240" s="13"/>
      <c r="G240" s="13"/>
      <c r="H240" s="13"/>
      <c r="I240" s="11"/>
      <c r="J240" s="11"/>
      <c r="K240" s="11"/>
      <c r="L240" s="11"/>
      <c r="M240" s="13"/>
      <c r="N240" s="13"/>
      <c r="O240" s="13"/>
      <c r="P240" s="13"/>
      <c r="Q240" s="13"/>
      <c r="R240" s="13"/>
      <c r="S240" s="13"/>
      <c r="T240" s="13"/>
      <c r="U240" s="41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</row>
    <row r="241" spans="1:48" ht="15.75" customHeight="1">
      <c r="A241" s="40"/>
      <c r="B241" s="13"/>
      <c r="C241" s="11"/>
      <c r="D241" s="13"/>
      <c r="E241" s="13"/>
      <c r="F241" s="13"/>
      <c r="G241" s="13"/>
      <c r="H241" s="13"/>
      <c r="I241" s="11"/>
      <c r="J241" s="11"/>
      <c r="K241" s="11"/>
      <c r="L241" s="11"/>
      <c r="M241" s="13"/>
      <c r="N241" s="13"/>
      <c r="O241" s="13"/>
      <c r="P241" s="13"/>
      <c r="Q241" s="13"/>
      <c r="R241" s="13"/>
      <c r="S241" s="13"/>
      <c r="T241" s="13"/>
      <c r="U241" s="41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</row>
    <row r="242" spans="1:48" ht="15.75" customHeight="1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</row>
    <row r="243" spans="1:48" ht="15.75" customHeight="1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</row>
    <row r="244" spans="1:48" ht="15.75" customHeight="1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</row>
    <row r="245" spans="1:48" ht="15.75" customHeight="1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</row>
    <row r="246" spans="1:48" ht="15.75" customHeight="1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</row>
    <row r="247" spans="1:48" ht="15.75" customHeight="1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</row>
    <row r="248" spans="1:48" ht="15.75" customHeight="1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</row>
    <row r="249" spans="1:48" ht="15.75" customHeight="1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</row>
    <row r="250" spans="1:48" ht="15.75" customHeight="1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</row>
    <row r="251" spans="1:48" ht="15.75" customHeight="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</row>
    <row r="252" spans="1:48" ht="15.75" customHeight="1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</row>
    <row r="253" spans="1:48" ht="15.75" customHeight="1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</row>
    <row r="254" spans="1:48" ht="15.75" customHeight="1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</row>
    <row r="255" spans="1:48" ht="15.75" customHeight="1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</row>
    <row r="256" spans="1:48" ht="15.75" customHeight="1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D10:AL10"/>
    <mergeCell ref="AM10:AU10"/>
    <mergeCell ref="A1:A3"/>
    <mergeCell ref="F8:G8"/>
    <mergeCell ref="I8:J8"/>
    <mergeCell ref="T8:AC8"/>
    <mergeCell ref="B10:G10"/>
    <mergeCell ref="H10:R10"/>
    <mergeCell ref="T10:AC10"/>
  </mergeCells>
  <conditionalFormatting sqref="B1:K1 C2:J3">
    <cfRule type="cellIs" dxfId="10" priority="1" operator="lessThan">
      <formula>0</formula>
    </cfRule>
  </conditionalFormatting>
  <dataValidations count="24">
    <dataValidation type="list" allowBlank="1" showErrorMessage="1" sqref="U12:U41" xr:uid="{00000000-0002-0000-0900-000000000000}">
      <formula1>"Não tem,Aberta,Fechada"</formula1>
    </dataValidation>
    <dataValidation type="list" allowBlank="1" showErrorMessage="1" sqref="AI12:AI41" xr:uid="{00000000-0002-0000-0900-000001000000}">
      <formula1>"Não tem,Externa,Interna,Raia"</formula1>
    </dataValidation>
    <dataValidation type="list" allowBlank="1" showErrorMessage="1" sqref="AC12:AC41" xr:uid="{00000000-0002-0000-0900-000002000000}">
      <formula1>"Não tem,Gás,Indução"</formula1>
    </dataValidation>
    <dataValidation type="list" allowBlank="1" showErrorMessage="1" sqref="S12:S41" xr:uid="{00000000-0002-0000-0900-000003000000}">
      <formula1>"Tijolo,Concreto,Drywall"</formula1>
    </dataValidation>
    <dataValidation type="list" allowBlank="1" showErrorMessage="1" sqref="T12:T41" xr:uid="{00000000-0002-0000-0900-000004000000}">
      <formula1>"Porcelanato,Cerâmica,Vinílico,Laminado,Tacos,Contrapiso"</formula1>
    </dataValidation>
    <dataValidation type="list" allowBlank="1" showErrorMessage="1" sqref="AF12:AF41" xr:uid="{00000000-0002-0000-0900-000005000000}">
      <formula1>"Não tem,Simples,Completa"</formula1>
    </dataValidation>
    <dataValidation type="list" allowBlank="1" sqref="H12:K41" xr:uid="{00000000-0002-0000-0900-000006000000}">
      <formula1>"0.0,1.0,2.0,3.0,4.0"</formula1>
    </dataValidation>
    <dataValidation type="list" allowBlank="1" sqref="M12:M41" xr:uid="{00000000-0002-0000-0900-000007000000}">
      <formula1>"Norte,Sul,Leste,Oeste"</formula1>
    </dataValidation>
    <dataValidation type="list" allowBlank="1" showErrorMessage="1" sqref="O13:O41" xr:uid="{00000000-0002-0000-0900-000008000000}">
      <formula1>"Livre,Fechada"</formula1>
    </dataValidation>
    <dataValidation type="list" allowBlank="1" showErrorMessage="1" sqref="N12:N41" xr:uid="{00000000-0002-0000-0900-000009000000}">
      <formula1>"Frente,Lateral,Fundos"</formula1>
    </dataValidation>
    <dataValidation type="list" allowBlank="1" showErrorMessage="1" sqref="P12:P41" xr:uid="{00000000-0002-0000-0900-00000A000000}">
      <formula1>"Decorado,Novo,Conservado,Velho"</formula1>
    </dataValidation>
    <dataValidation type="list" allowBlank="1" showErrorMessage="1" sqref="O12" xr:uid="{00000000-0002-0000-0900-00000B000000}">
      <formula1>"Livre,Obstruído"</formula1>
    </dataValidation>
    <dataValidation type="list" allowBlank="1" showErrorMessage="1" sqref="V12:V41" xr:uid="{00000000-0002-0000-0900-00000C000000}">
      <formula1>"Não tem,Vidro"</formula1>
    </dataValidation>
    <dataValidation type="list" allowBlank="1" showErrorMessage="1" sqref="X12:X41" xr:uid="{00000000-0002-0000-0900-00000D000000}">
      <formula1>"Não tem,Embutida Janela,Interna"</formula1>
    </dataValidation>
    <dataValidation type="list" allowBlank="1" showErrorMessage="1" sqref="AH12:AH41" xr:uid="{00000000-0002-0000-0900-00000E000000}">
      <formula1>"Não tem,Pequeno,Grande"</formula1>
    </dataValidation>
    <dataValidation type="list" allowBlank="1" showErrorMessage="1" sqref="AK12:AK41" xr:uid="{00000000-0002-0000-0900-00000F000000}">
      <formula1>"Não tem,Sim,Com bicicletas"</formula1>
    </dataValidation>
    <dataValidation type="list" allowBlank="1" showErrorMessage="1" sqref="AG12:AG41" xr:uid="{00000000-0002-0000-0900-000010000000}">
      <formula1>"Não tem,Gourmet,Churrasqueira"</formula1>
    </dataValidation>
    <dataValidation type="list" allowBlank="1" showErrorMessage="1" sqref="W12:W41" xr:uid="{00000000-0002-0000-0900-000011000000}">
      <formula1>"Não tem,Central,Gás Individual,Elétrico"</formula1>
    </dataValidation>
    <dataValidation type="list" allowBlank="1" showErrorMessage="1" sqref="AD12:AD41" xr:uid="{00000000-0002-0000-0900-000012000000}">
      <formula1>"Não tem,Dia,Noite,24h"</formula1>
    </dataValidation>
    <dataValidation type="list" allowBlank="1" showErrorMessage="1" sqref="L12:L41" xr:uid="{00000000-0002-0000-0900-000013000000}">
      <formula1>"1.0,2.0,3.0,4.0,5.0,6.0,7.0,8.0,9.0,10.0,11.0,12.0,13.0,14.0,15.0,16.0,17.0,18.0,19.0,20.0,21.0,22.0,23.0,24.0,25.0"</formula1>
    </dataValidation>
    <dataValidation type="list" allowBlank="1" showErrorMessage="1" sqref="Y12:Y41" xr:uid="{00000000-0002-0000-0900-000014000000}">
      <formula1>"Não tem,Quarto,Sala,Quarto/Sala"</formula1>
    </dataValidation>
    <dataValidation type="list" allowBlank="1" showErrorMessage="1" sqref="E12:E41" xr:uid="{00000000-0002-0000-0900-000015000000}">
      <formula1>"Não tem,100m,200m,300m,400m,500m,600m,700m,800m,900m,+900m"</formula1>
    </dataValidation>
    <dataValidation type="list" allowBlank="1" showErrorMessage="1" sqref="Z12:AB41 AJ12:AJ41 AL12:AL41" xr:uid="{00000000-0002-0000-0900-000016000000}">
      <formula1>"Não tem,Sim"</formula1>
    </dataValidation>
    <dataValidation type="list" allowBlank="1" showErrorMessage="1" sqref="AE12:AE41" xr:uid="{00000000-0002-0000-0900-000017000000}">
      <formula1>"Não tem,Industrial,Caseira"</formula1>
    </dataValidation>
  </dataValidations>
  <hyperlinks>
    <hyperlink ref="B1" r:id="rId1" xr:uid="{00000000-0004-0000-0900-000000000000}"/>
    <hyperlink ref="G13" r:id="rId2" xr:uid="{00000000-0004-0000-09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0639B"/>
    <outlinePr summaryBelow="0" summaryRight="0"/>
  </sheetPr>
  <dimension ref="A1:AV1000"/>
  <sheetViews>
    <sheetView showGridLines="0" workbookViewId="0">
      <pane ySplit="11" topLeftCell="A12" activePane="bottomLeft" state="frozen"/>
      <selection pane="bottomLeft" activeCell="B13" sqref="B13"/>
    </sheetView>
  </sheetViews>
  <sheetFormatPr defaultColWidth="12.7109375" defaultRowHeight="15" customHeight="1"/>
  <cols>
    <col min="2" max="48" width="9.7109375" customWidth="1"/>
  </cols>
  <sheetData>
    <row r="1" spans="1:48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30"/>
      <c r="M1" s="30"/>
      <c r="N1" s="30"/>
      <c r="O1" s="30"/>
      <c r="P1" s="30"/>
      <c r="Q1" s="30"/>
      <c r="R1" s="30"/>
      <c r="S1" s="30"/>
      <c r="T1" s="30"/>
      <c r="U1" s="3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</row>
    <row r="2" spans="1:48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44"/>
      <c r="N2" s="30"/>
      <c r="O2" s="30"/>
      <c r="P2" s="30"/>
      <c r="Q2" s="30"/>
      <c r="R2" s="30"/>
      <c r="S2" s="30"/>
      <c r="T2" s="30"/>
      <c r="U2" s="3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</row>
    <row r="3" spans="1:48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44"/>
      <c r="L3" s="44"/>
      <c r="M3" s="30"/>
      <c r="N3" s="30"/>
      <c r="O3" s="30"/>
      <c r="P3" s="30"/>
      <c r="Q3" s="30"/>
      <c r="R3" s="30"/>
      <c r="S3" s="30"/>
      <c r="T3" s="30"/>
      <c r="U3" s="3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</row>
    <row r="4" spans="1:48" ht="15.75" customHeight="1">
      <c r="A4" s="35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6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</row>
    <row r="5" spans="1:48" ht="15.75" customHeight="1">
      <c r="A5" s="35"/>
      <c r="B5" s="252" t="s">
        <v>61</v>
      </c>
      <c r="C5" s="261"/>
      <c r="D5" s="261"/>
      <c r="E5" s="261"/>
      <c r="F5" s="261"/>
      <c r="G5" s="261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6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</row>
    <row r="6" spans="1:48" ht="15.75" customHeight="1">
      <c r="A6" s="35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6"/>
      <c r="Q6" s="36"/>
      <c r="R6" s="36"/>
      <c r="S6" s="213"/>
      <c r="T6" s="213"/>
      <c r="U6" s="4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 spans="1:48" ht="15.75" customHeight="1">
      <c r="A7" s="35"/>
      <c r="B7" s="32"/>
      <c r="C7" s="6" t="s">
        <v>5</v>
      </c>
      <c r="D7" s="30"/>
      <c r="E7" s="6" t="s">
        <v>5</v>
      </c>
      <c r="F7" s="30"/>
      <c r="G7" s="6" t="s">
        <v>62</v>
      </c>
      <c r="H7" s="240" t="s">
        <v>5</v>
      </c>
      <c r="I7" s="30"/>
      <c r="J7" s="30"/>
      <c r="K7" s="6"/>
      <c r="L7" s="35"/>
      <c r="M7" s="35"/>
      <c r="N7" s="30"/>
      <c r="O7" s="35"/>
      <c r="P7" s="30"/>
      <c r="Q7" s="30"/>
      <c r="R7" s="30"/>
      <c r="S7" s="213"/>
      <c r="T7" s="213"/>
      <c r="U7" s="4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7"/>
      <c r="AR7" s="47"/>
      <c r="AS7" s="47"/>
      <c r="AT7" s="47"/>
      <c r="AU7" s="35"/>
      <c r="AV7" s="35"/>
    </row>
    <row r="8" spans="1:48" ht="15.75" customHeight="1">
      <c r="A8" s="35"/>
      <c r="B8" s="255" t="s">
        <v>156</v>
      </c>
      <c r="C8" s="262">
        <f>AVERAGE(AS:AS)</f>
        <v>2263</v>
      </c>
      <c r="D8" s="255" t="s">
        <v>157</v>
      </c>
      <c r="E8" s="262">
        <f>AVERAGE(AU:AU)</f>
        <v>87.038461538461533</v>
      </c>
      <c r="F8" s="263" t="s">
        <v>158</v>
      </c>
      <c r="G8" s="238"/>
      <c r="H8" s="79"/>
      <c r="I8" s="218"/>
      <c r="J8" s="236"/>
      <c r="K8" s="80"/>
      <c r="L8" s="35"/>
      <c r="M8" s="35"/>
      <c r="N8" s="35"/>
      <c r="O8" s="35"/>
      <c r="P8" s="30"/>
      <c r="Q8" s="30"/>
      <c r="R8" s="30"/>
      <c r="S8" s="49"/>
      <c r="T8" s="264" t="s">
        <v>68</v>
      </c>
      <c r="U8" s="238"/>
      <c r="V8" s="238"/>
      <c r="W8" s="238"/>
      <c r="X8" s="238"/>
      <c r="Y8" s="238"/>
      <c r="Z8" s="238"/>
      <c r="AA8" s="238"/>
      <c r="AB8" s="238"/>
      <c r="AC8" s="238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</row>
    <row r="9" spans="1:48" ht="15.75" customHeight="1">
      <c r="A9" s="35"/>
      <c r="B9" s="36"/>
      <c r="C9" s="36"/>
      <c r="D9" s="30"/>
      <c r="E9" s="30"/>
      <c r="F9" s="30"/>
      <c r="G9" s="30"/>
      <c r="H9" s="32"/>
      <c r="I9" s="11"/>
      <c r="J9" s="11"/>
      <c r="K9" s="11"/>
      <c r="L9" s="11"/>
      <c r="M9" s="11"/>
      <c r="N9" s="36"/>
      <c r="O9" s="30"/>
      <c r="P9" s="30"/>
      <c r="Q9" s="30"/>
      <c r="R9" s="30"/>
      <c r="S9" s="50"/>
      <c r="T9" s="51">
        <f>100*R12</f>
        <v>2600</v>
      </c>
      <c r="U9" s="52">
        <v>4500</v>
      </c>
      <c r="V9" s="52">
        <v>500</v>
      </c>
      <c r="W9" s="52">
        <v>1500</v>
      </c>
      <c r="X9" s="52">
        <v>500</v>
      </c>
      <c r="Y9" s="52">
        <v>2500</v>
      </c>
      <c r="Z9" s="52">
        <v>8000</v>
      </c>
      <c r="AA9" s="52">
        <v>1000</v>
      </c>
      <c r="AB9" s="52">
        <v>1000</v>
      </c>
      <c r="AC9" s="53">
        <v>1000</v>
      </c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</row>
    <row r="10" spans="1:48" ht="15.75" customHeight="1">
      <c r="A10" s="35"/>
      <c r="B10" s="265" t="s">
        <v>69</v>
      </c>
      <c r="C10" s="238"/>
      <c r="D10" s="238"/>
      <c r="E10" s="238"/>
      <c r="F10" s="269"/>
      <c r="G10" s="269"/>
      <c r="H10" s="266" t="s">
        <v>70</v>
      </c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67"/>
      <c r="T10" s="264" t="s">
        <v>71</v>
      </c>
      <c r="U10" s="238"/>
      <c r="V10" s="238"/>
      <c r="W10" s="238"/>
      <c r="X10" s="238"/>
      <c r="Y10" s="238"/>
      <c r="Z10" s="238"/>
      <c r="AA10" s="238"/>
      <c r="AB10" s="238"/>
      <c r="AC10" s="238"/>
      <c r="AD10" s="266" t="s">
        <v>72</v>
      </c>
      <c r="AE10" s="238"/>
      <c r="AF10" s="238"/>
      <c r="AG10" s="238"/>
      <c r="AH10" s="238"/>
      <c r="AI10" s="238"/>
      <c r="AJ10" s="238"/>
      <c r="AK10" s="238"/>
      <c r="AL10" s="238"/>
      <c r="AM10" s="264" t="s">
        <v>73</v>
      </c>
      <c r="AN10" s="238"/>
      <c r="AO10" s="238"/>
      <c r="AP10" s="238"/>
      <c r="AQ10" s="238"/>
      <c r="AR10" s="238"/>
      <c r="AS10" s="238"/>
      <c r="AT10" s="238"/>
      <c r="AU10" s="238"/>
      <c r="AV10" s="238"/>
    </row>
    <row r="11" spans="1:48" ht="15.75" customHeight="1">
      <c r="A11" s="35"/>
      <c r="B11" s="268" t="s">
        <v>74</v>
      </c>
      <c r="C11" s="256" t="s">
        <v>75</v>
      </c>
      <c r="D11" s="256" t="s">
        <v>76</v>
      </c>
      <c r="E11" s="268" t="s">
        <v>77</v>
      </c>
      <c r="F11" s="268" t="s">
        <v>78</v>
      </c>
      <c r="G11" s="268" t="s">
        <v>79</v>
      </c>
      <c r="H11" s="255" t="s">
        <v>80</v>
      </c>
      <c r="I11" s="255" t="s">
        <v>81</v>
      </c>
      <c r="J11" s="255" t="s">
        <v>82</v>
      </c>
      <c r="K11" s="255" t="s">
        <v>83</v>
      </c>
      <c r="L11" s="255" t="s">
        <v>84</v>
      </c>
      <c r="M11" s="255" t="s">
        <v>85</v>
      </c>
      <c r="N11" s="255" t="s">
        <v>86</v>
      </c>
      <c r="O11" s="255" t="s">
        <v>87</v>
      </c>
      <c r="P11" s="255" t="s">
        <v>88</v>
      </c>
      <c r="Q11" s="255" t="s">
        <v>159</v>
      </c>
      <c r="R11" s="255" t="s">
        <v>90</v>
      </c>
      <c r="S11" s="268" t="s">
        <v>91</v>
      </c>
      <c r="T11" s="268" t="s">
        <v>92</v>
      </c>
      <c r="U11" s="268" t="s">
        <v>93</v>
      </c>
      <c r="V11" s="268" t="s">
        <v>94</v>
      </c>
      <c r="W11" s="268" t="s">
        <v>95</v>
      </c>
      <c r="X11" s="268" t="s">
        <v>96</v>
      </c>
      <c r="Y11" s="268" t="s">
        <v>97</v>
      </c>
      <c r="Z11" s="268" t="s">
        <v>98</v>
      </c>
      <c r="AA11" s="268" t="s">
        <v>99</v>
      </c>
      <c r="AB11" s="268" t="s">
        <v>100</v>
      </c>
      <c r="AC11" s="268" t="s">
        <v>101</v>
      </c>
      <c r="AD11" s="255" t="s">
        <v>102</v>
      </c>
      <c r="AE11" s="255" t="s">
        <v>103</v>
      </c>
      <c r="AF11" s="255" t="s">
        <v>104</v>
      </c>
      <c r="AG11" s="255" t="s">
        <v>105</v>
      </c>
      <c r="AH11" s="255" t="s">
        <v>106</v>
      </c>
      <c r="AI11" s="255" t="s">
        <v>107</v>
      </c>
      <c r="AJ11" s="255" t="s">
        <v>108</v>
      </c>
      <c r="AK11" s="255" t="s">
        <v>109</v>
      </c>
      <c r="AL11" s="255" t="s">
        <v>110</v>
      </c>
      <c r="AM11" s="268" t="s">
        <v>78</v>
      </c>
      <c r="AN11" s="268" t="s">
        <v>111</v>
      </c>
      <c r="AO11" s="268" t="s">
        <v>112</v>
      </c>
      <c r="AP11" s="268" t="s">
        <v>160</v>
      </c>
      <c r="AQ11" s="268" t="s">
        <v>161</v>
      </c>
      <c r="AR11" s="268" t="s">
        <v>162</v>
      </c>
      <c r="AS11" s="268" t="s">
        <v>163</v>
      </c>
      <c r="AT11" s="268" t="s">
        <v>164</v>
      </c>
      <c r="AU11" s="268" t="s">
        <v>157</v>
      </c>
      <c r="AV11" s="268" t="s">
        <v>165</v>
      </c>
    </row>
    <row r="12" spans="1:48" ht="15.75" customHeight="1">
      <c r="A12" s="54">
        <v>1</v>
      </c>
      <c r="B12" s="55" t="s">
        <v>120</v>
      </c>
      <c r="C12" s="56">
        <v>61</v>
      </c>
      <c r="D12" s="56" t="s">
        <v>121</v>
      </c>
      <c r="E12" s="56" t="s">
        <v>122</v>
      </c>
      <c r="F12" s="56" t="s">
        <v>123</v>
      </c>
      <c r="G12" s="56"/>
      <c r="H12" s="56">
        <v>0</v>
      </c>
      <c r="I12" s="56">
        <v>1</v>
      </c>
      <c r="J12" s="56">
        <v>0</v>
      </c>
      <c r="K12" s="57">
        <v>0</v>
      </c>
      <c r="L12" s="58" t="s">
        <v>124</v>
      </c>
      <c r="M12" s="59" t="s">
        <v>125</v>
      </c>
      <c r="N12" s="56" t="s">
        <v>126</v>
      </c>
      <c r="O12" s="56" t="s">
        <v>127</v>
      </c>
      <c r="P12" s="56" t="s">
        <v>152</v>
      </c>
      <c r="Q12" s="56">
        <v>2018</v>
      </c>
      <c r="R12" s="56">
        <v>26</v>
      </c>
      <c r="S12" s="56" t="s">
        <v>129</v>
      </c>
      <c r="T12" s="56" t="s">
        <v>130</v>
      </c>
      <c r="U12" s="56" t="s">
        <v>131</v>
      </c>
      <c r="V12" s="60" t="s">
        <v>132</v>
      </c>
      <c r="W12" s="60" t="s">
        <v>133</v>
      </c>
      <c r="X12" s="60" t="s">
        <v>134</v>
      </c>
      <c r="Y12" s="60" t="s">
        <v>135</v>
      </c>
      <c r="Z12" s="60" t="s">
        <v>136</v>
      </c>
      <c r="AA12" s="60" t="s">
        <v>136</v>
      </c>
      <c r="AB12" s="60" t="s">
        <v>136</v>
      </c>
      <c r="AC12" s="60" t="s">
        <v>137</v>
      </c>
      <c r="AD12" s="60" t="s">
        <v>138</v>
      </c>
      <c r="AE12" s="60" t="s">
        <v>139</v>
      </c>
      <c r="AF12" s="60" t="s">
        <v>140</v>
      </c>
      <c r="AG12" s="60" t="s">
        <v>141</v>
      </c>
      <c r="AH12" s="60" t="s">
        <v>142</v>
      </c>
      <c r="AI12" s="60" t="s">
        <v>143</v>
      </c>
      <c r="AJ12" s="60" t="s">
        <v>136</v>
      </c>
      <c r="AK12" s="60" t="s">
        <v>144</v>
      </c>
      <c r="AL12" s="60" t="s">
        <v>136</v>
      </c>
      <c r="AM12" s="61">
        <v>308</v>
      </c>
      <c r="AN12" s="62">
        <f t="shared" ref="AN12:AN41" si="0">IF(R12&lt;&gt;0,AM12/R12,"")</f>
        <v>11.846153846153847</v>
      </c>
      <c r="AO12" s="61">
        <v>55</v>
      </c>
      <c r="AP12" s="62">
        <f t="shared" ref="AP12:AP41" si="1">IF(R12&lt;&gt;0,1.3%*AQ12,"")</f>
        <v>24.700000000000003</v>
      </c>
      <c r="AQ12" s="61">
        <v>1900</v>
      </c>
      <c r="AR12" s="62">
        <f t="shared" ref="AR12:AR41" si="2">IF(R12&lt;&gt;0,AQ12/R12,"")</f>
        <v>73.07692307692308</v>
      </c>
      <c r="AS12" s="62">
        <f t="shared" ref="AS12:AS41" si="3">IF(R12&lt;&gt;0,AM12+AO12+AQ12,"")</f>
        <v>2263</v>
      </c>
      <c r="AT12" s="63">
        <f t="shared" ref="AT12:AT41" si="4">IF(R12&lt;&gt;0,(AS12/AVERAGE(AS:AS))-100%,"")</f>
        <v>0</v>
      </c>
      <c r="AU12" s="62">
        <f t="shared" ref="AU12:AU41" si="5">IF(R12&lt;&gt;0,AS12/R12,"")</f>
        <v>87.038461538461533</v>
      </c>
      <c r="AV12" s="63">
        <f t="shared" ref="AV12:AV41" si="6">IF(R12&lt;&gt;0,(AU12/AVERAGE(AU:AU))-100%,"")</f>
        <v>0</v>
      </c>
    </row>
    <row r="13" spans="1:48" ht="15.75" customHeight="1">
      <c r="A13" s="54">
        <v>2</v>
      </c>
      <c r="B13" s="64"/>
      <c r="C13" s="65"/>
      <c r="D13" s="65"/>
      <c r="E13" s="65"/>
      <c r="F13" s="65"/>
      <c r="G13" s="65"/>
      <c r="H13" s="65"/>
      <c r="I13" s="65"/>
      <c r="J13" s="65"/>
      <c r="K13" s="67"/>
      <c r="L13" s="68"/>
      <c r="M13" s="69"/>
      <c r="N13" s="65"/>
      <c r="O13" s="56"/>
      <c r="P13" s="56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71"/>
      <c r="AN13" s="62" t="str">
        <f t="shared" si="0"/>
        <v/>
      </c>
      <c r="AO13" s="71"/>
      <c r="AP13" s="62" t="str">
        <f t="shared" si="1"/>
        <v/>
      </c>
      <c r="AQ13" s="71"/>
      <c r="AR13" s="62" t="str">
        <f t="shared" si="2"/>
        <v/>
      </c>
      <c r="AS13" s="62" t="str">
        <f t="shared" si="3"/>
        <v/>
      </c>
      <c r="AT13" s="63" t="str">
        <f t="shared" si="4"/>
        <v/>
      </c>
      <c r="AU13" s="62" t="str">
        <f t="shared" si="5"/>
        <v/>
      </c>
      <c r="AV13" s="63" t="str">
        <f t="shared" si="6"/>
        <v/>
      </c>
    </row>
    <row r="14" spans="1:48" ht="15.75" customHeight="1">
      <c r="A14" s="54">
        <v>3</v>
      </c>
      <c r="B14" s="64"/>
      <c r="C14" s="65"/>
      <c r="D14" s="65"/>
      <c r="E14" s="65"/>
      <c r="F14" s="65"/>
      <c r="G14" s="65"/>
      <c r="H14" s="65"/>
      <c r="I14" s="65"/>
      <c r="J14" s="65"/>
      <c r="K14" s="67"/>
      <c r="L14" s="68"/>
      <c r="M14" s="69"/>
      <c r="N14" s="65"/>
      <c r="O14" s="56"/>
      <c r="P14" s="56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71"/>
      <c r="AN14" s="62" t="str">
        <f t="shared" si="0"/>
        <v/>
      </c>
      <c r="AO14" s="71"/>
      <c r="AP14" s="62" t="str">
        <f t="shared" si="1"/>
        <v/>
      </c>
      <c r="AQ14" s="71"/>
      <c r="AR14" s="62" t="str">
        <f t="shared" si="2"/>
        <v/>
      </c>
      <c r="AS14" s="62" t="str">
        <f t="shared" si="3"/>
        <v/>
      </c>
      <c r="AT14" s="63" t="str">
        <f t="shared" si="4"/>
        <v/>
      </c>
      <c r="AU14" s="62" t="str">
        <f t="shared" si="5"/>
        <v/>
      </c>
      <c r="AV14" s="63" t="str">
        <f t="shared" si="6"/>
        <v/>
      </c>
    </row>
    <row r="15" spans="1:48" ht="15.75" customHeight="1">
      <c r="A15" s="54">
        <v>4</v>
      </c>
      <c r="B15" s="81"/>
      <c r="C15" s="82"/>
      <c r="D15" s="82"/>
      <c r="E15" s="82"/>
      <c r="F15" s="82"/>
      <c r="G15" s="82"/>
      <c r="H15" s="82"/>
      <c r="I15" s="82"/>
      <c r="J15" s="82"/>
      <c r="K15" s="83"/>
      <c r="L15" s="84"/>
      <c r="M15" s="85"/>
      <c r="N15" s="82"/>
      <c r="O15" s="56"/>
      <c r="P15" s="56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6"/>
      <c r="AN15" s="87" t="str">
        <f t="shared" si="0"/>
        <v/>
      </c>
      <c r="AO15" s="86"/>
      <c r="AP15" s="87" t="str">
        <f t="shared" si="1"/>
        <v/>
      </c>
      <c r="AQ15" s="86"/>
      <c r="AR15" s="87" t="str">
        <f t="shared" si="2"/>
        <v/>
      </c>
      <c r="AS15" s="62" t="str">
        <f t="shared" si="3"/>
        <v/>
      </c>
      <c r="AT15" s="88" t="str">
        <f t="shared" si="4"/>
        <v/>
      </c>
      <c r="AU15" s="87" t="str">
        <f t="shared" si="5"/>
        <v/>
      </c>
      <c r="AV15" s="88" t="str">
        <f t="shared" si="6"/>
        <v/>
      </c>
    </row>
    <row r="16" spans="1:48" ht="15.75" customHeight="1">
      <c r="A16" s="54">
        <v>5</v>
      </c>
      <c r="B16" s="81"/>
      <c r="C16" s="82"/>
      <c r="D16" s="82"/>
      <c r="E16" s="82"/>
      <c r="F16" s="82"/>
      <c r="G16" s="82"/>
      <c r="H16" s="82"/>
      <c r="I16" s="82"/>
      <c r="J16" s="82"/>
      <c r="K16" s="83"/>
      <c r="L16" s="84"/>
      <c r="M16" s="85"/>
      <c r="N16" s="82"/>
      <c r="O16" s="56"/>
      <c r="P16" s="56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6"/>
      <c r="AN16" s="87" t="str">
        <f t="shared" si="0"/>
        <v/>
      </c>
      <c r="AO16" s="86"/>
      <c r="AP16" s="87" t="str">
        <f t="shared" si="1"/>
        <v/>
      </c>
      <c r="AQ16" s="86"/>
      <c r="AR16" s="87" t="str">
        <f t="shared" si="2"/>
        <v/>
      </c>
      <c r="AS16" s="62" t="str">
        <f t="shared" si="3"/>
        <v/>
      </c>
      <c r="AT16" s="88" t="str">
        <f t="shared" si="4"/>
        <v/>
      </c>
      <c r="AU16" s="87" t="str">
        <f t="shared" si="5"/>
        <v/>
      </c>
      <c r="AV16" s="88" t="str">
        <f t="shared" si="6"/>
        <v/>
      </c>
    </row>
    <row r="17" spans="1:48" ht="15.75" customHeight="1">
      <c r="A17" s="54">
        <v>6</v>
      </c>
      <c r="B17" s="81"/>
      <c r="C17" s="82"/>
      <c r="D17" s="82"/>
      <c r="E17" s="82"/>
      <c r="F17" s="82"/>
      <c r="G17" s="82"/>
      <c r="H17" s="82"/>
      <c r="I17" s="82"/>
      <c r="J17" s="82"/>
      <c r="K17" s="83"/>
      <c r="L17" s="84"/>
      <c r="M17" s="85"/>
      <c r="N17" s="82"/>
      <c r="O17" s="56"/>
      <c r="P17" s="56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6"/>
      <c r="AN17" s="87" t="str">
        <f t="shared" si="0"/>
        <v/>
      </c>
      <c r="AO17" s="86"/>
      <c r="AP17" s="87" t="str">
        <f t="shared" si="1"/>
        <v/>
      </c>
      <c r="AQ17" s="86"/>
      <c r="AR17" s="87" t="str">
        <f t="shared" si="2"/>
        <v/>
      </c>
      <c r="AS17" s="62" t="str">
        <f t="shared" si="3"/>
        <v/>
      </c>
      <c r="AT17" s="88" t="str">
        <f t="shared" si="4"/>
        <v/>
      </c>
      <c r="AU17" s="87" t="str">
        <f t="shared" si="5"/>
        <v/>
      </c>
      <c r="AV17" s="88" t="str">
        <f t="shared" si="6"/>
        <v/>
      </c>
    </row>
    <row r="18" spans="1:48" ht="15.75" customHeight="1">
      <c r="A18" s="54">
        <v>7</v>
      </c>
      <c r="B18" s="81"/>
      <c r="C18" s="82"/>
      <c r="D18" s="82"/>
      <c r="E18" s="82"/>
      <c r="F18" s="82"/>
      <c r="G18" s="82"/>
      <c r="H18" s="82"/>
      <c r="I18" s="82"/>
      <c r="J18" s="82"/>
      <c r="K18" s="83"/>
      <c r="L18" s="84"/>
      <c r="M18" s="85"/>
      <c r="N18" s="82"/>
      <c r="O18" s="56"/>
      <c r="P18" s="56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6"/>
      <c r="AN18" s="87" t="str">
        <f t="shared" si="0"/>
        <v/>
      </c>
      <c r="AO18" s="86"/>
      <c r="AP18" s="87" t="str">
        <f t="shared" si="1"/>
        <v/>
      </c>
      <c r="AQ18" s="86"/>
      <c r="AR18" s="87" t="str">
        <f t="shared" si="2"/>
        <v/>
      </c>
      <c r="AS18" s="62" t="str">
        <f t="shared" si="3"/>
        <v/>
      </c>
      <c r="AT18" s="88" t="str">
        <f t="shared" si="4"/>
        <v/>
      </c>
      <c r="AU18" s="87" t="str">
        <f t="shared" si="5"/>
        <v/>
      </c>
      <c r="AV18" s="88" t="str">
        <f t="shared" si="6"/>
        <v/>
      </c>
    </row>
    <row r="19" spans="1:48" ht="15.75" customHeight="1">
      <c r="A19" s="54">
        <v>8</v>
      </c>
      <c r="B19" s="81"/>
      <c r="C19" s="82"/>
      <c r="D19" s="82"/>
      <c r="E19" s="82"/>
      <c r="F19" s="82"/>
      <c r="G19" s="82"/>
      <c r="H19" s="82"/>
      <c r="I19" s="82"/>
      <c r="J19" s="82"/>
      <c r="K19" s="83"/>
      <c r="L19" s="84"/>
      <c r="M19" s="85"/>
      <c r="N19" s="82"/>
      <c r="O19" s="56"/>
      <c r="P19" s="56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6"/>
      <c r="AN19" s="87" t="str">
        <f t="shared" si="0"/>
        <v/>
      </c>
      <c r="AO19" s="86"/>
      <c r="AP19" s="87" t="str">
        <f t="shared" si="1"/>
        <v/>
      </c>
      <c r="AQ19" s="86"/>
      <c r="AR19" s="87" t="str">
        <f t="shared" si="2"/>
        <v/>
      </c>
      <c r="AS19" s="62" t="str">
        <f t="shared" si="3"/>
        <v/>
      </c>
      <c r="AT19" s="88" t="str">
        <f t="shared" si="4"/>
        <v/>
      </c>
      <c r="AU19" s="87" t="str">
        <f t="shared" si="5"/>
        <v/>
      </c>
      <c r="AV19" s="88" t="str">
        <f t="shared" si="6"/>
        <v/>
      </c>
    </row>
    <row r="20" spans="1:48" ht="15.75" customHeight="1">
      <c r="A20" s="54">
        <v>9</v>
      </c>
      <c r="B20" s="81"/>
      <c r="C20" s="82"/>
      <c r="D20" s="82"/>
      <c r="E20" s="82"/>
      <c r="F20" s="82"/>
      <c r="G20" s="82"/>
      <c r="H20" s="82"/>
      <c r="I20" s="82"/>
      <c r="J20" s="82"/>
      <c r="K20" s="83"/>
      <c r="L20" s="84"/>
      <c r="M20" s="85"/>
      <c r="N20" s="82"/>
      <c r="O20" s="56"/>
      <c r="P20" s="56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6"/>
      <c r="AN20" s="87" t="str">
        <f t="shared" si="0"/>
        <v/>
      </c>
      <c r="AO20" s="86"/>
      <c r="AP20" s="87" t="str">
        <f t="shared" si="1"/>
        <v/>
      </c>
      <c r="AQ20" s="86"/>
      <c r="AR20" s="87" t="str">
        <f t="shared" si="2"/>
        <v/>
      </c>
      <c r="AS20" s="62" t="str">
        <f t="shared" si="3"/>
        <v/>
      </c>
      <c r="AT20" s="88" t="str">
        <f t="shared" si="4"/>
        <v/>
      </c>
      <c r="AU20" s="87" t="str">
        <f t="shared" si="5"/>
        <v/>
      </c>
      <c r="AV20" s="88" t="str">
        <f t="shared" si="6"/>
        <v/>
      </c>
    </row>
    <row r="21" spans="1:48" ht="15.75" customHeight="1">
      <c r="A21" s="54">
        <v>10</v>
      </c>
      <c r="B21" s="81"/>
      <c r="C21" s="82"/>
      <c r="D21" s="82"/>
      <c r="E21" s="82"/>
      <c r="F21" s="82"/>
      <c r="G21" s="82"/>
      <c r="H21" s="82"/>
      <c r="I21" s="82"/>
      <c r="J21" s="82"/>
      <c r="K21" s="83"/>
      <c r="L21" s="84"/>
      <c r="M21" s="85"/>
      <c r="N21" s="82"/>
      <c r="O21" s="56"/>
      <c r="P21" s="56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6"/>
      <c r="AN21" s="87" t="str">
        <f t="shared" si="0"/>
        <v/>
      </c>
      <c r="AO21" s="86"/>
      <c r="AP21" s="87" t="str">
        <f t="shared" si="1"/>
        <v/>
      </c>
      <c r="AQ21" s="86"/>
      <c r="AR21" s="87" t="str">
        <f t="shared" si="2"/>
        <v/>
      </c>
      <c r="AS21" s="62" t="str">
        <f t="shared" si="3"/>
        <v/>
      </c>
      <c r="AT21" s="88" t="str">
        <f t="shared" si="4"/>
        <v/>
      </c>
      <c r="AU21" s="87" t="str">
        <f t="shared" si="5"/>
        <v/>
      </c>
      <c r="AV21" s="88" t="str">
        <f t="shared" si="6"/>
        <v/>
      </c>
    </row>
    <row r="22" spans="1:48" ht="15.75" customHeight="1">
      <c r="A22" s="54">
        <v>11</v>
      </c>
      <c r="B22" s="81"/>
      <c r="C22" s="82"/>
      <c r="D22" s="82"/>
      <c r="E22" s="82"/>
      <c r="F22" s="82"/>
      <c r="G22" s="82"/>
      <c r="H22" s="82"/>
      <c r="I22" s="82"/>
      <c r="J22" s="82"/>
      <c r="K22" s="83"/>
      <c r="L22" s="84"/>
      <c r="M22" s="85"/>
      <c r="N22" s="82"/>
      <c r="O22" s="56"/>
      <c r="P22" s="56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6"/>
      <c r="AN22" s="87" t="str">
        <f t="shared" si="0"/>
        <v/>
      </c>
      <c r="AO22" s="86"/>
      <c r="AP22" s="87" t="str">
        <f t="shared" si="1"/>
        <v/>
      </c>
      <c r="AQ22" s="86"/>
      <c r="AR22" s="87" t="str">
        <f t="shared" si="2"/>
        <v/>
      </c>
      <c r="AS22" s="62" t="str">
        <f t="shared" si="3"/>
        <v/>
      </c>
      <c r="AT22" s="88" t="str">
        <f t="shared" si="4"/>
        <v/>
      </c>
      <c r="AU22" s="87" t="str">
        <f t="shared" si="5"/>
        <v/>
      </c>
      <c r="AV22" s="88" t="str">
        <f t="shared" si="6"/>
        <v/>
      </c>
    </row>
    <row r="23" spans="1:48" ht="15.75" customHeight="1">
      <c r="A23" s="54">
        <v>12</v>
      </c>
      <c r="B23" s="81"/>
      <c r="C23" s="82"/>
      <c r="D23" s="82"/>
      <c r="E23" s="82"/>
      <c r="F23" s="82"/>
      <c r="G23" s="82"/>
      <c r="H23" s="82"/>
      <c r="I23" s="82"/>
      <c r="J23" s="82"/>
      <c r="K23" s="83"/>
      <c r="L23" s="84"/>
      <c r="M23" s="85"/>
      <c r="N23" s="82"/>
      <c r="O23" s="56"/>
      <c r="P23" s="56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6"/>
      <c r="AN23" s="87" t="str">
        <f t="shared" si="0"/>
        <v/>
      </c>
      <c r="AO23" s="86"/>
      <c r="AP23" s="87" t="str">
        <f t="shared" si="1"/>
        <v/>
      </c>
      <c r="AQ23" s="86"/>
      <c r="AR23" s="87" t="str">
        <f t="shared" si="2"/>
        <v/>
      </c>
      <c r="AS23" s="62" t="str">
        <f t="shared" si="3"/>
        <v/>
      </c>
      <c r="AT23" s="88" t="str">
        <f t="shared" si="4"/>
        <v/>
      </c>
      <c r="AU23" s="87" t="str">
        <f t="shared" si="5"/>
        <v/>
      </c>
      <c r="AV23" s="88" t="str">
        <f t="shared" si="6"/>
        <v/>
      </c>
    </row>
    <row r="24" spans="1:48" ht="15.75" customHeight="1">
      <c r="A24" s="54">
        <v>13</v>
      </c>
      <c r="B24" s="81"/>
      <c r="C24" s="82"/>
      <c r="D24" s="82"/>
      <c r="E24" s="82"/>
      <c r="F24" s="82"/>
      <c r="G24" s="82"/>
      <c r="H24" s="82"/>
      <c r="I24" s="82"/>
      <c r="J24" s="82"/>
      <c r="K24" s="83"/>
      <c r="L24" s="84"/>
      <c r="M24" s="85"/>
      <c r="N24" s="82"/>
      <c r="O24" s="56"/>
      <c r="P24" s="56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6"/>
      <c r="AN24" s="87" t="str">
        <f t="shared" si="0"/>
        <v/>
      </c>
      <c r="AO24" s="86"/>
      <c r="AP24" s="87" t="str">
        <f t="shared" si="1"/>
        <v/>
      </c>
      <c r="AQ24" s="86"/>
      <c r="AR24" s="87" t="str">
        <f t="shared" si="2"/>
        <v/>
      </c>
      <c r="AS24" s="62" t="str">
        <f t="shared" si="3"/>
        <v/>
      </c>
      <c r="AT24" s="88" t="str">
        <f t="shared" si="4"/>
        <v/>
      </c>
      <c r="AU24" s="87" t="str">
        <f t="shared" si="5"/>
        <v/>
      </c>
      <c r="AV24" s="88" t="str">
        <f t="shared" si="6"/>
        <v/>
      </c>
    </row>
    <row r="25" spans="1:48" ht="15.75" customHeight="1">
      <c r="A25" s="54">
        <v>14</v>
      </c>
      <c r="B25" s="81"/>
      <c r="C25" s="82"/>
      <c r="D25" s="82"/>
      <c r="E25" s="82"/>
      <c r="F25" s="82"/>
      <c r="G25" s="82"/>
      <c r="H25" s="82"/>
      <c r="I25" s="82"/>
      <c r="J25" s="82"/>
      <c r="K25" s="83"/>
      <c r="L25" s="84"/>
      <c r="M25" s="85"/>
      <c r="N25" s="82"/>
      <c r="O25" s="56"/>
      <c r="P25" s="56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6"/>
      <c r="AN25" s="87" t="str">
        <f t="shared" si="0"/>
        <v/>
      </c>
      <c r="AO25" s="86"/>
      <c r="AP25" s="87" t="str">
        <f t="shared" si="1"/>
        <v/>
      </c>
      <c r="AQ25" s="86"/>
      <c r="AR25" s="87" t="str">
        <f t="shared" si="2"/>
        <v/>
      </c>
      <c r="AS25" s="62" t="str">
        <f t="shared" si="3"/>
        <v/>
      </c>
      <c r="AT25" s="88" t="str">
        <f t="shared" si="4"/>
        <v/>
      </c>
      <c r="AU25" s="87" t="str">
        <f t="shared" si="5"/>
        <v/>
      </c>
      <c r="AV25" s="88" t="str">
        <f t="shared" si="6"/>
        <v/>
      </c>
    </row>
    <row r="26" spans="1:48" ht="15.75" customHeight="1">
      <c r="A26" s="54">
        <v>15</v>
      </c>
      <c r="B26" s="81"/>
      <c r="C26" s="82"/>
      <c r="D26" s="82"/>
      <c r="E26" s="82"/>
      <c r="F26" s="82"/>
      <c r="G26" s="82"/>
      <c r="H26" s="82"/>
      <c r="I26" s="82"/>
      <c r="J26" s="82"/>
      <c r="K26" s="83"/>
      <c r="L26" s="84"/>
      <c r="M26" s="85"/>
      <c r="N26" s="82"/>
      <c r="O26" s="56"/>
      <c r="P26" s="56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6"/>
      <c r="AN26" s="87" t="str">
        <f t="shared" si="0"/>
        <v/>
      </c>
      <c r="AO26" s="86"/>
      <c r="AP26" s="87" t="str">
        <f t="shared" si="1"/>
        <v/>
      </c>
      <c r="AQ26" s="86"/>
      <c r="AR26" s="87" t="str">
        <f t="shared" si="2"/>
        <v/>
      </c>
      <c r="AS26" s="62" t="str">
        <f t="shared" si="3"/>
        <v/>
      </c>
      <c r="AT26" s="88" t="str">
        <f t="shared" si="4"/>
        <v/>
      </c>
      <c r="AU26" s="87" t="str">
        <f t="shared" si="5"/>
        <v/>
      </c>
      <c r="AV26" s="88" t="str">
        <f t="shared" si="6"/>
        <v/>
      </c>
    </row>
    <row r="27" spans="1:48" ht="15.75" customHeight="1">
      <c r="A27" s="54">
        <v>16</v>
      </c>
      <c r="B27" s="81"/>
      <c r="C27" s="82"/>
      <c r="D27" s="82"/>
      <c r="E27" s="82"/>
      <c r="F27" s="82"/>
      <c r="G27" s="82"/>
      <c r="H27" s="82"/>
      <c r="I27" s="82"/>
      <c r="J27" s="82"/>
      <c r="K27" s="83"/>
      <c r="L27" s="84"/>
      <c r="M27" s="85"/>
      <c r="N27" s="82"/>
      <c r="O27" s="56"/>
      <c r="P27" s="56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6"/>
      <c r="AN27" s="87" t="str">
        <f t="shared" si="0"/>
        <v/>
      </c>
      <c r="AO27" s="86"/>
      <c r="AP27" s="87" t="str">
        <f t="shared" si="1"/>
        <v/>
      </c>
      <c r="AQ27" s="86"/>
      <c r="AR27" s="87" t="str">
        <f t="shared" si="2"/>
        <v/>
      </c>
      <c r="AS27" s="62" t="str">
        <f t="shared" si="3"/>
        <v/>
      </c>
      <c r="AT27" s="88" t="str">
        <f t="shared" si="4"/>
        <v/>
      </c>
      <c r="AU27" s="87" t="str">
        <f t="shared" si="5"/>
        <v/>
      </c>
      <c r="AV27" s="88" t="str">
        <f t="shared" si="6"/>
        <v/>
      </c>
    </row>
    <row r="28" spans="1:48" ht="15.75" customHeight="1">
      <c r="A28" s="54">
        <v>17</v>
      </c>
      <c r="B28" s="81"/>
      <c r="C28" s="82"/>
      <c r="D28" s="82"/>
      <c r="E28" s="82"/>
      <c r="F28" s="82"/>
      <c r="G28" s="82"/>
      <c r="H28" s="82"/>
      <c r="I28" s="82"/>
      <c r="J28" s="82"/>
      <c r="K28" s="83"/>
      <c r="L28" s="84"/>
      <c r="M28" s="85"/>
      <c r="N28" s="82"/>
      <c r="O28" s="56"/>
      <c r="P28" s="56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6"/>
      <c r="AN28" s="87" t="str">
        <f t="shared" si="0"/>
        <v/>
      </c>
      <c r="AO28" s="86"/>
      <c r="AP28" s="87" t="str">
        <f t="shared" si="1"/>
        <v/>
      </c>
      <c r="AQ28" s="86"/>
      <c r="AR28" s="87" t="str">
        <f t="shared" si="2"/>
        <v/>
      </c>
      <c r="AS28" s="62" t="str">
        <f t="shared" si="3"/>
        <v/>
      </c>
      <c r="AT28" s="88" t="str">
        <f t="shared" si="4"/>
        <v/>
      </c>
      <c r="AU28" s="87" t="str">
        <f t="shared" si="5"/>
        <v/>
      </c>
      <c r="AV28" s="88" t="str">
        <f t="shared" si="6"/>
        <v/>
      </c>
    </row>
    <row r="29" spans="1:48" ht="15.75" customHeight="1">
      <c r="A29" s="54">
        <v>18</v>
      </c>
      <c r="B29" s="81"/>
      <c r="C29" s="82"/>
      <c r="D29" s="82"/>
      <c r="E29" s="82"/>
      <c r="F29" s="82"/>
      <c r="G29" s="82"/>
      <c r="H29" s="82"/>
      <c r="I29" s="82"/>
      <c r="J29" s="82"/>
      <c r="K29" s="83"/>
      <c r="L29" s="84"/>
      <c r="M29" s="85"/>
      <c r="N29" s="82"/>
      <c r="O29" s="56"/>
      <c r="P29" s="56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6"/>
      <c r="AN29" s="87" t="str">
        <f t="shared" si="0"/>
        <v/>
      </c>
      <c r="AO29" s="86"/>
      <c r="AP29" s="87" t="str">
        <f t="shared" si="1"/>
        <v/>
      </c>
      <c r="AQ29" s="86"/>
      <c r="AR29" s="87" t="str">
        <f t="shared" si="2"/>
        <v/>
      </c>
      <c r="AS29" s="62" t="str">
        <f t="shared" si="3"/>
        <v/>
      </c>
      <c r="AT29" s="88" t="str">
        <f t="shared" si="4"/>
        <v/>
      </c>
      <c r="AU29" s="87" t="str">
        <f t="shared" si="5"/>
        <v/>
      </c>
      <c r="AV29" s="88" t="str">
        <f t="shared" si="6"/>
        <v/>
      </c>
    </row>
    <row r="30" spans="1:48" ht="15.75" customHeight="1">
      <c r="A30" s="54">
        <v>19</v>
      </c>
      <c r="B30" s="81"/>
      <c r="C30" s="82"/>
      <c r="D30" s="82"/>
      <c r="E30" s="82"/>
      <c r="F30" s="82"/>
      <c r="G30" s="82"/>
      <c r="H30" s="82"/>
      <c r="I30" s="82"/>
      <c r="J30" s="82"/>
      <c r="K30" s="83"/>
      <c r="L30" s="84"/>
      <c r="M30" s="85"/>
      <c r="N30" s="82"/>
      <c r="O30" s="56"/>
      <c r="P30" s="56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6"/>
      <c r="AN30" s="87" t="str">
        <f t="shared" si="0"/>
        <v/>
      </c>
      <c r="AO30" s="86"/>
      <c r="AP30" s="87" t="str">
        <f t="shared" si="1"/>
        <v/>
      </c>
      <c r="AQ30" s="86"/>
      <c r="AR30" s="87" t="str">
        <f t="shared" si="2"/>
        <v/>
      </c>
      <c r="AS30" s="62" t="str">
        <f t="shared" si="3"/>
        <v/>
      </c>
      <c r="AT30" s="88" t="str">
        <f t="shared" si="4"/>
        <v/>
      </c>
      <c r="AU30" s="87" t="str">
        <f t="shared" si="5"/>
        <v/>
      </c>
      <c r="AV30" s="88" t="str">
        <f t="shared" si="6"/>
        <v/>
      </c>
    </row>
    <row r="31" spans="1:48" ht="15.75" customHeight="1">
      <c r="A31" s="54">
        <v>20</v>
      </c>
      <c r="B31" s="81"/>
      <c r="C31" s="82"/>
      <c r="D31" s="82"/>
      <c r="E31" s="82"/>
      <c r="F31" s="82"/>
      <c r="G31" s="82"/>
      <c r="H31" s="82"/>
      <c r="I31" s="82"/>
      <c r="J31" s="82"/>
      <c r="K31" s="83"/>
      <c r="L31" s="84"/>
      <c r="M31" s="85"/>
      <c r="N31" s="82"/>
      <c r="O31" s="56"/>
      <c r="P31" s="56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6"/>
      <c r="AN31" s="87" t="str">
        <f t="shared" si="0"/>
        <v/>
      </c>
      <c r="AO31" s="86"/>
      <c r="AP31" s="87" t="str">
        <f t="shared" si="1"/>
        <v/>
      </c>
      <c r="AQ31" s="86"/>
      <c r="AR31" s="87" t="str">
        <f t="shared" si="2"/>
        <v/>
      </c>
      <c r="AS31" s="62" t="str">
        <f t="shared" si="3"/>
        <v/>
      </c>
      <c r="AT31" s="88" t="str">
        <f t="shared" si="4"/>
        <v/>
      </c>
      <c r="AU31" s="87" t="str">
        <f t="shared" si="5"/>
        <v/>
      </c>
      <c r="AV31" s="88" t="str">
        <f t="shared" si="6"/>
        <v/>
      </c>
    </row>
    <row r="32" spans="1:48" ht="15.75" customHeight="1">
      <c r="A32" s="54">
        <v>21</v>
      </c>
      <c r="B32" s="81"/>
      <c r="C32" s="82"/>
      <c r="D32" s="82"/>
      <c r="E32" s="82"/>
      <c r="F32" s="82"/>
      <c r="G32" s="82"/>
      <c r="H32" s="82"/>
      <c r="I32" s="82"/>
      <c r="J32" s="82"/>
      <c r="K32" s="83"/>
      <c r="L32" s="84"/>
      <c r="M32" s="85"/>
      <c r="N32" s="82"/>
      <c r="O32" s="56"/>
      <c r="P32" s="56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6"/>
      <c r="AN32" s="87" t="str">
        <f t="shared" si="0"/>
        <v/>
      </c>
      <c r="AO32" s="86"/>
      <c r="AP32" s="87" t="str">
        <f t="shared" si="1"/>
        <v/>
      </c>
      <c r="AQ32" s="86"/>
      <c r="AR32" s="87" t="str">
        <f t="shared" si="2"/>
        <v/>
      </c>
      <c r="AS32" s="62" t="str">
        <f t="shared" si="3"/>
        <v/>
      </c>
      <c r="AT32" s="88" t="str">
        <f t="shared" si="4"/>
        <v/>
      </c>
      <c r="AU32" s="87" t="str">
        <f t="shared" si="5"/>
        <v/>
      </c>
      <c r="AV32" s="88" t="str">
        <f t="shared" si="6"/>
        <v/>
      </c>
    </row>
    <row r="33" spans="1:48" ht="15.75" customHeight="1">
      <c r="A33" s="54">
        <v>22</v>
      </c>
      <c r="B33" s="81"/>
      <c r="C33" s="82"/>
      <c r="D33" s="82"/>
      <c r="E33" s="82"/>
      <c r="F33" s="82"/>
      <c r="G33" s="82"/>
      <c r="H33" s="82"/>
      <c r="I33" s="82"/>
      <c r="J33" s="82"/>
      <c r="K33" s="83"/>
      <c r="L33" s="84"/>
      <c r="M33" s="85"/>
      <c r="N33" s="82"/>
      <c r="O33" s="56"/>
      <c r="P33" s="56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6"/>
      <c r="AN33" s="87" t="str">
        <f t="shared" si="0"/>
        <v/>
      </c>
      <c r="AO33" s="86"/>
      <c r="AP33" s="87" t="str">
        <f t="shared" si="1"/>
        <v/>
      </c>
      <c r="AQ33" s="86"/>
      <c r="AR33" s="87" t="str">
        <f t="shared" si="2"/>
        <v/>
      </c>
      <c r="AS33" s="62" t="str">
        <f t="shared" si="3"/>
        <v/>
      </c>
      <c r="AT33" s="88" t="str">
        <f t="shared" si="4"/>
        <v/>
      </c>
      <c r="AU33" s="87" t="str">
        <f t="shared" si="5"/>
        <v/>
      </c>
      <c r="AV33" s="88" t="str">
        <f t="shared" si="6"/>
        <v/>
      </c>
    </row>
    <row r="34" spans="1:48" ht="15.75" customHeight="1">
      <c r="A34" s="54">
        <v>23</v>
      </c>
      <c r="B34" s="81"/>
      <c r="C34" s="82"/>
      <c r="D34" s="82"/>
      <c r="E34" s="82"/>
      <c r="F34" s="82"/>
      <c r="G34" s="82"/>
      <c r="H34" s="82"/>
      <c r="I34" s="82"/>
      <c r="J34" s="82"/>
      <c r="K34" s="83"/>
      <c r="L34" s="84"/>
      <c r="M34" s="85"/>
      <c r="N34" s="82"/>
      <c r="O34" s="56"/>
      <c r="P34" s="56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6"/>
      <c r="AN34" s="87" t="str">
        <f t="shared" si="0"/>
        <v/>
      </c>
      <c r="AO34" s="86"/>
      <c r="AP34" s="87" t="str">
        <f t="shared" si="1"/>
        <v/>
      </c>
      <c r="AQ34" s="86"/>
      <c r="AR34" s="87" t="str">
        <f t="shared" si="2"/>
        <v/>
      </c>
      <c r="AS34" s="62" t="str">
        <f t="shared" si="3"/>
        <v/>
      </c>
      <c r="AT34" s="88" t="str">
        <f t="shared" si="4"/>
        <v/>
      </c>
      <c r="AU34" s="87" t="str">
        <f t="shared" si="5"/>
        <v/>
      </c>
      <c r="AV34" s="88" t="str">
        <f t="shared" si="6"/>
        <v/>
      </c>
    </row>
    <row r="35" spans="1:48" ht="15.75" customHeight="1">
      <c r="A35" s="54">
        <v>24</v>
      </c>
      <c r="B35" s="81"/>
      <c r="C35" s="82"/>
      <c r="D35" s="82"/>
      <c r="E35" s="82"/>
      <c r="F35" s="82"/>
      <c r="G35" s="82"/>
      <c r="H35" s="82"/>
      <c r="I35" s="82"/>
      <c r="J35" s="82"/>
      <c r="K35" s="83"/>
      <c r="L35" s="84"/>
      <c r="M35" s="85"/>
      <c r="N35" s="82"/>
      <c r="O35" s="56"/>
      <c r="P35" s="56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6"/>
      <c r="AN35" s="87" t="str">
        <f t="shared" si="0"/>
        <v/>
      </c>
      <c r="AO35" s="86"/>
      <c r="AP35" s="87" t="str">
        <f t="shared" si="1"/>
        <v/>
      </c>
      <c r="AQ35" s="86"/>
      <c r="AR35" s="87" t="str">
        <f t="shared" si="2"/>
        <v/>
      </c>
      <c r="AS35" s="62" t="str">
        <f t="shared" si="3"/>
        <v/>
      </c>
      <c r="AT35" s="88" t="str">
        <f t="shared" si="4"/>
        <v/>
      </c>
      <c r="AU35" s="87" t="str">
        <f t="shared" si="5"/>
        <v/>
      </c>
      <c r="AV35" s="88" t="str">
        <f t="shared" si="6"/>
        <v/>
      </c>
    </row>
    <row r="36" spans="1:48" ht="15.75" customHeight="1">
      <c r="A36" s="54">
        <v>25</v>
      </c>
      <c r="B36" s="81"/>
      <c r="C36" s="82"/>
      <c r="D36" s="82"/>
      <c r="E36" s="82"/>
      <c r="F36" s="82"/>
      <c r="G36" s="82"/>
      <c r="H36" s="82"/>
      <c r="I36" s="82"/>
      <c r="J36" s="82"/>
      <c r="K36" s="83"/>
      <c r="L36" s="84"/>
      <c r="M36" s="85"/>
      <c r="N36" s="82"/>
      <c r="O36" s="56"/>
      <c r="P36" s="56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6"/>
      <c r="AN36" s="87" t="str">
        <f t="shared" si="0"/>
        <v/>
      </c>
      <c r="AO36" s="86"/>
      <c r="AP36" s="87" t="str">
        <f t="shared" si="1"/>
        <v/>
      </c>
      <c r="AQ36" s="86"/>
      <c r="AR36" s="87" t="str">
        <f t="shared" si="2"/>
        <v/>
      </c>
      <c r="AS36" s="62" t="str">
        <f t="shared" si="3"/>
        <v/>
      </c>
      <c r="AT36" s="88" t="str">
        <f t="shared" si="4"/>
        <v/>
      </c>
      <c r="AU36" s="87" t="str">
        <f t="shared" si="5"/>
        <v/>
      </c>
      <c r="AV36" s="88" t="str">
        <f t="shared" si="6"/>
        <v/>
      </c>
    </row>
    <row r="37" spans="1:48" ht="15.75" customHeight="1">
      <c r="A37" s="54">
        <v>26</v>
      </c>
      <c r="B37" s="81"/>
      <c r="C37" s="82"/>
      <c r="D37" s="82"/>
      <c r="E37" s="82"/>
      <c r="F37" s="82"/>
      <c r="G37" s="82"/>
      <c r="H37" s="82"/>
      <c r="I37" s="82"/>
      <c r="J37" s="82"/>
      <c r="K37" s="83"/>
      <c r="L37" s="84"/>
      <c r="M37" s="85"/>
      <c r="N37" s="82"/>
      <c r="O37" s="56"/>
      <c r="P37" s="56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6"/>
      <c r="AN37" s="87" t="str">
        <f t="shared" si="0"/>
        <v/>
      </c>
      <c r="AO37" s="86"/>
      <c r="AP37" s="87" t="str">
        <f t="shared" si="1"/>
        <v/>
      </c>
      <c r="AQ37" s="86"/>
      <c r="AR37" s="87" t="str">
        <f t="shared" si="2"/>
        <v/>
      </c>
      <c r="AS37" s="62" t="str">
        <f t="shared" si="3"/>
        <v/>
      </c>
      <c r="AT37" s="88" t="str">
        <f t="shared" si="4"/>
        <v/>
      </c>
      <c r="AU37" s="87" t="str">
        <f t="shared" si="5"/>
        <v/>
      </c>
      <c r="AV37" s="88" t="str">
        <f t="shared" si="6"/>
        <v/>
      </c>
    </row>
    <row r="38" spans="1:48" ht="15.75" customHeight="1">
      <c r="A38" s="54">
        <v>27</v>
      </c>
      <c r="B38" s="81"/>
      <c r="C38" s="82"/>
      <c r="D38" s="82"/>
      <c r="E38" s="82"/>
      <c r="F38" s="82"/>
      <c r="G38" s="82"/>
      <c r="H38" s="82"/>
      <c r="I38" s="82"/>
      <c r="J38" s="82"/>
      <c r="K38" s="83"/>
      <c r="L38" s="84"/>
      <c r="M38" s="85"/>
      <c r="N38" s="82"/>
      <c r="O38" s="56"/>
      <c r="P38" s="56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6"/>
      <c r="AN38" s="87" t="str">
        <f t="shared" si="0"/>
        <v/>
      </c>
      <c r="AO38" s="86"/>
      <c r="AP38" s="87" t="str">
        <f t="shared" si="1"/>
        <v/>
      </c>
      <c r="AQ38" s="86"/>
      <c r="AR38" s="87" t="str">
        <f t="shared" si="2"/>
        <v/>
      </c>
      <c r="AS38" s="62" t="str">
        <f t="shared" si="3"/>
        <v/>
      </c>
      <c r="AT38" s="88" t="str">
        <f t="shared" si="4"/>
        <v/>
      </c>
      <c r="AU38" s="87" t="str">
        <f t="shared" si="5"/>
        <v/>
      </c>
      <c r="AV38" s="88" t="str">
        <f t="shared" si="6"/>
        <v/>
      </c>
    </row>
    <row r="39" spans="1:48" ht="15.75" customHeight="1">
      <c r="A39" s="54">
        <v>28</v>
      </c>
      <c r="B39" s="81"/>
      <c r="C39" s="82"/>
      <c r="D39" s="82"/>
      <c r="E39" s="82"/>
      <c r="F39" s="82"/>
      <c r="G39" s="82"/>
      <c r="H39" s="82"/>
      <c r="I39" s="82"/>
      <c r="J39" s="82"/>
      <c r="K39" s="83"/>
      <c r="L39" s="84"/>
      <c r="M39" s="85"/>
      <c r="N39" s="82"/>
      <c r="O39" s="56"/>
      <c r="P39" s="56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6"/>
      <c r="AN39" s="87" t="str">
        <f t="shared" si="0"/>
        <v/>
      </c>
      <c r="AO39" s="86"/>
      <c r="AP39" s="87" t="str">
        <f t="shared" si="1"/>
        <v/>
      </c>
      <c r="AQ39" s="86"/>
      <c r="AR39" s="87" t="str">
        <f t="shared" si="2"/>
        <v/>
      </c>
      <c r="AS39" s="62" t="str">
        <f t="shared" si="3"/>
        <v/>
      </c>
      <c r="AT39" s="88" t="str">
        <f t="shared" si="4"/>
        <v/>
      </c>
      <c r="AU39" s="87" t="str">
        <f t="shared" si="5"/>
        <v/>
      </c>
      <c r="AV39" s="88" t="str">
        <f t="shared" si="6"/>
        <v/>
      </c>
    </row>
    <row r="40" spans="1:48" ht="15.75" customHeight="1">
      <c r="A40" s="54">
        <v>29</v>
      </c>
      <c r="B40" s="81"/>
      <c r="C40" s="82"/>
      <c r="D40" s="82"/>
      <c r="E40" s="82"/>
      <c r="F40" s="82"/>
      <c r="G40" s="82"/>
      <c r="H40" s="82"/>
      <c r="I40" s="82"/>
      <c r="J40" s="82"/>
      <c r="K40" s="83"/>
      <c r="L40" s="84"/>
      <c r="M40" s="85"/>
      <c r="N40" s="82"/>
      <c r="O40" s="56"/>
      <c r="P40" s="56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6"/>
      <c r="AN40" s="87" t="str">
        <f t="shared" si="0"/>
        <v/>
      </c>
      <c r="AO40" s="86"/>
      <c r="AP40" s="87" t="str">
        <f t="shared" si="1"/>
        <v/>
      </c>
      <c r="AQ40" s="86"/>
      <c r="AR40" s="87" t="str">
        <f t="shared" si="2"/>
        <v/>
      </c>
      <c r="AS40" s="62" t="str">
        <f t="shared" si="3"/>
        <v/>
      </c>
      <c r="AT40" s="88" t="str">
        <f t="shared" si="4"/>
        <v/>
      </c>
      <c r="AU40" s="87" t="str">
        <f t="shared" si="5"/>
        <v/>
      </c>
      <c r="AV40" s="88" t="str">
        <f t="shared" si="6"/>
        <v/>
      </c>
    </row>
    <row r="41" spans="1:48" ht="15.75" customHeight="1">
      <c r="A41" s="54">
        <v>30</v>
      </c>
      <c r="B41" s="89"/>
      <c r="C41" s="90"/>
      <c r="D41" s="90"/>
      <c r="E41" s="90"/>
      <c r="F41" s="90"/>
      <c r="G41" s="90"/>
      <c r="H41" s="90"/>
      <c r="I41" s="90"/>
      <c r="J41" s="90"/>
      <c r="K41" s="91"/>
      <c r="L41" s="92"/>
      <c r="M41" s="93"/>
      <c r="N41" s="90"/>
      <c r="O41" s="56"/>
      <c r="P41" s="56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4"/>
      <c r="AN41" s="87" t="str">
        <f t="shared" si="0"/>
        <v/>
      </c>
      <c r="AO41" s="94"/>
      <c r="AP41" s="87" t="str">
        <f t="shared" si="1"/>
        <v/>
      </c>
      <c r="AQ41" s="94"/>
      <c r="AR41" s="87" t="str">
        <f t="shared" si="2"/>
        <v/>
      </c>
      <c r="AS41" s="62" t="str">
        <f t="shared" si="3"/>
        <v/>
      </c>
      <c r="AT41" s="88" t="str">
        <f t="shared" si="4"/>
        <v/>
      </c>
      <c r="AU41" s="87" t="str">
        <f t="shared" si="5"/>
        <v/>
      </c>
      <c r="AV41" s="88" t="str">
        <f t="shared" si="6"/>
        <v/>
      </c>
    </row>
    <row r="42" spans="1:48" ht="15.75" customHeight="1">
      <c r="A42" s="40"/>
      <c r="B42" s="13"/>
      <c r="C42" s="11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41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ht="15.75" customHeight="1">
      <c r="A43" s="40"/>
      <c r="B43" s="13"/>
      <c r="C43" s="11"/>
      <c r="D43" s="13"/>
      <c r="E43" s="13"/>
      <c r="F43" s="13"/>
      <c r="G43" s="13"/>
      <c r="H43" s="13"/>
      <c r="I43" s="11"/>
      <c r="J43" s="11"/>
      <c r="K43" s="11"/>
      <c r="L43" s="11"/>
      <c r="M43" s="13"/>
      <c r="N43" s="13"/>
      <c r="O43" s="13"/>
      <c r="P43" s="13"/>
      <c r="Q43" s="13"/>
      <c r="R43" s="13"/>
      <c r="S43" s="13"/>
      <c r="T43" s="13"/>
      <c r="U43" s="41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ht="15.75" customHeight="1">
      <c r="A44" s="40"/>
      <c r="B44" s="13"/>
      <c r="C44" s="11"/>
      <c r="D44" s="13"/>
      <c r="E44" s="13"/>
      <c r="F44" s="13"/>
      <c r="G44" s="13"/>
      <c r="H44" s="13"/>
      <c r="I44" s="11"/>
      <c r="J44" s="11"/>
      <c r="K44" s="11"/>
      <c r="L44" s="11"/>
      <c r="M44" s="13"/>
      <c r="N44" s="13"/>
      <c r="O44" s="13"/>
      <c r="P44" s="13"/>
      <c r="Q44" s="13"/>
      <c r="R44" s="13"/>
      <c r="S44" s="13"/>
      <c r="T44" s="13"/>
      <c r="U44" s="41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15.75" customHeight="1">
      <c r="A45" s="40"/>
      <c r="B45" s="13"/>
      <c r="C45" s="11"/>
      <c r="D45" s="13"/>
      <c r="E45" s="13"/>
      <c r="F45" s="13"/>
      <c r="G45" s="13"/>
      <c r="H45" s="13"/>
      <c r="I45" s="11"/>
      <c r="J45" s="11"/>
      <c r="K45" s="11"/>
      <c r="L45" s="11"/>
      <c r="M45" s="13"/>
      <c r="N45" s="13"/>
      <c r="O45" s="13"/>
      <c r="P45" s="13"/>
      <c r="Q45" s="13"/>
      <c r="R45" s="13"/>
      <c r="S45" s="13"/>
      <c r="T45" s="13"/>
      <c r="U45" s="41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ht="15.75" customHeight="1">
      <c r="A46" s="40"/>
      <c r="B46" s="13"/>
      <c r="C46" s="11"/>
      <c r="D46" s="13"/>
      <c r="E46" s="13"/>
      <c r="F46" s="13"/>
      <c r="G46" s="13"/>
      <c r="H46" s="13"/>
      <c r="I46" s="11"/>
      <c r="J46" s="11"/>
      <c r="K46" s="11"/>
      <c r="L46" s="11"/>
      <c r="M46" s="13"/>
      <c r="N46" s="13"/>
      <c r="O46" s="13"/>
      <c r="P46" s="13"/>
      <c r="Q46" s="13"/>
      <c r="R46" s="13"/>
      <c r="S46" s="13"/>
      <c r="T46" s="13"/>
      <c r="U46" s="41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ht="15.75" customHeight="1">
      <c r="A47" s="40"/>
      <c r="B47" s="13"/>
      <c r="C47" s="11"/>
      <c r="D47" s="13"/>
      <c r="E47" s="13"/>
      <c r="F47" s="13"/>
      <c r="G47" s="13"/>
      <c r="H47" s="13"/>
      <c r="I47" s="11"/>
      <c r="J47" s="11"/>
      <c r="K47" s="11"/>
      <c r="L47" s="11"/>
      <c r="M47" s="13"/>
      <c r="N47" s="13"/>
      <c r="O47" s="13"/>
      <c r="P47" s="13"/>
      <c r="Q47" s="13"/>
      <c r="R47" s="13"/>
      <c r="S47" s="13"/>
      <c r="T47" s="13"/>
      <c r="U47" s="41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  <row r="48" spans="1:48" ht="15.75" customHeight="1">
      <c r="A48" s="40"/>
      <c r="B48" s="13"/>
      <c r="C48" s="11"/>
      <c r="D48" s="13"/>
      <c r="E48" s="13"/>
      <c r="F48" s="13"/>
      <c r="G48" s="13"/>
      <c r="H48" s="13"/>
      <c r="I48" s="11"/>
      <c r="J48" s="11"/>
      <c r="K48" s="11"/>
      <c r="L48" s="11"/>
      <c r="M48" s="13"/>
      <c r="N48" s="13"/>
      <c r="O48" s="13"/>
      <c r="P48" s="13"/>
      <c r="Q48" s="13"/>
      <c r="R48" s="13"/>
      <c r="S48" s="13"/>
      <c r="T48" s="13"/>
      <c r="U48" s="41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</row>
    <row r="49" spans="1:48" ht="15.75" customHeight="1">
      <c r="A49" s="40"/>
      <c r="B49" s="13"/>
      <c r="C49" s="11"/>
      <c r="D49" s="13"/>
      <c r="E49" s="13"/>
      <c r="F49" s="13"/>
      <c r="G49" s="13"/>
      <c r="H49" s="13"/>
      <c r="I49" s="11"/>
      <c r="J49" s="11"/>
      <c r="K49" s="11"/>
      <c r="L49" s="11"/>
      <c r="M49" s="13"/>
      <c r="N49" s="13"/>
      <c r="O49" s="13"/>
      <c r="P49" s="13"/>
      <c r="Q49" s="13"/>
      <c r="R49" s="13"/>
      <c r="S49" s="13"/>
      <c r="T49" s="13"/>
      <c r="U49" s="41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</row>
    <row r="50" spans="1:48" ht="15.75" customHeight="1">
      <c r="A50" s="40"/>
      <c r="B50" s="13"/>
      <c r="C50" s="11"/>
      <c r="D50" s="13"/>
      <c r="E50" s="13"/>
      <c r="F50" s="13"/>
      <c r="G50" s="13"/>
      <c r="H50" s="13"/>
      <c r="I50" s="11"/>
      <c r="J50" s="11"/>
      <c r="K50" s="11"/>
      <c r="L50" s="11"/>
      <c r="M50" s="13"/>
      <c r="N50" s="13"/>
      <c r="O50" s="13"/>
      <c r="P50" s="13"/>
      <c r="Q50" s="13"/>
      <c r="R50" s="13"/>
      <c r="S50" s="13"/>
      <c r="T50" s="13"/>
      <c r="U50" s="41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</row>
    <row r="51" spans="1:48" ht="15.75" customHeight="1">
      <c r="A51" s="40"/>
      <c r="B51" s="13"/>
      <c r="C51" s="11"/>
      <c r="D51" s="13"/>
      <c r="E51" s="13"/>
      <c r="F51" s="13"/>
      <c r="G51" s="13"/>
      <c r="H51" s="13"/>
      <c r="I51" s="11"/>
      <c r="J51" s="11"/>
      <c r="K51" s="11"/>
      <c r="L51" s="11"/>
      <c r="M51" s="13"/>
      <c r="N51" s="13"/>
      <c r="O51" s="13"/>
      <c r="P51" s="13"/>
      <c r="Q51" s="13"/>
      <c r="R51" s="13"/>
      <c r="S51" s="13"/>
      <c r="T51" s="13"/>
      <c r="U51" s="41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</row>
    <row r="52" spans="1:48" ht="15.75" customHeight="1">
      <c r="A52" s="40"/>
      <c r="B52" s="13"/>
      <c r="C52" s="11"/>
      <c r="D52" s="13"/>
      <c r="E52" s="13"/>
      <c r="F52" s="13"/>
      <c r="G52" s="13"/>
      <c r="H52" s="13"/>
      <c r="I52" s="11"/>
      <c r="J52" s="11"/>
      <c r="K52" s="11"/>
      <c r="L52" s="11"/>
      <c r="M52" s="13"/>
      <c r="N52" s="13"/>
      <c r="O52" s="13"/>
      <c r="P52" s="13"/>
      <c r="Q52" s="13"/>
      <c r="R52" s="13"/>
      <c r="S52" s="13"/>
      <c r="T52" s="13"/>
      <c r="U52" s="41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</row>
    <row r="53" spans="1:48" ht="15.75" customHeight="1">
      <c r="A53" s="40"/>
      <c r="B53" s="13"/>
      <c r="C53" s="11"/>
      <c r="D53" s="13"/>
      <c r="E53" s="13"/>
      <c r="F53" s="13"/>
      <c r="G53" s="13"/>
      <c r="H53" s="13"/>
      <c r="I53" s="11"/>
      <c r="J53" s="11"/>
      <c r="K53" s="11"/>
      <c r="L53" s="11"/>
      <c r="M53" s="13"/>
      <c r="N53" s="13"/>
      <c r="O53" s="13"/>
      <c r="P53" s="13"/>
      <c r="Q53" s="13"/>
      <c r="R53" s="13"/>
      <c r="S53" s="13"/>
      <c r="T53" s="13"/>
      <c r="U53" s="41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</row>
    <row r="54" spans="1:48" ht="15.75" customHeight="1">
      <c r="A54" s="40"/>
      <c r="B54" s="13"/>
      <c r="C54" s="11"/>
      <c r="D54" s="13"/>
      <c r="E54" s="13"/>
      <c r="F54" s="13"/>
      <c r="G54" s="13"/>
      <c r="H54" s="13"/>
      <c r="I54" s="11"/>
      <c r="J54" s="11"/>
      <c r="K54" s="11"/>
      <c r="L54" s="11"/>
      <c r="M54" s="13"/>
      <c r="N54" s="13"/>
      <c r="O54" s="13"/>
      <c r="P54" s="13"/>
      <c r="Q54" s="13"/>
      <c r="R54" s="13"/>
      <c r="S54" s="13"/>
      <c r="T54" s="13"/>
      <c r="U54" s="41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</row>
    <row r="55" spans="1:48" ht="15.75" customHeight="1">
      <c r="A55" s="40"/>
      <c r="B55" s="13"/>
      <c r="C55" s="11"/>
      <c r="D55" s="13"/>
      <c r="E55" s="13"/>
      <c r="F55" s="13"/>
      <c r="G55" s="13"/>
      <c r="H55" s="13"/>
      <c r="I55" s="11"/>
      <c r="J55" s="11"/>
      <c r="K55" s="11"/>
      <c r="L55" s="11"/>
      <c r="M55" s="13"/>
      <c r="N55" s="13"/>
      <c r="O55" s="13"/>
      <c r="P55" s="13"/>
      <c r="Q55" s="13"/>
      <c r="R55" s="13"/>
      <c r="S55" s="13"/>
      <c r="T55" s="13"/>
      <c r="U55" s="41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</row>
    <row r="56" spans="1:48" ht="15.75" customHeight="1">
      <c r="A56" s="40"/>
      <c r="B56" s="13"/>
      <c r="C56" s="11"/>
      <c r="D56" s="13"/>
      <c r="E56" s="13"/>
      <c r="F56" s="13"/>
      <c r="G56" s="13"/>
      <c r="H56" s="13"/>
      <c r="I56" s="11"/>
      <c r="J56" s="11"/>
      <c r="K56" s="11"/>
      <c r="L56" s="11"/>
      <c r="M56" s="13"/>
      <c r="N56" s="13"/>
      <c r="O56" s="13"/>
      <c r="P56" s="13"/>
      <c r="Q56" s="13"/>
      <c r="R56" s="13"/>
      <c r="S56" s="13"/>
      <c r="T56" s="13"/>
      <c r="U56" s="41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</row>
    <row r="57" spans="1:48" ht="15.75" customHeight="1">
      <c r="A57" s="40"/>
      <c r="B57" s="13"/>
      <c r="C57" s="11"/>
      <c r="D57" s="13"/>
      <c r="E57" s="13"/>
      <c r="F57" s="13"/>
      <c r="G57" s="13"/>
      <c r="H57" s="13"/>
      <c r="I57" s="11"/>
      <c r="J57" s="11"/>
      <c r="K57" s="11"/>
      <c r="L57" s="11"/>
      <c r="M57" s="13"/>
      <c r="N57" s="13"/>
      <c r="O57" s="13"/>
      <c r="P57" s="13"/>
      <c r="Q57" s="13"/>
      <c r="R57" s="13"/>
      <c r="S57" s="13"/>
      <c r="T57" s="13"/>
      <c r="U57" s="41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</row>
    <row r="58" spans="1:48" ht="15.75" customHeight="1">
      <c r="A58" s="40"/>
      <c r="B58" s="13"/>
      <c r="C58" s="11"/>
      <c r="D58" s="13"/>
      <c r="E58" s="13"/>
      <c r="F58" s="13"/>
      <c r="G58" s="13"/>
      <c r="H58" s="13"/>
      <c r="I58" s="11"/>
      <c r="J58" s="11"/>
      <c r="K58" s="11"/>
      <c r="L58" s="11"/>
      <c r="M58" s="13"/>
      <c r="N58" s="13"/>
      <c r="O58" s="13"/>
      <c r="P58" s="13"/>
      <c r="Q58" s="13"/>
      <c r="R58" s="13"/>
      <c r="S58" s="13"/>
      <c r="T58" s="13"/>
      <c r="U58" s="41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</row>
    <row r="59" spans="1:48" ht="15.75" customHeight="1">
      <c r="A59" s="40"/>
      <c r="B59" s="13"/>
      <c r="C59" s="11"/>
      <c r="D59" s="13"/>
      <c r="E59" s="13"/>
      <c r="F59" s="13"/>
      <c r="G59" s="13"/>
      <c r="H59" s="13"/>
      <c r="I59" s="11"/>
      <c r="J59" s="11"/>
      <c r="K59" s="11"/>
      <c r="L59" s="11"/>
      <c r="M59" s="13"/>
      <c r="N59" s="13"/>
      <c r="O59" s="13"/>
      <c r="P59" s="13"/>
      <c r="Q59" s="13"/>
      <c r="R59" s="13"/>
      <c r="S59" s="13"/>
      <c r="T59" s="13"/>
      <c r="U59" s="41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</row>
    <row r="60" spans="1:48" ht="15.75" customHeight="1">
      <c r="A60" s="40"/>
      <c r="B60" s="13"/>
      <c r="C60" s="11"/>
      <c r="D60" s="13"/>
      <c r="E60" s="13"/>
      <c r="F60" s="13"/>
      <c r="G60" s="13"/>
      <c r="H60" s="13"/>
      <c r="I60" s="11"/>
      <c r="J60" s="11"/>
      <c r="K60" s="11"/>
      <c r="L60" s="11"/>
      <c r="M60" s="13"/>
      <c r="N60" s="13"/>
      <c r="O60" s="13"/>
      <c r="P60" s="13"/>
      <c r="Q60" s="13"/>
      <c r="R60" s="13"/>
      <c r="S60" s="13"/>
      <c r="T60" s="13"/>
      <c r="U60" s="41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</row>
    <row r="61" spans="1:48" ht="15.75" customHeight="1">
      <c r="A61" s="40"/>
      <c r="B61" s="13"/>
      <c r="C61" s="11"/>
      <c r="D61" s="13"/>
      <c r="E61" s="13"/>
      <c r="F61" s="13"/>
      <c r="G61" s="13"/>
      <c r="H61" s="13"/>
      <c r="I61" s="11"/>
      <c r="J61" s="11"/>
      <c r="K61" s="11"/>
      <c r="L61" s="11"/>
      <c r="M61" s="13"/>
      <c r="N61" s="13"/>
      <c r="O61" s="13"/>
      <c r="P61" s="13"/>
      <c r="Q61" s="13"/>
      <c r="R61" s="13"/>
      <c r="S61" s="13"/>
      <c r="T61" s="13"/>
      <c r="U61" s="41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</row>
    <row r="62" spans="1:48" ht="15.75" customHeight="1">
      <c r="A62" s="40"/>
      <c r="B62" s="13"/>
      <c r="C62" s="11"/>
      <c r="D62" s="13"/>
      <c r="E62" s="13"/>
      <c r="F62" s="13"/>
      <c r="G62" s="13"/>
      <c r="H62" s="13"/>
      <c r="I62" s="11"/>
      <c r="J62" s="11"/>
      <c r="K62" s="11"/>
      <c r="L62" s="11"/>
      <c r="M62" s="13"/>
      <c r="N62" s="13"/>
      <c r="O62" s="13"/>
      <c r="P62" s="13"/>
      <c r="Q62" s="13"/>
      <c r="R62" s="13"/>
      <c r="S62" s="13"/>
      <c r="T62" s="13"/>
      <c r="U62" s="41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</row>
    <row r="63" spans="1:48" ht="15.75" customHeight="1">
      <c r="A63" s="40"/>
      <c r="B63" s="13"/>
      <c r="C63" s="11"/>
      <c r="D63" s="13"/>
      <c r="E63" s="13"/>
      <c r="F63" s="13"/>
      <c r="G63" s="13"/>
      <c r="H63" s="13"/>
      <c r="I63" s="11"/>
      <c r="J63" s="11"/>
      <c r="K63" s="11"/>
      <c r="L63" s="11"/>
      <c r="M63" s="13"/>
      <c r="N63" s="13"/>
      <c r="O63" s="13"/>
      <c r="P63" s="13"/>
      <c r="Q63" s="13"/>
      <c r="R63" s="13"/>
      <c r="S63" s="13"/>
      <c r="T63" s="13"/>
      <c r="U63" s="41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</row>
    <row r="64" spans="1:48" ht="15.75" customHeight="1">
      <c r="A64" s="40"/>
      <c r="B64" s="13"/>
      <c r="C64" s="11"/>
      <c r="D64" s="13"/>
      <c r="E64" s="13"/>
      <c r="F64" s="13"/>
      <c r="G64" s="13"/>
      <c r="H64" s="13"/>
      <c r="I64" s="11"/>
      <c r="J64" s="11"/>
      <c r="K64" s="11"/>
      <c r="L64" s="11"/>
      <c r="M64" s="13"/>
      <c r="N64" s="13"/>
      <c r="O64" s="13"/>
      <c r="P64" s="13"/>
      <c r="Q64" s="13"/>
      <c r="R64" s="13"/>
      <c r="S64" s="13"/>
      <c r="T64" s="13"/>
      <c r="U64" s="41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</row>
    <row r="65" spans="1:48" ht="15.75" customHeight="1">
      <c r="A65" s="40"/>
      <c r="B65" s="13"/>
      <c r="C65" s="11"/>
      <c r="D65" s="13"/>
      <c r="E65" s="13"/>
      <c r="F65" s="13"/>
      <c r="G65" s="13"/>
      <c r="H65" s="13"/>
      <c r="I65" s="11"/>
      <c r="J65" s="11"/>
      <c r="K65" s="11"/>
      <c r="L65" s="11"/>
      <c r="M65" s="13"/>
      <c r="N65" s="13"/>
      <c r="O65" s="13"/>
      <c r="P65" s="13"/>
      <c r="Q65" s="13"/>
      <c r="R65" s="13"/>
      <c r="S65" s="13"/>
      <c r="T65" s="13"/>
      <c r="U65" s="41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</row>
    <row r="66" spans="1:48" ht="15.75" customHeight="1">
      <c r="A66" s="40"/>
      <c r="B66" s="13"/>
      <c r="C66" s="11"/>
      <c r="D66" s="13"/>
      <c r="E66" s="13"/>
      <c r="F66" s="13"/>
      <c r="G66" s="13"/>
      <c r="H66" s="13"/>
      <c r="I66" s="11"/>
      <c r="J66" s="11"/>
      <c r="K66" s="11"/>
      <c r="L66" s="11"/>
      <c r="M66" s="13"/>
      <c r="N66" s="13"/>
      <c r="O66" s="13"/>
      <c r="P66" s="13"/>
      <c r="Q66" s="13"/>
      <c r="R66" s="13"/>
      <c r="S66" s="13"/>
      <c r="T66" s="13"/>
      <c r="U66" s="41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</row>
    <row r="67" spans="1:48" ht="15.75" customHeight="1">
      <c r="A67" s="40"/>
      <c r="B67" s="13"/>
      <c r="C67" s="11"/>
      <c r="D67" s="13"/>
      <c r="E67" s="13"/>
      <c r="F67" s="13"/>
      <c r="G67" s="13"/>
      <c r="H67" s="13"/>
      <c r="I67" s="11"/>
      <c r="J67" s="11"/>
      <c r="K67" s="11"/>
      <c r="L67" s="11"/>
      <c r="M67" s="13"/>
      <c r="N67" s="13"/>
      <c r="O67" s="13"/>
      <c r="P67" s="13"/>
      <c r="Q67" s="13"/>
      <c r="R67" s="13"/>
      <c r="S67" s="13"/>
      <c r="T67" s="13"/>
      <c r="U67" s="41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</row>
    <row r="68" spans="1:48" ht="15.75" customHeight="1">
      <c r="A68" s="40"/>
      <c r="B68" s="13"/>
      <c r="C68" s="11"/>
      <c r="D68" s="13"/>
      <c r="E68" s="13"/>
      <c r="F68" s="13"/>
      <c r="G68" s="13"/>
      <c r="H68" s="13"/>
      <c r="I68" s="11"/>
      <c r="J68" s="11"/>
      <c r="K68" s="11"/>
      <c r="L68" s="11"/>
      <c r="M68" s="13"/>
      <c r="N68" s="13"/>
      <c r="O68" s="13"/>
      <c r="P68" s="13"/>
      <c r="Q68" s="13"/>
      <c r="R68" s="13"/>
      <c r="S68" s="13"/>
      <c r="T68" s="13"/>
      <c r="U68" s="41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</row>
    <row r="69" spans="1:48" ht="15.75" customHeight="1">
      <c r="A69" s="40"/>
      <c r="B69" s="13"/>
      <c r="C69" s="11"/>
      <c r="D69" s="13"/>
      <c r="E69" s="13"/>
      <c r="F69" s="13"/>
      <c r="G69" s="13"/>
      <c r="H69" s="13"/>
      <c r="I69" s="11"/>
      <c r="J69" s="11"/>
      <c r="K69" s="11"/>
      <c r="L69" s="11"/>
      <c r="M69" s="13"/>
      <c r="N69" s="13"/>
      <c r="O69" s="13"/>
      <c r="P69" s="13"/>
      <c r="Q69" s="13"/>
      <c r="R69" s="13"/>
      <c r="S69" s="13"/>
      <c r="T69" s="13"/>
      <c r="U69" s="41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</row>
    <row r="70" spans="1:48" ht="15.75" customHeight="1">
      <c r="A70" s="40"/>
      <c r="B70" s="13"/>
      <c r="C70" s="11"/>
      <c r="D70" s="13"/>
      <c r="E70" s="13"/>
      <c r="F70" s="13"/>
      <c r="G70" s="13"/>
      <c r="H70" s="13"/>
      <c r="I70" s="11"/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41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</row>
    <row r="71" spans="1:48" ht="15.75" customHeight="1">
      <c r="A71" s="40"/>
      <c r="B71" s="13"/>
      <c r="C71" s="11"/>
      <c r="D71" s="13"/>
      <c r="E71" s="13"/>
      <c r="F71" s="13"/>
      <c r="G71" s="13"/>
      <c r="H71" s="13"/>
      <c r="I71" s="11"/>
      <c r="J71" s="11"/>
      <c r="K71" s="11"/>
      <c r="L71" s="11"/>
      <c r="M71" s="13"/>
      <c r="N71" s="13"/>
      <c r="O71" s="13"/>
      <c r="P71" s="13"/>
      <c r="Q71" s="13"/>
      <c r="R71" s="13"/>
      <c r="S71" s="13"/>
      <c r="T71" s="13"/>
      <c r="U71" s="41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</row>
    <row r="72" spans="1:48" ht="15.75" customHeight="1">
      <c r="A72" s="40"/>
      <c r="B72" s="13"/>
      <c r="C72" s="11"/>
      <c r="D72" s="13"/>
      <c r="E72" s="13"/>
      <c r="F72" s="13"/>
      <c r="G72" s="13"/>
      <c r="H72" s="13"/>
      <c r="I72" s="11"/>
      <c r="J72" s="11"/>
      <c r="K72" s="11"/>
      <c r="L72" s="11"/>
      <c r="M72" s="13"/>
      <c r="N72" s="13"/>
      <c r="O72" s="13"/>
      <c r="P72" s="13"/>
      <c r="Q72" s="13"/>
      <c r="R72" s="13"/>
      <c r="S72" s="13"/>
      <c r="T72" s="13"/>
      <c r="U72" s="41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</row>
    <row r="73" spans="1:48" ht="15.75" customHeight="1">
      <c r="A73" s="40"/>
      <c r="B73" s="13"/>
      <c r="C73" s="11"/>
      <c r="D73" s="13"/>
      <c r="E73" s="13"/>
      <c r="F73" s="13"/>
      <c r="G73" s="13"/>
      <c r="H73" s="13"/>
      <c r="I73" s="11"/>
      <c r="J73" s="11"/>
      <c r="K73" s="11"/>
      <c r="L73" s="11"/>
      <c r="M73" s="13"/>
      <c r="N73" s="13"/>
      <c r="O73" s="13"/>
      <c r="P73" s="13"/>
      <c r="Q73" s="13"/>
      <c r="R73" s="13"/>
      <c r="S73" s="13"/>
      <c r="T73" s="13"/>
      <c r="U73" s="41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</row>
    <row r="74" spans="1:48" ht="15.75" customHeight="1">
      <c r="A74" s="40"/>
      <c r="B74" s="13"/>
      <c r="C74" s="11"/>
      <c r="D74" s="13"/>
      <c r="E74" s="13"/>
      <c r="F74" s="13"/>
      <c r="G74" s="13"/>
      <c r="H74" s="13"/>
      <c r="I74" s="11"/>
      <c r="J74" s="11"/>
      <c r="K74" s="11"/>
      <c r="L74" s="11"/>
      <c r="M74" s="13"/>
      <c r="N74" s="13"/>
      <c r="O74" s="13"/>
      <c r="P74" s="13"/>
      <c r="Q74" s="13"/>
      <c r="R74" s="13"/>
      <c r="S74" s="13"/>
      <c r="T74" s="13"/>
      <c r="U74" s="41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</row>
    <row r="75" spans="1:48" ht="15.75" customHeight="1">
      <c r="A75" s="40"/>
      <c r="B75" s="13"/>
      <c r="C75" s="11"/>
      <c r="D75" s="13"/>
      <c r="E75" s="13"/>
      <c r="F75" s="13"/>
      <c r="G75" s="13"/>
      <c r="H75" s="13"/>
      <c r="I75" s="11"/>
      <c r="J75" s="11"/>
      <c r="K75" s="11"/>
      <c r="L75" s="11"/>
      <c r="M75" s="13"/>
      <c r="N75" s="13"/>
      <c r="O75" s="13"/>
      <c r="P75" s="13"/>
      <c r="Q75" s="13"/>
      <c r="R75" s="13"/>
      <c r="S75" s="13"/>
      <c r="T75" s="13"/>
      <c r="U75" s="41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</row>
    <row r="76" spans="1:48" ht="15.75" customHeight="1">
      <c r="A76" s="40"/>
      <c r="B76" s="13"/>
      <c r="C76" s="11"/>
      <c r="D76" s="13"/>
      <c r="E76" s="13"/>
      <c r="F76" s="13"/>
      <c r="G76" s="13"/>
      <c r="H76" s="13"/>
      <c r="I76" s="11"/>
      <c r="J76" s="11"/>
      <c r="K76" s="11"/>
      <c r="L76" s="11"/>
      <c r="M76" s="13"/>
      <c r="N76" s="13"/>
      <c r="O76" s="13"/>
      <c r="P76" s="13"/>
      <c r="Q76" s="13"/>
      <c r="R76" s="13"/>
      <c r="S76" s="13"/>
      <c r="T76" s="13"/>
      <c r="U76" s="41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ht="15.75" customHeight="1">
      <c r="A77" s="40"/>
      <c r="B77" s="13"/>
      <c r="C77" s="11"/>
      <c r="D77" s="13"/>
      <c r="E77" s="13"/>
      <c r="F77" s="13"/>
      <c r="G77" s="13"/>
      <c r="H77" s="13"/>
      <c r="I77" s="11"/>
      <c r="J77" s="11"/>
      <c r="K77" s="11"/>
      <c r="L77" s="11"/>
      <c r="M77" s="13"/>
      <c r="N77" s="13"/>
      <c r="O77" s="13"/>
      <c r="P77" s="13"/>
      <c r="Q77" s="13"/>
      <c r="R77" s="13"/>
      <c r="S77" s="13"/>
      <c r="T77" s="13"/>
      <c r="U77" s="41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</row>
    <row r="78" spans="1:48" ht="15.75" customHeight="1">
      <c r="A78" s="40"/>
      <c r="B78" s="13"/>
      <c r="C78" s="11"/>
      <c r="D78" s="13"/>
      <c r="E78" s="13"/>
      <c r="F78" s="13"/>
      <c r="G78" s="13"/>
      <c r="H78" s="13"/>
      <c r="I78" s="11"/>
      <c r="J78" s="11"/>
      <c r="K78" s="11"/>
      <c r="L78" s="11"/>
      <c r="M78" s="13"/>
      <c r="N78" s="13"/>
      <c r="O78" s="13"/>
      <c r="P78" s="13"/>
      <c r="Q78" s="13"/>
      <c r="R78" s="13"/>
      <c r="S78" s="13"/>
      <c r="T78" s="13"/>
      <c r="U78" s="41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</row>
    <row r="79" spans="1:48" ht="15.75" customHeight="1">
      <c r="A79" s="40"/>
      <c r="B79" s="13"/>
      <c r="C79" s="11"/>
      <c r="D79" s="13"/>
      <c r="E79" s="13"/>
      <c r="F79" s="13"/>
      <c r="G79" s="13"/>
      <c r="H79" s="13"/>
      <c r="I79" s="11"/>
      <c r="J79" s="11"/>
      <c r="K79" s="11"/>
      <c r="L79" s="11"/>
      <c r="M79" s="13"/>
      <c r="N79" s="13"/>
      <c r="O79" s="13"/>
      <c r="P79" s="13"/>
      <c r="Q79" s="13"/>
      <c r="R79" s="13"/>
      <c r="S79" s="13"/>
      <c r="T79" s="13"/>
      <c r="U79" s="41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</row>
    <row r="80" spans="1:48" ht="15.75" customHeight="1">
      <c r="A80" s="40"/>
      <c r="B80" s="13"/>
      <c r="C80" s="11"/>
      <c r="D80" s="13"/>
      <c r="E80" s="13"/>
      <c r="F80" s="13"/>
      <c r="G80" s="13"/>
      <c r="H80" s="13"/>
      <c r="I80" s="11"/>
      <c r="J80" s="11"/>
      <c r="K80" s="11"/>
      <c r="L80" s="11"/>
      <c r="M80" s="13"/>
      <c r="N80" s="13"/>
      <c r="O80" s="13"/>
      <c r="P80" s="13"/>
      <c r="Q80" s="13"/>
      <c r="R80" s="13"/>
      <c r="S80" s="13"/>
      <c r="T80" s="13"/>
      <c r="U80" s="41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</row>
    <row r="81" spans="1:48" ht="15.75" customHeight="1">
      <c r="A81" s="40"/>
      <c r="B81" s="13"/>
      <c r="C81" s="11"/>
      <c r="D81" s="13"/>
      <c r="E81" s="13"/>
      <c r="F81" s="13"/>
      <c r="G81" s="13"/>
      <c r="H81" s="13"/>
      <c r="I81" s="11"/>
      <c r="J81" s="11"/>
      <c r="K81" s="11"/>
      <c r="L81" s="11"/>
      <c r="M81" s="13"/>
      <c r="N81" s="13"/>
      <c r="O81" s="13"/>
      <c r="P81" s="13"/>
      <c r="Q81" s="13"/>
      <c r="R81" s="13"/>
      <c r="S81" s="13"/>
      <c r="T81" s="13"/>
      <c r="U81" s="41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</row>
    <row r="82" spans="1:48" ht="15.75" customHeight="1">
      <c r="A82" s="40"/>
      <c r="B82" s="13"/>
      <c r="C82" s="11"/>
      <c r="D82" s="13"/>
      <c r="E82" s="13"/>
      <c r="F82" s="13"/>
      <c r="G82" s="13"/>
      <c r="H82" s="13"/>
      <c r="I82" s="11"/>
      <c r="J82" s="11"/>
      <c r="K82" s="11"/>
      <c r="L82" s="11"/>
      <c r="M82" s="13"/>
      <c r="N82" s="13"/>
      <c r="O82" s="13"/>
      <c r="P82" s="13"/>
      <c r="Q82" s="13"/>
      <c r="R82" s="13"/>
      <c r="S82" s="13"/>
      <c r="T82" s="13"/>
      <c r="U82" s="41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</row>
    <row r="83" spans="1:48" ht="15.75" customHeight="1">
      <c r="A83" s="40"/>
      <c r="B83" s="13"/>
      <c r="C83" s="11"/>
      <c r="D83" s="13"/>
      <c r="E83" s="13"/>
      <c r="F83" s="13"/>
      <c r="G83" s="13"/>
      <c r="H83" s="13"/>
      <c r="I83" s="11"/>
      <c r="J83" s="11"/>
      <c r="K83" s="11"/>
      <c r="L83" s="11"/>
      <c r="M83" s="13"/>
      <c r="N83" s="13"/>
      <c r="O83" s="13"/>
      <c r="P83" s="13"/>
      <c r="Q83" s="13"/>
      <c r="R83" s="13"/>
      <c r="S83" s="13"/>
      <c r="T83" s="13"/>
      <c r="U83" s="41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</row>
    <row r="84" spans="1:48" ht="15.75" customHeight="1">
      <c r="A84" s="40"/>
      <c r="B84" s="13"/>
      <c r="C84" s="11"/>
      <c r="D84" s="13"/>
      <c r="E84" s="13"/>
      <c r="F84" s="13"/>
      <c r="G84" s="13"/>
      <c r="H84" s="13"/>
      <c r="I84" s="11"/>
      <c r="J84" s="11"/>
      <c r="K84" s="11"/>
      <c r="L84" s="11"/>
      <c r="M84" s="13"/>
      <c r="N84" s="13"/>
      <c r="O84" s="13"/>
      <c r="P84" s="13"/>
      <c r="Q84" s="13"/>
      <c r="R84" s="13"/>
      <c r="S84" s="13"/>
      <c r="T84" s="13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</row>
    <row r="85" spans="1:48" ht="15.75" customHeight="1">
      <c r="A85" s="40"/>
      <c r="B85" s="13"/>
      <c r="C85" s="11"/>
      <c r="D85" s="13"/>
      <c r="E85" s="13"/>
      <c r="F85" s="13"/>
      <c r="G85" s="13"/>
      <c r="H85" s="13"/>
      <c r="I85" s="11"/>
      <c r="J85" s="11"/>
      <c r="K85" s="11"/>
      <c r="L85" s="11"/>
      <c r="M85" s="13"/>
      <c r="N85" s="13"/>
      <c r="O85" s="13"/>
      <c r="P85" s="13"/>
      <c r="Q85" s="13"/>
      <c r="R85" s="13"/>
      <c r="S85" s="13"/>
      <c r="T85" s="13"/>
      <c r="U85" s="41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</row>
    <row r="86" spans="1:48" ht="15.75" customHeight="1">
      <c r="A86" s="40"/>
      <c r="B86" s="13"/>
      <c r="C86" s="11"/>
      <c r="D86" s="13"/>
      <c r="E86" s="13"/>
      <c r="F86" s="13"/>
      <c r="G86" s="13"/>
      <c r="H86" s="13"/>
      <c r="I86" s="11"/>
      <c r="J86" s="11"/>
      <c r="K86" s="11"/>
      <c r="L86" s="11"/>
      <c r="M86" s="13"/>
      <c r="N86" s="13"/>
      <c r="O86" s="13"/>
      <c r="P86" s="13"/>
      <c r="Q86" s="13"/>
      <c r="R86" s="13"/>
      <c r="S86" s="13"/>
      <c r="T86" s="13"/>
      <c r="U86" s="41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</row>
    <row r="87" spans="1:48" ht="15.75" customHeight="1">
      <c r="A87" s="40"/>
      <c r="B87" s="13"/>
      <c r="C87" s="11"/>
      <c r="D87" s="13"/>
      <c r="E87" s="13"/>
      <c r="F87" s="13"/>
      <c r="G87" s="13"/>
      <c r="H87" s="13"/>
      <c r="I87" s="11"/>
      <c r="J87" s="11"/>
      <c r="K87" s="11"/>
      <c r="L87" s="11"/>
      <c r="M87" s="13"/>
      <c r="N87" s="13"/>
      <c r="O87" s="13"/>
      <c r="P87" s="13"/>
      <c r="Q87" s="13"/>
      <c r="R87" s="13"/>
      <c r="S87" s="13"/>
      <c r="T87" s="13"/>
      <c r="U87" s="41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</row>
    <row r="88" spans="1:48" ht="15.75" customHeight="1">
      <c r="A88" s="40"/>
      <c r="B88" s="13"/>
      <c r="C88" s="11"/>
      <c r="D88" s="13"/>
      <c r="E88" s="13"/>
      <c r="F88" s="13"/>
      <c r="G88" s="13"/>
      <c r="H88" s="13"/>
      <c r="I88" s="11"/>
      <c r="J88" s="11"/>
      <c r="K88" s="11"/>
      <c r="L88" s="11"/>
      <c r="M88" s="13"/>
      <c r="N88" s="13"/>
      <c r="O88" s="13"/>
      <c r="P88" s="13"/>
      <c r="Q88" s="13"/>
      <c r="R88" s="13"/>
      <c r="S88" s="13"/>
      <c r="T88" s="13"/>
      <c r="U88" s="41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</row>
    <row r="89" spans="1:48" ht="15.75" customHeight="1">
      <c r="A89" s="40"/>
      <c r="B89" s="13"/>
      <c r="C89" s="11"/>
      <c r="D89" s="13"/>
      <c r="E89" s="13"/>
      <c r="F89" s="13"/>
      <c r="G89" s="13"/>
      <c r="H89" s="13"/>
      <c r="I89" s="11"/>
      <c r="J89" s="11"/>
      <c r="K89" s="11"/>
      <c r="L89" s="11"/>
      <c r="M89" s="13"/>
      <c r="N89" s="13"/>
      <c r="O89" s="13"/>
      <c r="P89" s="13"/>
      <c r="Q89" s="13"/>
      <c r="R89" s="13"/>
      <c r="S89" s="13"/>
      <c r="T89" s="13"/>
      <c r="U89" s="41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</row>
    <row r="90" spans="1:48" ht="15.75" customHeight="1">
      <c r="A90" s="40"/>
      <c r="B90" s="13"/>
      <c r="C90" s="11"/>
      <c r="D90" s="13"/>
      <c r="E90" s="13"/>
      <c r="F90" s="13"/>
      <c r="G90" s="13"/>
      <c r="H90" s="13"/>
      <c r="I90" s="11"/>
      <c r="J90" s="11"/>
      <c r="K90" s="11"/>
      <c r="L90" s="11"/>
      <c r="M90" s="13"/>
      <c r="N90" s="13"/>
      <c r="O90" s="13"/>
      <c r="P90" s="13"/>
      <c r="Q90" s="13"/>
      <c r="R90" s="13"/>
      <c r="S90" s="13"/>
      <c r="T90" s="13"/>
      <c r="U90" s="41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</row>
    <row r="91" spans="1:48" ht="15.75" customHeight="1">
      <c r="A91" s="40"/>
      <c r="B91" s="13"/>
      <c r="C91" s="11"/>
      <c r="D91" s="13"/>
      <c r="E91" s="13"/>
      <c r="F91" s="13"/>
      <c r="G91" s="13"/>
      <c r="H91" s="13"/>
      <c r="I91" s="11"/>
      <c r="J91" s="11"/>
      <c r="K91" s="11"/>
      <c r="L91" s="11"/>
      <c r="M91" s="13"/>
      <c r="N91" s="13"/>
      <c r="O91" s="13"/>
      <c r="P91" s="13"/>
      <c r="Q91" s="13"/>
      <c r="R91" s="13"/>
      <c r="S91" s="13"/>
      <c r="T91" s="13"/>
      <c r="U91" s="41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</row>
    <row r="92" spans="1:48" ht="15.75" customHeight="1">
      <c r="A92" s="40"/>
      <c r="B92" s="13"/>
      <c r="C92" s="11"/>
      <c r="D92" s="13"/>
      <c r="E92" s="13"/>
      <c r="F92" s="13"/>
      <c r="G92" s="13"/>
      <c r="H92" s="13"/>
      <c r="I92" s="11"/>
      <c r="J92" s="11"/>
      <c r="K92" s="11"/>
      <c r="L92" s="11"/>
      <c r="M92" s="13"/>
      <c r="N92" s="13"/>
      <c r="O92" s="13"/>
      <c r="P92" s="13"/>
      <c r="Q92" s="13"/>
      <c r="R92" s="13"/>
      <c r="S92" s="13"/>
      <c r="T92" s="13"/>
      <c r="U92" s="41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</row>
    <row r="93" spans="1:48" ht="15.75" customHeight="1">
      <c r="A93" s="40"/>
      <c r="B93" s="13"/>
      <c r="C93" s="11"/>
      <c r="D93" s="13"/>
      <c r="E93" s="13"/>
      <c r="F93" s="13"/>
      <c r="G93" s="13"/>
      <c r="H93" s="13"/>
      <c r="I93" s="11"/>
      <c r="J93" s="11"/>
      <c r="K93" s="11"/>
      <c r="L93" s="11"/>
      <c r="M93" s="13"/>
      <c r="N93" s="13"/>
      <c r="O93" s="13"/>
      <c r="P93" s="13"/>
      <c r="Q93" s="13"/>
      <c r="R93" s="13"/>
      <c r="S93" s="13"/>
      <c r="T93" s="13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</row>
    <row r="94" spans="1:48" ht="15.75" customHeight="1">
      <c r="A94" s="40"/>
      <c r="B94" s="13"/>
      <c r="C94" s="11"/>
      <c r="D94" s="13"/>
      <c r="E94" s="13"/>
      <c r="F94" s="13"/>
      <c r="G94" s="13"/>
      <c r="H94" s="13"/>
      <c r="I94" s="11"/>
      <c r="J94" s="11"/>
      <c r="K94" s="11"/>
      <c r="L94" s="11"/>
      <c r="M94" s="13"/>
      <c r="N94" s="13"/>
      <c r="O94" s="13"/>
      <c r="P94" s="13"/>
      <c r="Q94" s="13"/>
      <c r="R94" s="13"/>
      <c r="S94" s="13"/>
      <c r="T94" s="13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1:48" ht="15.75" customHeight="1">
      <c r="A95" s="40"/>
      <c r="B95" s="13"/>
      <c r="C95" s="11"/>
      <c r="D95" s="13"/>
      <c r="E95" s="13"/>
      <c r="F95" s="13"/>
      <c r="G95" s="13"/>
      <c r="H95" s="13"/>
      <c r="I95" s="11"/>
      <c r="J95" s="11"/>
      <c r="K95" s="11"/>
      <c r="L95" s="11"/>
      <c r="M95" s="13"/>
      <c r="N95" s="13"/>
      <c r="O95" s="13"/>
      <c r="P95" s="13"/>
      <c r="Q95" s="13"/>
      <c r="R95" s="13"/>
      <c r="S95" s="13"/>
      <c r="T95" s="13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</row>
    <row r="96" spans="1:48" ht="15.75" customHeight="1">
      <c r="A96" s="40"/>
      <c r="B96" s="13"/>
      <c r="C96" s="11"/>
      <c r="D96" s="13"/>
      <c r="E96" s="13"/>
      <c r="F96" s="13"/>
      <c r="G96" s="13"/>
      <c r="H96" s="13"/>
      <c r="I96" s="11"/>
      <c r="J96" s="11"/>
      <c r="K96" s="11"/>
      <c r="L96" s="11"/>
      <c r="M96" s="13"/>
      <c r="N96" s="13"/>
      <c r="O96" s="13"/>
      <c r="P96" s="13"/>
      <c r="Q96" s="13"/>
      <c r="R96" s="13"/>
      <c r="S96" s="13"/>
      <c r="T96" s="13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1:48" ht="15.75" customHeight="1">
      <c r="A97" s="40"/>
      <c r="B97" s="13"/>
      <c r="C97" s="11"/>
      <c r="D97" s="13"/>
      <c r="E97" s="13"/>
      <c r="F97" s="13"/>
      <c r="G97" s="13"/>
      <c r="H97" s="13"/>
      <c r="I97" s="11"/>
      <c r="J97" s="11"/>
      <c r="K97" s="11"/>
      <c r="L97" s="11"/>
      <c r="M97" s="13"/>
      <c r="N97" s="13"/>
      <c r="O97" s="13"/>
      <c r="P97" s="13"/>
      <c r="Q97" s="13"/>
      <c r="R97" s="13"/>
      <c r="S97" s="13"/>
      <c r="T97" s="13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1:48" ht="15.75" customHeight="1">
      <c r="A98" s="40"/>
      <c r="B98" s="13"/>
      <c r="C98" s="11"/>
      <c r="D98" s="13"/>
      <c r="E98" s="13"/>
      <c r="F98" s="13"/>
      <c r="G98" s="13"/>
      <c r="H98" s="13"/>
      <c r="I98" s="11"/>
      <c r="J98" s="11"/>
      <c r="K98" s="11"/>
      <c r="L98" s="11"/>
      <c r="M98" s="13"/>
      <c r="N98" s="13"/>
      <c r="O98" s="13"/>
      <c r="P98" s="13"/>
      <c r="Q98" s="13"/>
      <c r="R98" s="13"/>
      <c r="S98" s="13"/>
      <c r="T98" s="13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</row>
    <row r="99" spans="1:48" ht="15.75" customHeight="1">
      <c r="A99" s="40"/>
      <c r="B99" s="13"/>
      <c r="C99" s="11"/>
      <c r="D99" s="13"/>
      <c r="E99" s="13"/>
      <c r="F99" s="13"/>
      <c r="G99" s="13"/>
      <c r="H99" s="13"/>
      <c r="I99" s="11"/>
      <c r="J99" s="11"/>
      <c r="K99" s="11"/>
      <c r="L99" s="11"/>
      <c r="M99" s="13"/>
      <c r="N99" s="13"/>
      <c r="O99" s="13"/>
      <c r="P99" s="13"/>
      <c r="Q99" s="13"/>
      <c r="R99" s="13"/>
      <c r="S99" s="13"/>
      <c r="T99" s="13"/>
      <c r="U99" s="41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</row>
    <row r="100" spans="1:48" ht="15.75" customHeight="1">
      <c r="A100" s="40"/>
      <c r="B100" s="13"/>
      <c r="C100" s="11"/>
      <c r="D100" s="13"/>
      <c r="E100" s="13"/>
      <c r="F100" s="13"/>
      <c r="G100" s="13"/>
      <c r="H100" s="13"/>
      <c r="I100" s="11"/>
      <c r="J100" s="11"/>
      <c r="K100" s="11"/>
      <c r="L100" s="11"/>
      <c r="M100" s="13"/>
      <c r="N100" s="13"/>
      <c r="O100" s="13"/>
      <c r="P100" s="13"/>
      <c r="Q100" s="13"/>
      <c r="R100" s="13"/>
      <c r="S100" s="13"/>
      <c r="T100" s="13"/>
      <c r="U100" s="41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1:48" ht="15.75" customHeight="1">
      <c r="A101" s="40"/>
      <c r="B101" s="13"/>
      <c r="C101" s="11"/>
      <c r="D101" s="13"/>
      <c r="E101" s="13"/>
      <c r="F101" s="13"/>
      <c r="G101" s="13"/>
      <c r="H101" s="13"/>
      <c r="I101" s="11"/>
      <c r="J101" s="11"/>
      <c r="K101" s="11"/>
      <c r="L101" s="11"/>
      <c r="M101" s="13"/>
      <c r="N101" s="13"/>
      <c r="O101" s="13"/>
      <c r="P101" s="13"/>
      <c r="Q101" s="13"/>
      <c r="R101" s="13"/>
      <c r="S101" s="13"/>
      <c r="T101" s="13"/>
      <c r="U101" s="41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</row>
    <row r="102" spans="1:48" ht="15.75" customHeight="1">
      <c r="A102" s="40"/>
      <c r="B102" s="13"/>
      <c r="C102" s="11"/>
      <c r="D102" s="13"/>
      <c r="E102" s="13"/>
      <c r="F102" s="13"/>
      <c r="G102" s="13"/>
      <c r="H102" s="13"/>
      <c r="I102" s="11"/>
      <c r="J102" s="11"/>
      <c r="K102" s="11"/>
      <c r="L102" s="11"/>
      <c r="M102" s="13"/>
      <c r="N102" s="13"/>
      <c r="O102" s="13"/>
      <c r="P102" s="13"/>
      <c r="Q102" s="13"/>
      <c r="R102" s="13"/>
      <c r="S102" s="13"/>
      <c r="T102" s="13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</row>
    <row r="103" spans="1:48" ht="15.75" customHeight="1">
      <c r="A103" s="40"/>
      <c r="B103" s="13"/>
      <c r="C103" s="11"/>
      <c r="D103" s="13"/>
      <c r="E103" s="13"/>
      <c r="F103" s="13"/>
      <c r="G103" s="13"/>
      <c r="H103" s="13"/>
      <c r="I103" s="11"/>
      <c r="J103" s="11"/>
      <c r="K103" s="11"/>
      <c r="L103" s="11"/>
      <c r="M103" s="13"/>
      <c r="N103" s="13"/>
      <c r="O103" s="13"/>
      <c r="P103" s="13"/>
      <c r="Q103" s="13"/>
      <c r="R103" s="13"/>
      <c r="S103" s="13"/>
      <c r="T103" s="13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 spans="1:48" ht="15.75" customHeight="1">
      <c r="A104" s="40"/>
      <c r="B104" s="13"/>
      <c r="C104" s="11"/>
      <c r="D104" s="13"/>
      <c r="E104" s="13"/>
      <c r="F104" s="13"/>
      <c r="G104" s="13"/>
      <c r="H104" s="13"/>
      <c r="I104" s="11"/>
      <c r="J104" s="11"/>
      <c r="K104" s="11"/>
      <c r="L104" s="11"/>
      <c r="M104" s="13"/>
      <c r="N104" s="13"/>
      <c r="O104" s="13"/>
      <c r="P104" s="13"/>
      <c r="Q104" s="13"/>
      <c r="R104" s="13"/>
      <c r="S104" s="13"/>
      <c r="T104" s="13"/>
      <c r="U104" s="41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  <row r="105" spans="1:48" ht="15.75" customHeight="1">
      <c r="A105" s="40"/>
      <c r="B105" s="13"/>
      <c r="C105" s="11"/>
      <c r="D105" s="13"/>
      <c r="E105" s="13"/>
      <c r="F105" s="13"/>
      <c r="G105" s="13"/>
      <c r="H105" s="13"/>
      <c r="I105" s="11"/>
      <c r="J105" s="11"/>
      <c r="K105" s="11"/>
      <c r="L105" s="11"/>
      <c r="M105" s="13"/>
      <c r="N105" s="13"/>
      <c r="O105" s="13"/>
      <c r="P105" s="13"/>
      <c r="Q105" s="13"/>
      <c r="R105" s="13"/>
      <c r="S105" s="13"/>
      <c r="T105" s="13"/>
      <c r="U105" s="41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</row>
    <row r="106" spans="1:48" ht="15.75" customHeight="1">
      <c r="A106" s="40"/>
      <c r="B106" s="13"/>
      <c r="C106" s="11"/>
      <c r="D106" s="13"/>
      <c r="E106" s="13"/>
      <c r="F106" s="13"/>
      <c r="G106" s="13"/>
      <c r="H106" s="13"/>
      <c r="I106" s="11"/>
      <c r="J106" s="11"/>
      <c r="K106" s="11"/>
      <c r="L106" s="11"/>
      <c r="M106" s="13"/>
      <c r="N106" s="13"/>
      <c r="O106" s="13"/>
      <c r="P106" s="13"/>
      <c r="Q106" s="13"/>
      <c r="R106" s="13"/>
      <c r="S106" s="13"/>
      <c r="T106" s="13"/>
      <c r="U106" s="41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</row>
    <row r="107" spans="1:48" ht="15.75" customHeight="1">
      <c r="A107" s="40"/>
      <c r="B107" s="13"/>
      <c r="C107" s="11"/>
      <c r="D107" s="13"/>
      <c r="E107" s="13"/>
      <c r="F107" s="13"/>
      <c r="G107" s="13"/>
      <c r="H107" s="13"/>
      <c r="I107" s="11"/>
      <c r="J107" s="11"/>
      <c r="K107" s="11"/>
      <c r="L107" s="11"/>
      <c r="M107" s="13"/>
      <c r="N107" s="13"/>
      <c r="O107" s="13"/>
      <c r="P107" s="13"/>
      <c r="Q107" s="13"/>
      <c r="R107" s="13"/>
      <c r="S107" s="13"/>
      <c r="T107" s="13"/>
      <c r="U107" s="41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1:48" ht="15.75" customHeight="1">
      <c r="A108" s="40"/>
      <c r="B108" s="13"/>
      <c r="C108" s="11"/>
      <c r="D108" s="13"/>
      <c r="E108" s="13"/>
      <c r="F108" s="13"/>
      <c r="G108" s="13"/>
      <c r="H108" s="13"/>
      <c r="I108" s="11"/>
      <c r="J108" s="11"/>
      <c r="K108" s="11"/>
      <c r="L108" s="11"/>
      <c r="M108" s="13"/>
      <c r="N108" s="13"/>
      <c r="O108" s="13"/>
      <c r="P108" s="13"/>
      <c r="Q108" s="13"/>
      <c r="R108" s="13"/>
      <c r="S108" s="13"/>
      <c r="T108" s="13"/>
      <c r="U108" s="41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</row>
    <row r="109" spans="1:48" ht="15.75" customHeight="1">
      <c r="A109" s="40"/>
      <c r="B109" s="13"/>
      <c r="C109" s="11"/>
      <c r="D109" s="13"/>
      <c r="E109" s="13"/>
      <c r="F109" s="13"/>
      <c r="G109" s="13"/>
      <c r="H109" s="13"/>
      <c r="I109" s="11"/>
      <c r="J109" s="11"/>
      <c r="K109" s="11"/>
      <c r="L109" s="11"/>
      <c r="M109" s="13"/>
      <c r="N109" s="13"/>
      <c r="O109" s="13"/>
      <c r="P109" s="13"/>
      <c r="Q109" s="13"/>
      <c r="R109" s="13"/>
      <c r="S109" s="13"/>
      <c r="T109" s="13"/>
      <c r="U109" s="41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</row>
    <row r="110" spans="1:48" ht="15.75" customHeight="1">
      <c r="A110" s="40"/>
      <c r="B110" s="13"/>
      <c r="C110" s="11"/>
      <c r="D110" s="13"/>
      <c r="E110" s="13"/>
      <c r="F110" s="13"/>
      <c r="G110" s="13"/>
      <c r="H110" s="13"/>
      <c r="I110" s="11"/>
      <c r="J110" s="11"/>
      <c r="K110" s="11"/>
      <c r="L110" s="11"/>
      <c r="M110" s="13"/>
      <c r="N110" s="13"/>
      <c r="O110" s="13"/>
      <c r="P110" s="13"/>
      <c r="Q110" s="13"/>
      <c r="R110" s="13"/>
      <c r="S110" s="13"/>
      <c r="T110" s="13"/>
      <c r="U110" s="41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1:48" ht="15.75" customHeight="1">
      <c r="A111" s="40"/>
      <c r="B111" s="13"/>
      <c r="C111" s="11"/>
      <c r="D111" s="13"/>
      <c r="E111" s="13"/>
      <c r="F111" s="13"/>
      <c r="G111" s="13"/>
      <c r="H111" s="13"/>
      <c r="I111" s="11"/>
      <c r="J111" s="11"/>
      <c r="K111" s="11"/>
      <c r="L111" s="11"/>
      <c r="M111" s="13"/>
      <c r="N111" s="13"/>
      <c r="O111" s="13"/>
      <c r="P111" s="13"/>
      <c r="Q111" s="13"/>
      <c r="R111" s="13"/>
      <c r="S111" s="13"/>
      <c r="T111" s="13"/>
      <c r="U111" s="41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</row>
    <row r="112" spans="1:48" ht="15.75" customHeight="1">
      <c r="A112" s="40"/>
      <c r="B112" s="13"/>
      <c r="C112" s="11"/>
      <c r="D112" s="13"/>
      <c r="E112" s="13"/>
      <c r="F112" s="13"/>
      <c r="G112" s="13"/>
      <c r="H112" s="13"/>
      <c r="I112" s="11"/>
      <c r="J112" s="11"/>
      <c r="K112" s="11"/>
      <c r="L112" s="11"/>
      <c r="M112" s="13"/>
      <c r="N112" s="13"/>
      <c r="O112" s="13"/>
      <c r="P112" s="13"/>
      <c r="Q112" s="13"/>
      <c r="R112" s="13"/>
      <c r="S112" s="13"/>
      <c r="T112" s="13"/>
      <c r="U112" s="41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spans="1:48" ht="15.75" customHeight="1">
      <c r="A113" s="40"/>
      <c r="B113" s="13"/>
      <c r="C113" s="11"/>
      <c r="D113" s="13"/>
      <c r="E113" s="13"/>
      <c r="F113" s="13"/>
      <c r="G113" s="13"/>
      <c r="H113" s="13"/>
      <c r="I113" s="11"/>
      <c r="J113" s="11"/>
      <c r="K113" s="11"/>
      <c r="L113" s="11"/>
      <c r="M113" s="13"/>
      <c r="N113" s="13"/>
      <c r="O113" s="13"/>
      <c r="P113" s="13"/>
      <c r="Q113" s="13"/>
      <c r="R113" s="13"/>
      <c r="S113" s="13"/>
      <c r="T113" s="13"/>
      <c r="U113" s="41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</row>
    <row r="114" spans="1:48" ht="15.75" customHeight="1">
      <c r="A114" s="40"/>
      <c r="B114" s="13"/>
      <c r="C114" s="11"/>
      <c r="D114" s="13"/>
      <c r="E114" s="13"/>
      <c r="F114" s="13"/>
      <c r="G114" s="13"/>
      <c r="H114" s="13"/>
      <c r="I114" s="11"/>
      <c r="J114" s="11"/>
      <c r="K114" s="11"/>
      <c r="L114" s="11"/>
      <c r="M114" s="13"/>
      <c r="N114" s="13"/>
      <c r="O114" s="13"/>
      <c r="P114" s="13"/>
      <c r="Q114" s="13"/>
      <c r="R114" s="13"/>
      <c r="S114" s="13"/>
      <c r="T114" s="13"/>
      <c r="U114" s="41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</row>
    <row r="115" spans="1:48" ht="15.75" customHeight="1">
      <c r="A115" s="40"/>
      <c r="B115" s="13"/>
      <c r="C115" s="11"/>
      <c r="D115" s="13"/>
      <c r="E115" s="13"/>
      <c r="F115" s="13"/>
      <c r="G115" s="13"/>
      <c r="H115" s="13"/>
      <c r="I115" s="11"/>
      <c r="J115" s="11"/>
      <c r="K115" s="11"/>
      <c r="L115" s="11"/>
      <c r="M115" s="13"/>
      <c r="N115" s="13"/>
      <c r="O115" s="13"/>
      <c r="P115" s="13"/>
      <c r="Q115" s="13"/>
      <c r="R115" s="13"/>
      <c r="S115" s="13"/>
      <c r="T115" s="13"/>
      <c r="U115" s="41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</row>
    <row r="116" spans="1:48" ht="15.75" customHeight="1">
      <c r="A116" s="40"/>
      <c r="B116" s="13"/>
      <c r="C116" s="11"/>
      <c r="D116" s="13"/>
      <c r="E116" s="13"/>
      <c r="F116" s="13"/>
      <c r="G116" s="13"/>
      <c r="H116" s="13"/>
      <c r="I116" s="11"/>
      <c r="J116" s="11"/>
      <c r="K116" s="11"/>
      <c r="L116" s="11"/>
      <c r="M116" s="13"/>
      <c r="N116" s="13"/>
      <c r="O116" s="13"/>
      <c r="P116" s="13"/>
      <c r="Q116" s="13"/>
      <c r="R116" s="13"/>
      <c r="S116" s="13"/>
      <c r="T116" s="13"/>
      <c r="U116" s="41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</row>
    <row r="117" spans="1:48" ht="15.75" customHeight="1">
      <c r="A117" s="40"/>
      <c r="B117" s="13"/>
      <c r="C117" s="11"/>
      <c r="D117" s="13"/>
      <c r="E117" s="13"/>
      <c r="F117" s="13"/>
      <c r="G117" s="13"/>
      <c r="H117" s="13"/>
      <c r="I117" s="11"/>
      <c r="J117" s="11"/>
      <c r="K117" s="11"/>
      <c r="L117" s="11"/>
      <c r="M117" s="13"/>
      <c r="N117" s="13"/>
      <c r="O117" s="13"/>
      <c r="P117" s="13"/>
      <c r="Q117" s="13"/>
      <c r="R117" s="13"/>
      <c r="S117" s="13"/>
      <c r="T117" s="13"/>
      <c r="U117" s="41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</row>
    <row r="118" spans="1:48" ht="15.75" customHeight="1">
      <c r="A118" s="40"/>
      <c r="B118" s="13"/>
      <c r="C118" s="11"/>
      <c r="D118" s="13"/>
      <c r="E118" s="13"/>
      <c r="F118" s="13"/>
      <c r="G118" s="13"/>
      <c r="H118" s="13"/>
      <c r="I118" s="11"/>
      <c r="J118" s="11"/>
      <c r="K118" s="11"/>
      <c r="L118" s="11"/>
      <c r="M118" s="13"/>
      <c r="N118" s="13"/>
      <c r="O118" s="13"/>
      <c r="P118" s="13"/>
      <c r="Q118" s="13"/>
      <c r="R118" s="13"/>
      <c r="S118" s="13"/>
      <c r="T118" s="13"/>
      <c r="U118" s="41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</row>
    <row r="119" spans="1:48" ht="15.75" customHeight="1">
      <c r="A119" s="40"/>
      <c r="B119" s="13"/>
      <c r="C119" s="11"/>
      <c r="D119" s="13"/>
      <c r="E119" s="13"/>
      <c r="F119" s="13"/>
      <c r="G119" s="13"/>
      <c r="H119" s="13"/>
      <c r="I119" s="11"/>
      <c r="J119" s="11"/>
      <c r="K119" s="11"/>
      <c r="L119" s="11"/>
      <c r="M119" s="13"/>
      <c r="N119" s="13"/>
      <c r="O119" s="13"/>
      <c r="P119" s="13"/>
      <c r="Q119" s="13"/>
      <c r="R119" s="13"/>
      <c r="S119" s="13"/>
      <c r="T119" s="13"/>
      <c r="U119" s="41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</row>
    <row r="120" spans="1:48" ht="15.75" customHeight="1">
      <c r="A120" s="40"/>
      <c r="B120" s="13"/>
      <c r="C120" s="11"/>
      <c r="D120" s="13"/>
      <c r="E120" s="13"/>
      <c r="F120" s="13"/>
      <c r="G120" s="13"/>
      <c r="H120" s="13"/>
      <c r="I120" s="11"/>
      <c r="J120" s="11"/>
      <c r="K120" s="11"/>
      <c r="L120" s="11"/>
      <c r="M120" s="13"/>
      <c r="N120" s="13"/>
      <c r="O120" s="13"/>
      <c r="P120" s="13"/>
      <c r="Q120" s="13"/>
      <c r="R120" s="13"/>
      <c r="S120" s="13"/>
      <c r="T120" s="13"/>
      <c r="U120" s="41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</row>
    <row r="121" spans="1:48" ht="15.75" customHeight="1">
      <c r="A121" s="40"/>
      <c r="B121" s="13"/>
      <c r="C121" s="11"/>
      <c r="D121" s="13"/>
      <c r="E121" s="13"/>
      <c r="F121" s="13"/>
      <c r="G121" s="13"/>
      <c r="H121" s="13"/>
      <c r="I121" s="11"/>
      <c r="J121" s="11"/>
      <c r="K121" s="11"/>
      <c r="L121" s="11"/>
      <c r="M121" s="13"/>
      <c r="N121" s="13"/>
      <c r="O121" s="13"/>
      <c r="P121" s="13"/>
      <c r="Q121" s="13"/>
      <c r="R121" s="13"/>
      <c r="S121" s="13"/>
      <c r="T121" s="13"/>
      <c r="U121" s="41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1:48" ht="15.75" customHeight="1">
      <c r="A122" s="40"/>
      <c r="B122" s="13"/>
      <c r="C122" s="11"/>
      <c r="D122" s="13"/>
      <c r="E122" s="13"/>
      <c r="F122" s="13"/>
      <c r="G122" s="13"/>
      <c r="H122" s="13"/>
      <c r="I122" s="11"/>
      <c r="J122" s="11"/>
      <c r="K122" s="11"/>
      <c r="L122" s="11"/>
      <c r="M122" s="13"/>
      <c r="N122" s="13"/>
      <c r="O122" s="13"/>
      <c r="P122" s="13"/>
      <c r="Q122" s="13"/>
      <c r="R122" s="13"/>
      <c r="S122" s="13"/>
      <c r="T122" s="13"/>
      <c r="U122" s="41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</row>
    <row r="123" spans="1:48" ht="15.75" customHeight="1">
      <c r="A123" s="40"/>
      <c r="B123" s="13"/>
      <c r="C123" s="11"/>
      <c r="D123" s="13"/>
      <c r="E123" s="13"/>
      <c r="F123" s="13"/>
      <c r="G123" s="13"/>
      <c r="H123" s="13"/>
      <c r="I123" s="11"/>
      <c r="J123" s="11"/>
      <c r="K123" s="11"/>
      <c r="L123" s="11"/>
      <c r="M123" s="13"/>
      <c r="N123" s="13"/>
      <c r="O123" s="13"/>
      <c r="P123" s="13"/>
      <c r="Q123" s="13"/>
      <c r="R123" s="13"/>
      <c r="S123" s="13"/>
      <c r="T123" s="13"/>
      <c r="U123" s="41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</row>
    <row r="124" spans="1:48" ht="15.75" customHeight="1">
      <c r="A124" s="40"/>
      <c r="B124" s="13"/>
      <c r="C124" s="11"/>
      <c r="D124" s="13"/>
      <c r="E124" s="13"/>
      <c r="F124" s="13"/>
      <c r="G124" s="13"/>
      <c r="H124" s="13"/>
      <c r="I124" s="11"/>
      <c r="J124" s="11"/>
      <c r="K124" s="11"/>
      <c r="L124" s="11"/>
      <c r="M124" s="13"/>
      <c r="N124" s="13"/>
      <c r="O124" s="13"/>
      <c r="P124" s="13"/>
      <c r="Q124" s="13"/>
      <c r="R124" s="13"/>
      <c r="S124" s="13"/>
      <c r="T124" s="13"/>
      <c r="U124" s="41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</row>
    <row r="125" spans="1:48" ht="15.75" customHeight="1">
      <c r="A125" s="40"/>
      <c r="B125" s="13"/>
      <c r="C125" s="11"/>
      <c r="D125" s="13"/>
      <c r="E125" s="13"/>
      <c r="F125" s="13"/>
      <c r="G125" s="13"/>
      <c r="H125" s="13"/>
      <c r="I125" s="11"/>
      <c r="J125" s="11"/>
      <c r="K125" s="11"/>
      <c r="L125" s="11"/>
      <c r="M125" s="13"/>
      <c r="N125" s="13"/>
      <c r="O125" s="13"/>
      <c r="P125" s="13"/>
      <c r="Q125" s="13"/>
      <c r="R125" s="13"/>
      <c r="S125" s="13"/>
      <c r="T125" s="13"/>
      <c r="U125" s="41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</row>
    <row r="126" spans="1:48" ht="15.75" customHeight="1">
      <c r="A126" s="40"/>
      <c r="B126" s="13"/>
      <c r="C126" s="11"/>
      <c r="D126" s="13"/>
      <c r="E126" s="13"/>
      <c r="F126" s="13"/>
      <c r="G126" s="13"/>
      <c r="H126" s="13"/>
      <c r="I126" s="11"/>
      <c r="J126" s="11"/>
      <c r="K126" s="11"/>
      <c r="L126" s="11"/>
      <c r="M126" s="13"/>
      <c r="N126" s="13"/>
      <c r="O126" s="13"/>
      <c r="P126" s="13"/>
      <c r="Q126" s="13"/>
      <c r="R126" s="13"/>
      <c r="S126" s="13"/>
      <c r="T126" s="13"/>
      <c r="U126" s="41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</row>
    <row r="127" spans="1:48" ht="15.75" customHeight="1">
      <c r="A127" s="40"/>
      <c r="B127" s="13"/>
      <c r="C127" s="11"/>
      <c r="D127" s="13"/>
      <c r="E127" s="13"/>
      <c r="F127" s="13"/>
      <c r="G127" s="13"/>
      <c r="H127" s="13"/>
      <c r="I127" s="11"/>
      <c r="J127" s="11"/>
      <c r="K127" s="11"/>
      <c r="L127" s="11"/>
      <c r="M127" s="13"/>
      <c r="N127" s="13"/>
      <c r="O127" s="13"/>
      <c r="P127" s="13"/>
      <c r="Q127" s="13"/>
      <c r="R127" s="13"/>
      <c r="S127" s="13"/>
      <c r="T127" s="13"/>
      <c r="U127" s="41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</row>
    <row r="128" spans="1:48" ht="15.75" customHeight="1">
      <c r="A128" s="40"/>
      <c r="B128" s="13"/>
      <c r="C128" s="11"/>
      <c r="D128" s="13"/>
      <c r="E128" s="13"/>
      <c r="F128" s="13"/>
      <c r="G128" s="13"/>
      <c r="H128" s="13"/>
      <c r="I128" s="11"/>
      <c r="J128" s="11"/>
      <c r="K128" s="11"/>
      <c r="L128" s="11"/>
      <c r="M128" s="13"/>
      <c r="N128" s="13"/>
      <c r="O128" s="13"/>
      <c r="P128" s="13"/>
      <c r="Q128" s="13"/>
      <c r="R128" s="13"/>
      <c r="S128" s="13"/>
      <c r="T128" s="13"/>
      <c r="U128" s="41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</row>
    <row r="129" spans="1:48" ht="15.75" customHeight="1">
      <c r="A129" s="40"/>
      <c r="B129" s="13"/>
      <c r="C129" s="11"/>
      <c r="D129" s="13"/>
      <c r="E129" s="13"/>
      <c r="F129" s="13"/>
      <c r="G129" s="13"/>
      <c r="H129" s="13"/>
      <c r="I129" s="11"/>
      <c r="J129" s="11"/>
      <c r="K129" s="11"/>
      <c r="L129" s="11"/>
      <c r="M129" s="13"/>
      <c r="N129" s="13"/>
      <c r="O129" s="13"/>
      <c r="P129" s="13"/>
      <c r="Q129" s="13"/>
      <c r="R129" s="13"/>
      <c r="S129" s="13"/>
      <c r="T129" s="13"/>
      <c r="U129" s="41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</row>
    <row r="130" spans="1:48" ht="15.75" customHeight="1">
      <c r="A130" s="40"/>
      <c r="B130" s="13"/>
      <c r="C130" s="11"/>
      <c r="D130" s="13"/>
      <c r="E130" s="13"/>
      <c r="F130" s="13"/>
      <c r="G130" s="13"/>
      <c r="H130" s="13"/>
      <c r="I130" s="11"/>
      <c r="J130" s="11"/>
      <c r="K130" s="11"/>
      <c r="L130" s="11"/>
      <c r="M130" s="13"/>
      <c r="N130" s="13"/>
      <c r="O130" s="13"/>
      <c r="P130" s="13"/>
      <c r="Q130" s="13"/>
      <c r="R130" s="13"/>
      <c r="S130" s="13"/>
      <c r="T130" s="13"/>
      <c r="U130" s="41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</row>
    <row r="131" spans="1:48" ht="15.75" customHeight="1">
      <c r="A131" s="40"/>
      <c r="B131" s="13"/>
      <c r="C131" s="11"/>
      <c r="D131" s="13"/>
      <c r="E131" s="13"/>
      <c r="F131" s="13"/>
      <c r="G131" s="13"/>
      <c r="H131" s="13"/>
      <c r="I131" s="11"/>
      <c r="J131" s="11"/>
      <c r="K131" s="11"/>
      <c r="L131" s="11"/>
      <c r="M131" s="13"/>
      <c r="N131" s="13"/>
      <c r="O131" s="13"/>
      <c r="P131" s="13"/>
      <c r="Q131" s="13"/>
      <c r="R131" s="13"/>
      <c r="S131" s="13"/>
      <c r="T131" s="13"/>
      <c r="U131" s="41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</row>
    <row r="132" spans="1:48" ht="15.75" customHeight="1">
      <c r="A132" s="40"/>
      <c r="B132" s="13"/>
      <c r="C132" s="11"/>
      <c r="D132" s="13"/>
      <c r="E132" s="13"/>
      <c r="F132" s="13"/>
      <c r="G132" s="13"/>
      <c r="H132" s="13"/>
      <c r="I132" s="11"/>
      <c r="J132" s="11"/>
      <c r="K132" s="11"/>
      <c r="L132" s="11"/>
      <c r="M132" s="13"/>
      <c r="N132" s="13"/>
      <c r="O132" s="13"/>
      <c r="P132" s="13"/>
      <c r="Q132" s="13"/>
      <c r="R132" s="13"/>
      <c r="S132" s="13"/>
      <c r="T132" s="13"/>
      <c r="U132" s="41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</row>
    <row r="133" spans="1:48" ht="15.75" customHeight="1">
      <c r="A133" s="40"/>
      <c r="B133" s="13"/>
      <c r="C133" s="11"/>
      <c r="D133" s="13"/>
      <c r="E133" s="13"/>
      <c r="F133" s="13"/>
      <c r="G133" s="13"/>
      <c r="H133" s="13"/>
      <c r="I133" s="11"/>
      <c r="J133" s="11"/>
      <c r="K133" s="11"/>
      <c r="L133" s="11"/>
      <c r="M133" s="13"/>
      <c r="N133" s="13"/>
      <c r="O133" s="13"/>
      <c r="P133" s="13"/>
      <c r="Q133" s="13"/>
      <c r="R133" s="13"/>
      <c r="S133" s="13"/>
      <c r="T133" s="13"/>
      <c r="U133" s="41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</row>
    <row r="134" spans="1:48" ht="15.75" customHeight="1">
      <c r="A134" s="40"/>
      <c r="B134" s="13"/>
      <c r="C134" s="11"/>
      <c r="D134" s="13"/>
      <c r="E134" s="13"/>
      <c r="F134" s="13"/>
      <c r="G134" s="13"/>
      <c r="H134" s="13"/>
      <c r="I134" s="11"/>
      <c r="J134" s="11"/>
      <c r="K134" s="11"/>
      <c r="L134" s="11"/>
      <c r="M134" s="13"/>
      <c r="N134" s="13"/>
      <c r="O134" s="13"/>
      <c r="P134" s="13"/>
      <c r="Q134" s="13"/>
      <c r="R134" s="13"/>
      <c r="S134" s="13"/>
      <c r="T134" s="13"/>
      <c r="U134" s="41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</row>
    <row r="135" spans="1:48" ht="15.75" customHeight="1">
      <c r="A135" s="40"/>
      <c r="B135" s="13"/>
      <c r="C135" s="11"/>
      <c r="D135" s="13"/>
      <c r="E135" s="13"/>
      <c r="F135" s="13"/>
      <c r="G135" s="13"/>
      <c r="H135" s="13"/>
      <c r="I135" s="11"/>
      <c r="J135" s="11"/>
      <c r="K135" s="11"/>
      <c r="L135" s="11"/>
      <c r="M135" s="13"/>
      <c r="N135" s="13"/>
      <c r="O135" s="13"/>
      <c r="P135" s="13"/>
      <c r="Q135" s="13"/>
      <c r="R135" s="13"/>
      <c r="S135" s="13"/>
      <c r="T135" s="13"/>
      <c r="U135" s="41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</row>
    <row r="136" spans="1:48" ht="15.75" customHeight="1">
      <c r="A136" s="40"/>
      <c r="B136" s="13"/>
      <c r="C136" s="11"/>
      <c r="D136" s="13"/>
      <c r="E136" s="13"/>
      <c r="F136" s="13"/>
      <c r="G136" s="13"/>
      <c r="H136" s="13"/>
      <c r="I136" s="11"/>
      <c r="J136" s="11"/>
      <c r="K136" s="11"/>
      <c r="L136" s="11"/>
      <c r="M136" s="13"/>
      <c r="N136" s="13"/>
      <c r="O136" s="13"/>
      <c r="P136" s="13"/>
      <c r="Q136" s="13"/>
      <c r="R136" s="13"/>
      <c r="S136" s="13"/>
      <c r="T136" s="13"/>
      <c r="U136" s="41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</row>
    <row r="137" spans="1:48" ht="15.75" customHeight="1">
      <c r="A137" s="40"/>
      <c r="B137" s="13"/>
      <c r="C137" s="11"/>
      <c r="D137" s="13"/>
      <c r="E137" s="13"/>
      <c r="F137" s="13"/>
      <c r="G137" s="13"/>
      <c r="H137" s="13"/>
      <c r="I137" s="11"/>
      <c r="J137" s="11"/>
      <c r="K137" s="11"/>
      <c r="L137" s="11"/>
      <c r="M137" s="13"/>
      <c r="N137" s="13"/>
      <c r="O137" s="13"/>
      <c r="P137" s="13"/>
      <c r="Q137" s="13"/>
      <c r="R137" s="13"/>
      <c r="S137" s="13"/>
      <c r="T137" s="13"/>
      <c r="U137" s="41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</row>
    <row r="138" spans="1:48" ht="15.75" customHeight="1">
      <c r="A138" s="40"/>
      <c r="B138" s="13"/>
      <c r="C138" s="11"/>
      <c r="D138" s="13"/>
      <c r="E138" s="13"/>
      <c r="F138" s="13"/>
      <c r="G138" s="13"/>
      <c r="H138" s="13"/>
      <c r="I138" s="11"/>
      <c r="J138" s="11"/>
      <c r="K138" s="11"/>
      <c r="L138" s="11"/>
      <c r="M138" s="13"/>
      <c r="N138" s="13"/>
      <c r="O138" s="13"/>
      <c r="P138" s="13"/>
      <c r="Q138" s="13"/>
      <c r="R138" s="13"/>
      <c r="S138" s="13"/>
      <c r="T138" s="13"/>
      <c r="U138" s="41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</row>
    <row r="139" spans="1:48" ht="15.75" customHeight="1">
      <c r="A139" s="40"/>
      <c r="B139" s="13"/>
      <c r="C139" s="11"/>
      <c r="D139" s="13"/>
      <c r="E139" s="13"/>
      <c r="F139" s="13"/>
      <c r="G139" s="13"/>
      <c r="H139" s="13"/>
      <c r="I139" s="11"/>
      <c r="J139" s="11"/>
      <c r="K139" s="11"/>
      <c r="L139" s="11"/>
      <c r="M139" s="13"/>
      <c r="N139" s="13"/>
      <c r="O139" s="13"/>
      <c r="P139" s="13"/>
      <c r="Q139" s="13"/>
      <c r="R139" s="13"/>
      <c r="S139" s="13"/>
      <c r="T139" s="13"/>
      <c r="U139" s="41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</row>
    <row r="140" spans="1:48" ht="15.75" customHeight="1">
      <c r="A140" s="40"/>
      <c r="B140" s="13"/>
      <c r="C140" s="11"/>
      <c r="D140" s="13"/>
      <c r="E140" s="13"/>
      <c r="F140" s="13"/>
      <c r="G140" s="13"/>
      <c r="H140" s="13"/>
      <c r="I140" s="11"/>
      <c r="J140" s="11"/>
      <c r="K140" s="11"/>
      <c r="L140" s="11"/>
      <c r="M140" s="13"/>
      <c r="N140" s="13"/>
      <c r="O140" s="13"/>
      <c r="P140" s="13"/>
      <c r="Q140" s="13"/>
      <c r="R140" s="13"/>
      <c r="S140" s="13"/>
      <c r="T140" s="13"/>
      <c r="U140" s="41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</row>
    <row r="141" spans="1:48" ht="15.75" customHeight="1">
      <c r="A141" s="40"/>
      <c r="B141" s="13"/>
      <c r="C141" s="11"/>
      <c r="D141" s="13"/>
      <c r="E141" s="13"/>
      <c r="F141" s="13"/>
      <c r="G141" s="13"/>
      <c r="H141" s="13"/>
      <c r="I141" s="11"/>
      <c r="J141" s="11"/>
      <c r="K141" s="11"/>
      <c r="L141" s="11"/>
      <c r="M141" s="13"/>
      <c r="N141" s="13"/>
      <c r="O141" s="13"/>
      <c r="P141" s="13"/>
      <c r="Q141" s="13"/>
      <c r="R141" s="13"/>
      <c r="S141" s="13"/>
      <c r="T141" s="13"/>
      <c r="U141" s="41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</row>
    <row r="142" spans="1:48" ht="15.75" customHeight="1">
      <c r="A142" s="40"/>
      <c r="B142" s="13"/>
      <c r="C142" s="11"/>
      <c r="D142" s="13"/>
      <c r="E142" s="13"/>
      <c r="F142" s="13"/>
      <c r="G142" s="13"/>
      <c r="H142" s="13"/>
      <c r="I142" s="11"/>
      <c r="J142" s="11"/>
      <c r="K142" s="11"/>
      <c r="L142" s="11"/>
      <c r="M142" s="13"/>
      <c r="N142" s="13"/>
      <c r="O142" s="13"/>
      <c r="P142" s="13"/>
      <c r="Q142" s="13"/>
      <c r="R142" s="13"/>
      <c r="S142" s="13"/>
      <c r="T142" s="13"/>
      <c r="U142" s="41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</row>
    <row r="143" spans="1:48" ht="15.75" customHeight="1">
      <c r="A143" s="40"/>
      <c r="B143" s="13"/>
      <c r="C143" s="11"/>
      <c r="D143" s="13"/>
      <c r="E143" s="13"/>
      <c r="F143" s="13"/>
      <c r="G143" s="13"/>
      <c r="H143" s="13"/>
      <c r="I143" s="11"/>
      <c r="J143" s="11"/>
      <c r="K143" s="11"/>
      <c r="L143" s="11"/>
      <c r="M143" s="13"/>
      <c r="N143" s="13"/>
      <c r="O143" s="13"/>
      <c r="P143" s="13"/>
      <c r="Q143" s="13"/>
      <c r="R143" s="13"/>
      <c r="S143" s="13"/>
      <c r="T143" s="13"/>
      <c r="U143" s="41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</row>
    <row r="144" spans="1:48" ht="15.75" customHeight="1">
      <c r="A144" s="40"/>
      <c r="B144" s="13"/>
      <c r="C144" s="11"/>
      <c r="D144" s="13"/>
      <c r="E144" s="13"/>
      <c r="F144" s="13"/>
      <c r="G144" s="13"/>
      <c r="H144" s="13"/>
      <c r="I144" s="11"/>
      <c r="J144" s="11"/>
      <c r="K144" s="11"/>
      <c r="L144" s="11"/>
      <c r="M144" s="13"/>
      <c r="N144" s="13"/>
      <c r="O144" s="13"/>
      <c r="P144" s="13"/>
      <c r="Q144" s="13"/>
      <c r="R144" s="13"/>
      <c r="S144" s="13"/>
      <c r="T144" s="13"/>
      <c r="U144" s="41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</row>
    <row r="145" spans="1:48" ht="15.75" customHeight="1">
      <c r="A145" s="40"/>
      <c r="B145" s="13"/>
      <c r="C145" s="11"/>
      <c r="D145" s="13"/>
      <c r="E145" s="13"/>
      <c r="F145" s="13"/>
      <c r="G145" s="13"/>
      <c r="H145" s="13"/>
      <c r="I145" s="11"/>
      <c r="J145" s="11"/>
      <c r="K145" s="11"/>
      <c r="L145" s="11"/>
      <c r="M145" s="13"/>
      <c r="N145" s="13"/>
      <c r="O145" s="13"/>
      <c r="P145" s="13"/>
      <c r="Q145" s="13"/>
      <c r="R145" s="13"/>
      <c r="S145" s="13"/>
      <c r="T145" s="13"/>
      <c r="U145" s="41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</row>
    <row r="146" spans="1:48" ht="15.75" customHeight="1">
      <c r="A146" s="40"/>
      <c r="B146" s="13"/>
      <c r="C146" s="11"/>
      <c r="D146" s="13"/>
      <c r="E146" s="13"/>
      <c r="F146" s="13"/>
      <c r="G146" s="13"/>
      <c r="H146" s="13"/>
      <c r="I146" s="11"/>
      <c r="J146" s="11"/>
      <c r="K146" s="11"/>
      <c r="L146" s="11"/>
      <c r="M146" s="13"/>
      <c r="N146" s="13"/>
      <c r="O146" s="13"/>
      <c r="P146" s="13"/>
      <c r="Q146" s="13"/>
      <c r="R146" s="13"/>
      <c r="S146" s="13"/>
      <c r="T146" s="13"/>
      <c r="U146" s="41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</row>
    <row r="147" spans="1:48" ht="15.75" customHeight="1">
      <c r="A147" s="40"/>
      <c r="B147" s="13"/>
      <c r="C147" s="11"/>
      <c r="D147" s="13"/>
      <c r="E147" s="13"/>
      <c r="F147" s="13"/>
      <c r="G147" s="13"/>
      <c r="H147" s="13"/>
      <c r="I147" s="11"/>
      <c r="J147" s="11"/>
      <c r="K147" s="11"/>
      <c r="L147" s="11"/>
      <c r="M147" s="13"/>
      <c r="N147" s="13"/>
      <c r="O147" s="13"/>
      <c r="P147" s="13"/>
      <c r="Q147" s="13"/>
      <c r="R147" s="13"/>
      <c r="S147" s="13"/>
      <c r="T147" s="13"/>
      <c r="U147" s="41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</row>
    <row r="148" spans="1:48" ht="15.75" customHeight="1">
      <c r="A148" s="40"/>
      <c r="B148" s="13"/>
      <c r="C148" s="11"/>
      <c r="D148" s="13"/>
      <c r="E148" s="13"/>
      <c r="F148" s="13"/>
      <c r="G148" s="13"/>
      <c r="H148" s="13"/>
      <c r="I148" s="11"/>
      <c r="J148" s="11"/>
      <c r="K148" s="11"/>
      <c r="L148" s="11"/>
      <c r="M148" s="13"/>
      <c r="N148" s="13"/>
      <c r="O148" s="13"/>
      <c r="P148" s="13"/>
      <c r="Q148" s="13"/>
      <c r="R148" s="13"/>
      <c r="S148" s="13"/>
      <c r="T148" s="13"/>
      <c r="U148" s="41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</row>
    <row r="149" spans="1:48" ht="15.75" customHeight="1">
      <c r="A149" s="40"/>
      <c r="B149" s="13"/>
      <c r="C149" s="11"/>
      <c r="D149" s="13"/>
      <c r="E149" s="13"/>
      <c r="F149" s="13"/>
      <c r="G149" s="13"/>
      <c r="H149" s="13"/>
      <c r="I149" s="11"/>
      <c r="J149" s="11"/>
      <c r="K149" s="11"/>
      <c r="L149" s="11"/>
      <c r="M149" s="13"/>
      <c r="N149" s="13"/>
      <c r="O149" s="13"/>
      <c r="P149" s="13"/>
      <c r="Q149" s="13"/>
      <c r="R149" s="13"/>
      <c r="S149" s="13"/>
      <c r="T149" s="13"/>
      <c r="U149" s="41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</row>
    <row r="150" spans="1:48" ht="15.75" customHeight="1">
      <c r="A150" s="40"/>
      <c r="B150" s="13"/>
      <c r="C150" s="11"/>
      <c r="D150" s="13"/>
      <c r="E150" s="13"/>
      <c r="F150" s="13"/>
      <c r="G150" s="13"/>
      <c r="H150" s="13"/>
      <c r="I150" s="11"/>
      <c r="J150" s="11"/>
      <c r="K150" s="11"/>
      <c r="L150" s="11"/>
      <c r="M150" s="13"/>
      <c r="N150" s="13"/>
      <c r="O150" s="13"/>
      <c r="P150" s="13"/>
      <c r="Q150" s="13"/>
      <c r="R150" s="13"/>
      <c r="S150" s="13"/>
      <c r="T150" s="13"/>
      <c r="U150" s="41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</row>
    <row r="151" spans="1:48" ht="15.75" customHeight="1">
      <c r="A151" s="40"/>
      <c r="B151" s="13"/>
      <c r="C151" s="11"/>
      <c r="D151" s="13"/>
      <c r="E151" s="13"/>
      <c r="F151" s="13"/>
      <c r="G151" s="13"/>
      <c r="H151" s="13"/>
      <c r="I151" s="11"/>
      <c r="J151" s="11"/>
      <c r="K151" s="11"/>
      <c r="L151" s="11"/>
      <c r="M151" s="13"/>
      <c r="N151" s="13"/>
      <c r="O151" s="13"/>
      <c r="P151" s="13"/>
      <c r="Q151" s="13"/>
      <c r="R151" s="13"/>
      <c r="S151" s="13"/>
      <c r="T151" s="13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</row>
    <row r="152" spans="1:48" ht="15.75" customHeight="1">
      <c r="A152" s="40"/>
      <c r="B152" s="13"/>
      <c r="C152" s="11"/>
      <c r="D152" s="13"/>
      <c r="E152" s="13"/>
      <c r="F152" s="13"/>
      <c r="G152" s="13"/>
      <c r="H152" s="13"/>
      <c r="I152" s="11"/>
      <c r="J152" s="11"/>
      <c r="K152" s="11"/>
      <c r="L152" s="11"/>
      <c r="M152" s="13"/>
      <c r="N152" s="13"/>
      <c r="O152" s="13"/>
      <c r="P152" s="13"/>
      <c r="Q152" s="13"/>
      <c r="R152" s="13"/>
      <c r="S152" s="13"/>
      <c r="T152" s="13"/>
      <c r="U152" s="41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</row>
    <row r="153" spans="1:48" ht="15.75" customHeight="1">
      <c r="A153" s="40"/>
      <c r="B153" s="13"/>
      <c r="C153" s="11"/>
      <c r="D153" s="13"/>
      <c r="E153" s="13"/>
      <c r="F153" s="13"/>
      <c r="G153" s="13"/>
      <c r="H153" s="13"/>
      <c r="I153" s="11"/>
      <c r="J153" s="11"/>
      <c r="K153" s="11"/>
      <c r="L153" s="11"/>
      <c r="M153" s="13"/>
      <c r="N153" s="13"/>
      <c r="O153" s="13"/>
      <c r="P153" s="13"/>
      <c r="Q153" s="13"/>
      <c r="R153" s="13"/>
      <c r="S153" s="13"/>
      <c r="T153" s="13"/>
      <c r="U153" s="41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</row>
    <row r="154" spans="1:48" ht="15.75" customHeight="1">
      <c r="A154" s="40"/>
      <c r="B154" s="13"/>
      <c r="C154" s="11"/>
      <c r="D154" s="13"/>
      <c r="E154" s="13"/>
      <c r="F154" s="13"/>
      <c r="G154" s="13"/>
      <c r="H154" s="13"/>
      <c r="I154" s="11"/>
      <c r="J154" s="11"/>
      <c r="K154" s="11"/>
      <c r="L154" s="11"/>
      <c r="M154" s="13"/>
      <c r="N154" s="13"/>
      <c r="O154" s="13"/>
      <c r="P154" s="13"/>
      <c r="Q154" s="13"/>
      <c r="R154" s="13"/>
      <c r="S154" s="13"/>
      <c r="T154" s="13"/>
      <c r="U154" s="41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</row>
    <row r="155" spans="1:48" ht="15.75" customHeight="1">
      <c r="A155" s="40"/>
      <c r="B155" s="13"/>
      <c r="C155" s="11"/>
      <c r="D155" s="13"/>
      <c r="E155" s="13"/>
      <c r="F155" s="13"/>
      <c r="G155" s="13"/>
      <c r="H155" s="13"/>
      <c r="I155" s="11"/>
      <c r="J155" s="11"/>
      <c r="K155" s="11"/>
      <c r="L155" s="11"/>
      <c r="M155" s="13"/>
      <c r="N155" s="13"/>
      <c r="O155" s="13"/>
      <c r="P155" s="13"/>
      <c r="Q155" s="13"/>
      <c r="R155" s="13"/>
      <c r="S155" s="13"/>
      <c r="T155" s="13"/>
      <c r="U155" s="41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</row>
    <row r="156" spans="1:48" ht="15.75" customHeight="1">
      <c r="A156" s="40"/>
      <c r="B156" s="13"/>
      <c r="C156" s="11"/>
      <c r="D156" s="13"/>
      <c r="E156" s="13"/>
      <c r="F156" s="13"/>
      <c r="G156" s="13"/>
      <c r="H156" s="13"/>
      <c r="I156" s="11"/>
      <c r="J156" s="11"/>
      <c r="K156" s="11"/>
      <c r="L156" s="11"/>
      <c r="M156" s="13"/>
      <c r="N156" s="13"/>
      <c r="O156" s="13"/>
      <c r="P156" s="13"/>
      <c r="Q156" s="13"/>
      <c r="R156" s="13"/>
      <c r="S156" s="13"/>
      <c r="T156" s="13"/>
      <c r="U156" s="41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</row>
    <row r="157" spans="1:48" ht="15.75" customHeight="1">
      <c r="A157" s="40"/>
      <c r="B157" s="13"/>
      <c r="C157" s="11"/>
      <c r="D157" s="13"/>
      <c r="E157" s="13"/>
      <c r="F157" s="13"/>
      <c r="G157" s="13"/>
      <c r="H157" s="13"/>
      <c r="I157" s="11"/>
      <c r="J157" s="11"/>
      <c r="K157" s="11"/>
      <c r="L157" s="11"/>
      <c r="M157" s="13"/>
      <c r="N157" s="13"/>
      <c r="O157" s="13"/>
      <c r="P157" s="13"/>
      <c r="Q157" s="13"/>
      <c r="R157" s="13"/>
      <c r="S157" s="13"/>
      <c r="T157" s="13"/>
      <c r="U157" s="41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</row>
    <row r="158" spans="1:48" ht="15.75" customHeight="1">
      <c r="A158" s="40"/>
      <c r="B158" s="13"/>
      <c r="C158" s="11"/>
      <c r="D158" s="13"/>
      <c r="E158" s="13"/>
      <c r="F158" s="13"/>
      <c r="G158" s="13"/>
      <c r="H158" s="13"/>
      <c r="I158" s="11"/>
      <c r="J158" s="11"/>
      <c r="K158" s="11"/>
      <c r="L158" s="11"/>
      <c r="M158" s="13"/>
      <c r="N158" s="13"/>
      <c r="O158" s="13"/>
      <c r="P158" s="13"/>
      <c r="Q158" s="13"/>
      <c r="R158" s="13"/>
      <c r="S158" s="13"/>
      <c r="T158" s="13"/>
      <c r="U158" s="41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</row>
    <row r="159" spans="1:48" ht="15.75" customHeight="1">
      <c r="A159" s="40"/>
      <c r="B159" s="13"/>
      <c r="C159" s="11"/>
      <c r="D159" s="13"/>
      <c r="E159" s="13"/>
      <c r="F159" s="13"/>
      <c r="G159" s="13"/>
      <c r="H159" s="13"/>
      <c r="I159" s="11"/>
      <c r="J159" s="11"/>
      <c r="K159" s="11"/>
      <c r="L159" s="11"/>
      <c r="M159" s="13"/>
      <c r="N159" s="13"/>
      <c r="O159" s="13"/>
      <c r="P159" s="13"/>
      <c r="Q159" s="13"/>
      <c r="R159" s="13"/>
      <c r="S159" s="13"/>
      <c r="T159" s="13"/>
      <c r="U159" s="41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</row>
    <row r="160" spans="1:48" ht="15.75" customHeight="1">
      <c r="A160" s="40"/>
      <c r="B160" s="13"/>
      <c r="C160" s="11"/>
      <c r="D160" s="13"/>
      <c r="E160" s="13"/>
      <c r="F160" s="13"/>
      <c r="G160" s="13"/>
      <c r="H160" s="13"/>
      <c r="I160" s="11"/>
      <c r="J160" s="11"/>
      <c r="K160" s="11"/>
      <c r="L160" s="11"/>
      <c r="M160" s="13"/>
      <c r="N160" s="13"/>
      <c r="O160" s="13"/>
      <c r="P160" s="13"/>
      <c r="Q160" s="13"/>
      <c r="R160" s="13"/>
      <c r="S160" s="13"/>
      <c r="T160" s="13"/>
      <c r="U160" s="41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</row>
    <row r="161" spans="1:48" ht="15.75" customHeight="1">
      <c r="A161" s="40"/>
      <c r="B161" s="13"/>
      <c r="C161" s="11"/>
      <c r="D161" s="13"/>
      <c r="E161" s="13"/>
      <c r="F161" s="13"/>
      <c r="G161" s="13"/>
      <c r="H161" s="13"/>
      <c r="I161" s="11"/>
      <c r="J161" s="11"/>
      <c r="K161" s="11"/>
      <c r="L161" s="11"/>
      <c r="M161" s="13"/>
      <c r="N161" s="13"/>
      <c r="O161" s="13"/>
      <c r="P161" s="13"/>
      <c r="Q161" s="13"/>
      <c r="R161" s="13"/>
      <c r="S161" s="13"/>
      <c r="T161" s="13"/>
      <c r="U161" s="41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</row>
    <row r="162" spans="1:48" ht="15.75" customHeight="1">
      <c r="A162" s="40"/>
      <c r="B162" s="13"/>
      <c r="C162" s="11"/>
      <c r="D162" s="13"/>
      <c r="E162" s="13"/>
      <c r="F162" s="13"/>
      <c r="G162" s="13"/>
      <c r="H162" s="13"/>
      <c r="I162" s="11"/>
      <c r="J162" s="11"/>
      <c r="K162" s="11"/>
      <c r="L162" s="11"/>
      <c r="M162" s="13"/>
      <c r="N162" s="13"/>
      <c r="O162" s="13"/>
      <c r="P162" s="13"/>
      <c r="Q162" s="13"/>
      <c r="R162" s="13"/>
      <c r="S162" s="13"/>
      <c r="T162" s="13"/>
      <c r="U162" s="41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</row>
    <row r="163" spans="1:48" ht="15.75" customHeight="1">
      <c r="A163" s="40"/>
      <c r="B163" s="13"/>
      <c r="C163" s="11"/>
      <c r="D163" s="13"/>
      <c r="E163" s="13"/>
      <c r="F163" s="13"/>
      <c r="G163" s="13"/>
      <c r="H163" s="13"/>
      <c r="I163" s="11"/>
      <c r="J163" s="11"/>
      <c r="K163" s="11"/>
      <c r="L163" s="11"/>
      <c r="M163" s="13"/>
      <c r="N163" s="13"/>
      <c r="O163" s="13"/>
      <c r="P163" s="13"/>
      <c r="Q163" s="13"/>
      <c r="R163" s="13"/>
      <c r="S163" s="13"/>
      <c r="T163" s="13"/>
      <c r="U163" s="41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</row>
    <row r="164" spans="1:48" ht="15.75" customHeight="1">
      <c r="A164" s="40"/>
      <c r="B164" s="13"/>
      <c r="C164" s="11"/>
      <c r="D164" s="13"/>
      <c r="E164" s="13"/>
      <c r="F164" s="13"/>
      <c r="G164" s="13"/>
      <c r="H164" s="13"/>
      <c r="I164" s="11"/>
      <c r="J164" s="11"/>
      <c r="K164" s="11"/>
      <c r="L164" s="11"/>
      <c r="M164" s="13"/>
      <c r="N164" s="13"/>
      <c r="O164" s="13"/>
      <c r="P164" s="13"/>
      <c r="Q164" s="13"/>
      <c r="R164" s="13"/>
      <c r="S164" s="13"/>
      <c r="T164" s="13"/>
      <c r="U164" s="41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</row>
    <row r="165" spans="1:48" ht="15.75" customHeight="1">
      <c r="A165" s="40"/>
      <c r="B165" s="13"/>
      <c r="C165" s="11"/>
      <c r="D165" s="13"/>
      <c r="E165" s="13"/>
      <c r="F165" s="13"/>
      <c r="G165" s="13"/>
      <c r="H165" s="13"/>
      <c r="I165" s="11"/>
      <c r="J165" s="11"/>
      <c r="K165" s="11"/>
      <c r="L165" s="11"/>
      <c r="M165" s="13"/>
      <c r="N165" s="13"/>
      <c r="O165" s="13"/>
      <c r="P165" s="13"/>
      <c r="Q165" s="13"/>
      <c r="R165" s="13"/>
      <c r="S165" s="13"/>
      <c r="T165" s="13"/>
      <c r="U165" s="41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</row>
    <row r="166" spans="1:48" ht="15.75" customHeight="1">
      <c r="A166" s="40"/>
      <c r="B166" s="13"/>
      <c r="C166" s="11"/>
      <c r="D166" s="13"/>
      <c r="E166" s="13"/>
      <c r="F166" s="13"/>
      <c r="G166" s="13"/>
      <c r="H166" s="13"/>
      <c r="I166" s="11"/>
      <c r="J166" s="11"/>
      <c r="K166" s="11"/>
      <c r="L166" s="11"/>
      <c r="M166" s="13"/>
      <c r="N166" s="13"/>
      <c r="O166" s="13"/>
      <c r="P166" s="13"/>
      <c r="Q166" s="13"/>
      <c r="R166" s="13"/>
      <c r="S166" s="13"/>
      <c r="T166" s="13"/>
      <c r="U166" s="41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</row>
    <row r="167" spans="1:48" ht="15.75" customHeight="1">
      <c r="A167" s="40"/>
      <c r="B167" s="13"/>
      <c r="C167" s="11"/>
      <c r="D167" s="13"/>
      <c r="E167" s="13"/>
      <c r="F167" s="13"/>
      <c r="G167" s="13"/>
      <c r="H167" s="13"/>
      <c r="I167" s="11"/>
      <c r="J167" s="11"/>
      <c r="K167" s="11"/>
      <c r="L167" s="11"/>
      <c r="M167" s="13"/>
      <c r="N167" s="13"/>
      <c r="O167" s="13"/>
      <c r="P167" s="13"/>
      <c r="Q167" s="13"/>
      <c r="R167" s="13"/>
      <c r="S167" s="13"/>
      <c r="T167" s="13"/>
      <c r="U167" s="41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</row>
    <row r="168" spans="1:48" ht="15.75" customHeight="1">
      <c r="A168" s="40"/>
      <c r="B168" s="13"/>
      <c r="C168" s="11"/>
      <c r="D168" s="13"/>
      <c r="E168" s="13"/>
      <c r="F168" s="13"/>
      <c r="G168" s="13"/>
      <c r="H168" s="13"/>
      <c r="I168" s="11"/>
      <c r="J168" s="11"/>
      <c r="K168" s="11"/>
      <c r="L168" s="11"/>
      <c r="M168" s="13"/>
      <c r="N168" s="13"/>
      <c r="O168" s="13"/>
      <c r="P168" s="13"/>
      <c r="Q168" s="13"/>
      <c r="R168" s="13"/>
      <c r="S168" s="13"/>
      <c r="T168" s="13"/>
      <c r="U168" s="41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</row>
    <row r="169" spans="1:48" ht="15.75" customHeight="1">
      <c r="A169" s="40"/>
      <c r="B169" s="13"/>
      <c r="C169" s="11"/>
      <c r="D169" s="13"/>
      <c r="E169" s="13"/>
      <c r="F169" s="13"/>
      <c r="G169" s="13"/>
      <c r="H169" s="13"/>
      <c r="I169" s="11"/>
      <c r="J169" s="11"/>
      <c r="K169" s="11"/>
      <c r="L169" s="11"/>
      <c r="M169" s="13"/>
      <c r="N169" s="13"/>
      <c r="O169" s="13"/>
      <c r="P169" s="13"/>
      <c r="Q169" s="13"/>
      <c r="R169" s="13"/>
      <c r="S169" s="13"/>
      <c r="T169" s="13"/>
      <c r="U169" s="41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</row>
    <row r="170" spans="1:48" ht="15.75" customHeight="1">
      <c r="A170" s="40"/>
      <c r="B170" s="13"/>
      <c r="C170" s="11"/>
      <c r="D170" s="13"/>
      <c r="E170" s="13"/>
      <c r="F170" s="13"/>
      <c r="G170" s="13"/>
      <c r="H170" s="13"/>
      <c r="I170" s="11"/>
      <c r="J170" s="11"/>
      <c r="K170" s="11"/>
      <c r="L170" s="11"/>
      <c r="M170" s="13"/>
      <c r="N170" s="13"/>
      <c r="O170" s="13"/>
      <c r="P170" s="13"/>
      <c r="Q170" s="13"/>
      <c r="R170" s="13"/>
      <c r="S170" s="13"/>
      <c r="T170" s="13"/>
      <c r="U170" s="41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</row>
    <row r="171" spans="1:48" ht="15.75" customHeight="1">
      <c r="A171" s="40"/>
      <c r="B171" s="13"/>
      <c r="C171" s="11"/>
      <c r="D171" s="13"/>
      <c r="E171" s="13"/>
      <c r="F171" s="13"/>
      <c r="G171" s="13"/>
      <c r="H171" s="13"/>
      <c r="I171" s="11"/>
      <c r="J171" s="11"/>
      <c r="K171" s="11"/>
      <c r="L171" s="11"/>
      <c r="M171" s="13"/>
      <c r="N171" s="13"/>
      <c r="O171" s="13"/>
      <c r="P171" s="13"/>
      <c r="Q171" s="13"/>
      <c r="R171" s="13"/>
      <c r="S171" s="13"/>
      <c r="T171" s="13"/>
      <c r="U171" s="41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</row>
    <row r="172" spans="1:48" ht="15.75" customHeight="1">
      <c r="A172" s="40"/>
      <c r="B172" s="13"/>
      <c r="C172" s="11"/>
      <c r="D172" s="13"/>
      <c r="E172" s="13"/>
      <c r="F172" s="13"/>
      <c r="G172" s="13"/>
      <c r="H172" s="13"/>
      <c r="I172" s="11"/>
      <c r="J172" s="11"/>
      <c r="K172" s="11"/>
      <c r="L172" s="11"/>
      <c r="M172" s="13"/>
      <c r="N172" s="13"/>
      <c r="O172" s="13"/>
      <c r="P172" s="13"/>
      <c r="Q172" s="13"/>
      <c r="R172" s="13"/>
      <c r="S172" s="13"/>
      <c r="T172" s="13"/>
      <c r="U172" s="41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</row>
    <row r="173" spans="1:48" ht="15.75" customHeight="1">
      <c r="A173" s="40"/>
      <c r="B173" s="13"/>
      <c r="C173" s="11"/>
      <c r="D173" s="13"/>
      <c r="E173" s="13"/>
      <c r="F173" s="13"/>
      <c r="G173" s="13"/>
      <c r="H173" s="13"/>
      <c r="I173" s="11"/>
      <c r="J173" s="11"/>
      <c r="K173" s="11"/>
      <c r="L173" s="11"/>
      <c r="M173" s="13"/>
      <c r="N173" s="13"/>
      <c r="O173" s="13"/>
      <c r="P173" s="13"/>
      <c r="Q173" s="13"/>
      <c r="R173" s="13"/>
      <c r="S173" s="13"/>
      <c r="T173" s="13"/>
      <c r="U173" s="41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</row>
    <row r="174" spans="1:48" ht="15.75" customHeight="1">
      <c r="A174" s="40"/>
      <c r="B174" s="13"/>
      <c r="C174" s="11"/>
      <c r="D174" s="13"/>
      <c r="E174" s="13"/>
      <c r="F174" s="13"/>
      <c r="G174" s="13"/>
      <c r="H174" s="13"/>
      <c r="I174" s="11"/>
      <c r="J174" s="11"/>
      <c r="K174" s="11"/>
      <c r="L174" s="11"/>
      <c r="M174" s="13"/>
      <c r="N174" s="13"/>
      <c r="O174" s="13"/>
      <c r="P174" s="13"/>
      <c r="Q174" s="13"/>
      <c r="R174" s="13"/>
      <c r="S174" s="13"/>
      <c r="T174" s="13"/>
      <c r="U174" s="41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</row>
    <row r="175" spans="1:48" ht="15.75" customHeight="1">
      <c r="A175" s="40"/>
      <c r="B175" s="13"/>
      <c r="C175" s="11"/>
      <c r="D175" s="13"/>
      <c r="E175" s="13"/>
      <c r="F175" s="13"/>
      <c r="G175" s="13"/>
      <c r="H175" s="13"/>
      <c r="I175" s="11"/>
      <c r="J175" s="11"/>
      <c r="K175" s="11"/>
      <c r="L175" s="11"/>
      <c r="M175" s="13"/>
      <c r="N175" s="13"/>
      <c r="O175" s="13"/>
      <c r="P175" s="13"/>
      <c r="Q175" s="13"/>
      <c r="R175" s="13"/>
      <c r="S175" s="13"/>
      <c r="T175" s="13"/>
      <c r="U175" s="41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</row>
    <row r="176" spans="1:48" ht="15.75" customHeight="1">
      <c r="A176" s="40"/>
      <c r="B176" s="13"/>
      <c r="C176" s="11"/>
      <c r="D176" s="13"/>
      <c r="E176" s="13"/>
      <c r="F176" s="13"/>
      <c r="G176" s="13"/>
      <c r="H176" s="13"/>
      <c r="I176" s="11"/>
      <c r="J176" s="11"/>
      <c r="K176" s="11"/>
      <c r="L176" s="11"/>
      <c r="M176" s="13"/>
      <c r="N176" s="13"/>
      <c r="O176" s="13"/>
      <c r="P176" s="13"/>
      <c r="Q176" s="13"/>
      <c r="R176" s="13"/>
      <c r="S176" s="13"/>
      <c r="T176" s="13"/>
      <c r="U176" s="41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</row>
    <row r="177" spans="1:48" ht="15.75" customHeight="1">
      <c r="A177" s="40"/>
      <c r="B177" s="13"/>
      <c r="C177" s="11"/>
      <c r="D177" s="13"/>
      <c r="E177" s="13"/>
      <c r="F177" s="13"/>
      <c r="G177" s="13"/>
      <c r="H177" s="13"/>
      <c r="I177" s="11"/>
      <c r="J177" s="11"/>
      <c r="K177" s="11"/>
      <c r="L177" s="11"/>
      <c r="M177" s="13"/>
      <c r="N177" s="13"/>
      <c r="O177" s="13"/>
      <c r="P177" s="13"/>
      <c r="Q177" s="13"/>
      <c r="R177" s="13"/>
      <c r="S177" s="13"/>
      <c r="T177" s="13"/>
      <c r="U177" s="41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</row>
    <row r="178" spans="1:48" ht="15.75" customHeight="1">
      <c r="A178" s="40"/>
      <c r="B178" s="13"/>
      <c r="C178" s="11"/>
      <c r="D178" s="13"/>
      <c r="E178" s="13"/>
      <c r="F178" s="13"/>
      <c r="G178" s="13"/>
      <c r="H178" s="13"/>
      <c r="I178" s="11"/>
      <c r="J178" s="11"/>
      <c r="K178" s="11"/>
      <c r="L178" s="11"/>
      <c r="M178" s="13"/>
      <c r="N178" s="13"/>
      <c r="O178" s="13"/>
      <c r="P178" s="13"/>
      <c r="Q178" s="13"/>
      <c r="R178" s="13"/>
      <c r="S178" s="13"/>
      <c r="T178" s="13"/>
      <c r="U178" s="41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</row>
    <row r="179" spans="1:48" ht="15.75" customHeight="1">
      <c r="A179" s="40"/>
      <c r="B179" s="13"/>
      <c r="C179" s="11"/>
      <c r="D179" s="13"/>
      <c r="E179" s="13"/>
      <c r="F179" s="13"/>
      <c r="G179" s="13"/>
      <c r="H179" s="13"/>
      <c r="I179" s="11"/>
      <c r="J179" s="11"/>
      <c r="K179" s="11"/>
      <c r="L179" s="11"/>
      <c r="M179" s="13"/>
      <c r="N179" s="13"/>
      <c r="O179" s="13"/>
      <c r="P179" s="13"/>
      <c r="Q179" s="13"/>
      <c r="R179" s="13"/>
      <c r="S179" s="13"/>
      <c r="T179" s="13"/>
      <c r="U179" s="41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</row>
    <row r="180" spans="1:48" ht="15.75" customHeight="1">
      <c r="A180" s="40"/>
      <c r="B180" s="13"/>
      <c r="C180" s="11"/>
      <c r="D180" s="13"/>
      <c r="E180" s="13"/>
      <c r="F180" s="13"/>
      <c r="G180" s="13"/>
      <c r="H180" s="13"/>
      <c r="I180" s="11"/>
      <c r="J180" s="11"/>
      <c r="K180" s="11"/>
      <c r="L180" s="11"/>
      <c r="M180" s="13"/>
      <c r="N180" s="13"/>
      <c r="O180" s="13"/>
      <c r="P180" s="13"/>
      <c r="Q180" s="13"/>
      <c r="R180" s="13"/>
      <c r="S180" s="13"/>
      <c r="T180" s="13"/>
      <c r="U180" s="41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</row>
    <row r="181" spans="1:48" ht="15.75" customHeight="1">
      <c r="A181" s="40"/>
      <c r="B181" s="13"/>
      <c r="C181" s="11"/>
      <c r="D181" s="13"/>
      <c r="E181" s="13"/>
      <c r="F181" s="13"/>
      <c r="G181" s="13"/>
      <c r="H181" s="13"/>
      <c r="I181" s="11"/>
      <c r="J181" s="11"/>
      <c r="K181" s="11"/>
      <c r="L181" s="11"/>
      <c r="M181" s="13"/>
      <c r="N181" s="13"/>
      <c r="O181" s="13"/>
      <c r="P181" s="13"/>
      <c r="Q181" s="13"/>
      <c r="R181" s="13"/>
      <c r="S181" s="13"/>
      <c r="T181" s="13"/>
      <c r="U181" s="41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</row>
    <row r="182" spans="1:48" ht="15.75" customHeight="1">
      <c r="A182" s="40"/>
      <c r="B182" s="13"/>
      <c r="C182" s="11"/>
      <c r="D182" s="13"/>
      <c r="E182" s="13"/>
      <c r="F182" s="13"/>
      <c r="G182" s="13"/>
      <c r="H182" s="13"/>
      <c r="I182" s="11"/>
      <c r="J182" s="11"/>
      <c r="K182" s="11"/>
      <c r="L182" s="11"/>
      <c r="M182" s="13"/>
      <c r="N182" s="13"/>
      <c r="O182" s="13"/>
      <c r="P182" s="13"/>
      <c r="Q182" s="13"/>
      <c r="R182" s="13"/>
      <c r="S182" s="13"/>
      <c r="T182" s="13"/>
      <c r="U182" s="41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</row>
    <row r="183" spans="1:48" ht="15.75" customHeight="1">
      <c r="A183" s="40"/>
      <c r="B183" s="13"/>
      <c r="C183" s="11"/>
      <c r="D183" s="13"/>
      <c r="E183" s="13"/>
      <c r="F183" s="13"/>
      <c r="G183" s="13"/>
      <c r="H183" s="13"/>
      <c r="I183" s="11"/>
      <c r="J183" s="11"/>
      <c r="K183" s="11"/>
      <c r="L183" s="11"/>
      <c r="M183" s="13"/>
      <c r="N183" s="13"/>
      <c r="O183" s="13"/>
      <c r="P183" s="13"/>
      <c r="Q183" s="13"/>
      <c r="R183" s="13"/>
      <c r="S183" s="13"/>
      <c r="T183" s="13"/>
      <c r="U183" s="41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</row>
    <row r="184" spans="1:48" ht="15.75" customHeight="1">
      <c r="A184" s="40"/>
      <c r="B184" s="13"/>
      <c r="C184" s="11"/>
      <c r="D184" s="13"/>
      <c r="E184" s="13"/>
      <c r="F184" s="13"/>
      <c r="G184" s="13"/>
      <c r="H184" s="13"/>
      <c r="I184" s="11"/>
      <c r="J184" s="11"/>
      <c r="K184" s="11"/>
      <c r="L184" s="11"/>
      <c r="M184" s="13"/>
      <c r="N184" s="13"/>
      <c r="O184" s="13"/>
      <c r="P184" s="13"/>
      <c r="Q184" s="13"/>
      <c r="R184" s="13"/>
      <c r="S184" s="13"/>
      <c r="T184" s="13"/>
      <c r="U184" s="41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</row>
    <row r="185" spans="1:48" ht="15.75" customHeight="1">
      <c r="A185" s="40"/>
      <c r="B185" s="13"/>
      <c r="C185" s="11"/>
      <c r="D185" s="13"/>
      <c r="E185" s="13"/>
      <c r="F185" s="13"/>
      <c r="G185" s="13"/>
      <c r="H185" s="13"/>
      <c r="I185" s="11"/>
      <c r="J185" s="11"/>
      <c r="K185" s="11"/>
      <c r="L185" s="11"/>
      <c r="M185" s="13"/>
      <c r="N185" s="13"/>
      <c r="O185" s="13"/>
      <c r="P185" s="13"/>
      <c r="Q185" s="13"/>
      <c r="R185" s="13"/>
      <c r="S185" s="13"/>
      <c r="T185" s="13"/>
      <c r="U185" s="41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</row>
    <row r="186" spans="1:48" ht="15.75" customHeight="1">
      <c r="A186" s="40"/>
      <c r="B186" s="13"/>
      <c r="C186" s="11"/>
      <c r="D186" s="13"/>
      <c r="E186" s="13"/>
      <c r="F186" s="13"/>
      <c r="G186" s="13"/>
      <c r="H186" s="13"/>
      <c r="I186" s="11"/>
      <c r="J186" s="11"/>
      <c r="K186" s="11"/>
      <c r="L186" s="11"/>
      <c r="M186" s="13"/>
      <c r="N186" s="13"/>
      <c r="O186" s="13"/>
      <c r="P186" s="13"/>
      <c r="Q186" s="13"/>
      <c r="R186" s="13"/>
      <c r="S186" s="13"/>
      <c r="T186" s="13"/>
      <c r="U186" s="41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</row>
    <row r="187" spans="1:48" ht="15.75" customHeight="1">
      <c r="A187" s="40"/>
      <c r="B187" s="13"/>
      <c r="C187" s="11"/>
      <c r="D187" s="13"/>
      <c r="E187" s="13"/>
      <c r="F187" s="13"/>
      <c r="G187" s="13"/>
      <c r="H187" s="13"/>
      <c r="I187" s="11"/>
      <c r="J187" s="11"/>
      <c r="K187" s="11"/>
      <c r="L187" s="11"/>
      <c r="M187" s="13"/>
      <c r="N187" s="13"/>
      <c r="O187" s="13"/>
      <c r="P187" s="13"/>
      <c r="Q187" s="13"/>
      <c r="R187" s="13"/>
      <c r="S187" s="13"/>
      <c r="T187" s="13"/>
      <c r="U187" s="41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</row>
    <row r="188" spans="1:48" ht="15.75" customHeight="1">
      <c r="A188" s="40"/>
      <c r="B188" s="13"/>
      <c r="C188" s="11"/>
      <c r="D188" s="13"/>
      <c r="E188" s="13"/>
      <c r="F188" s="13"/>
      <c r="G188" s="13"/>
      <c r="H188" s="13"/>
      <c r="I188" s="11"/>
      <c r="J188" s="11"/>
      <c r="K188" s="11"/>
      <c r="L188" s="11"/>
      <c r="M188" s="13"/>
      <c r="N188" s="13"/>
      <c r="O188" s="13"/>
      <c r="P188" s="13"/>
      <c r="Q188" s="13"/>
      <c r="R188" s="13"/>
      <c r="S188" s="13"/>
      <c r="T188" s="13"/>
      <c r="U188" s="41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</row>
    <row r="189" spans="1:48" ht="15.75" customHeight="1">
      <c r="A189" s="40"/>
      <c r="B189" s="13"/>
      <c r="C189" s="11"/>
      <c r="D189" s="13"/>
      <c r="E189" s="13"/>
      <c r="F189" s="13"/>
      <c r="G189" s="13"/>
      <c r="H189" s="13"/>
      <c r="I189" s="11"/>
      <c r="J189" s="11"/>
      <c r="K189" s="11"/>
      <c r="L189" s="11"/>
      <c r="M189" s="13"/>
      <c r="N189" s="13"/>
      <c r="O189" s="13"/>
      <c r="P189" s="13"/>
      <c r="Q189" s="13"/>
      <c r="R189" s="13"/>
      <c r="S189" s="13"/>
      <c r="T189" s="13"/>
      <c r="U189" s="41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</row>
    <row r="190" spans="1:48" ht="15.75" customHeight="1">
      <c r="A190" s="40"/>
      <c r="B190" s="13"/>
      <c r="C190" s="11"/>
      <c r="D190" s="13"/>
      <c r="E190" s="13"/>
      <c r="F190" s="13"/>
      <c r="G190" s="13"/>
      <c r="H190" s="13"/>
      <c r="I190" s="11"/>
      <c r="J190" s="11"/>
      <c r="K190" s="11"/>
      <c r="L190" s="11"/>
      <c r="M190" s="13"/>
      <c r="N190" s="13"/>
      <c r="O190" s="13"/>
      <c r="P190" s="13"/>
      <c r="Q190" s="13"/>
      <c r="R190" s="13"/>
      <c r="S190" s="13"/>
      <c r="T190" s="13"/>
      <c r="U190" s="41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</row>
    <row r="191" spans="1:48" ht="15.75" customHeight="1">
      <c r="A191" s="40"/>
      <c r="B191" s="13"/>
      <c r="C191" s="11"/>
      <c r="D191" s="13"/>
      <c r="E191" s="13"/>
      <c r="F191" s="13"/>
      <c r="G191" s="13"/>
      <c r="H191" s="13"/>
      <c r="I191" s="11"/>
      <c r="J191" s="11"/>
      <c r="K191" s="11"/>
      <c r="L191" s="11"/>
      <c r="M191" s="13"/>
      <c r="N191" s="13"/>
      <c r="O191" s="13"/>
      <c r="P191" s="13"/>
      <c r="Q191" s="13"/>
      <c r="R191" s="13"/>
      <c r="S191" s="13"/>
      <c r="T191" s="13"/>
      <c r="U191" s="41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</row>
    <row r="192" spans="1:48" ht="15.75" customHeight="1">
      <c r="A192" s="40"/>
      <c r="B192" s="13"/>
      <c r="C192" s="11"/>
      <c r="D192" s="13"/>
      <c r="E192" s="13"/>
      <c r="F192" s="13"/>
      <c r="G192" s="13"/>
      <c r="H192" s="13"/>
      <c r="I192" s="11"/>
      <c r="J192" s="11"/>
      <c r="K192" s="11"/>
      <c r="L192" s="11"/>
      <c r="M192" s="13"/>
      <c r="N192" s="13"/>
      <c r="O192" s="13"/>
      <c r="P192" s="13"/>
      <c r="Q192" s="13"/>
      <c r="R192" s="13"/>
      <c r="S192" s="13"/>
      <c r="T192" s="13"/>
      <c r="U192" s="41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</row>
    <row r="193" spans="1:48" ht="15.75" customHeight="1">
      <c r="A193" s="40"/>
      <c r="B193" s="13"/>
      <c r="C193" s="11"/>
      <c r="D193" s="13"/>
      <c r="E193" s="13"/>
      <c r="F193" s="13"/>
      <c r="G193" s="13"/>
      <c r="H193" s="13"/>
      <c r="I193" s="11"/>
      <c r="J193" s="11"/>
      <c r="K193" s="11"/>
      <c r="L193" s="11"/>
      <c r="M193" s="13"/>
      <c r="N193" s="13"/>
      <c r="O193" s="13"/>
      <c r="P193" s="13"/>
      <c r="Q193" s="13"/>
      <c r="R193" s="13"/>
      <c r="S193" s="13"/>
      <c r="T193" s="13"/>
      <c r="U193" s="41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</row>
    <row r="194" spans="1:48" ht="15.75" customHeight="1">
      <c r="A194" s="40"/>
      <c r="B194" s="13"/>
      <c r="C194" s="11"/>
      <c r="D194" s="13"/>
      <c r="E194" s="13"/>
      <c r="F194" s="13"/>
      <c r="G194" s="13"/>
      <c r="H194" s="13"/>
      <c r="I194" s="11"/>
      <c r="J194" s="11"/>
      <c r="K194" s="11"/>
      <c r="L194" s="11"/>
      <c r="M194" s="13"/>
      <c r="N194" s="13"/>
      <c r="O194" s="13"/>
      <c r="P194" s="13"/>
      <c r="Q194" s="13"/>
      <c r="R194" s="13"/>
      <c r="S194" s="13"/>
      <c r="T194" s="13"/>
      <c r="U194" s="41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</row>
    <row r="195" spans="1:48" ht="15.75" customHeight="1">
      <c r="A195" s="40"/>
      <c r="B195" s="13"/>
      <c r="C195" s="11"/>
      <c r="D195" s="13"/>
      <c r="E195" s="13"/>
      <c r="F195" s="13"/>
      <c r="G195" s="13"/>
      <c r="H195" s="13"/>
      <c r="I195" s="11"/>
      <c r="J195" s="11"/>
      <c r="K195" s="11"/>
      <c r="L195" s="11"/>
      <c r="M195" s="13"/>
      <c r="N195" s="13"/>
      <c r="O195" s="13"/>
      <c r="P195" s="13"/>
      <c r="Q195" s="13"/>
      <c r="R195" s="13"/>
      <c r="S195" s="13"/>
      <c r="T195" s="13"/>
      <c r="U195" s="41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</row>
    <row r="196" spans="1:48" ht="15.75" customHeight="1">
      <c r="A196" s="40"/>
      <c r="B196" s="13"/>
      <c r="C196" s="11"/>
      <c r="D196" s="13"/>
      <c r="E196" s="13"/>
      <c r="F196" s="13"/>
      <c r="G196" s="13"/>
      <c r="H196" s="13"/>
      <c r="I196" s="11"/>
      <c r="J196" s="11"/>
      <c r="K196" s="11"/>
      <c r="L196" s="11"/>
      <c r="M196" s="13"/>
      <c r="N196" s="13"/>
      <c r="O196" s="13"/>
      <c r="P196" s="13"/>
      <c r="Q196" s="13"/>
      <c r="R196" s="13"/>
      <c r="S196" s="13"/>
      <c r="T196" s="13"/>
      <c r="U196" s="41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</row>
    <row r="197" spans="1:48" ht="15.75" customHeight="1">
      <c r="A197" s="40"/>
      <c r="B197" s="13"/>
      <c r="C197" s="11"/>
      <c r="D197" s="13"/>
      <c r="E197" s="13"/>
      <c r="F197" s="13"/>
      <c r="G197" s="13"/>
      <c r="H197" s="13"/>
      <c r="I197" s="11"/>
      <c r="J197" s="11"/>
      <c r="K197" s="11"/>
      <c r="L197" s="11"/>
      <c r="M197" s="13"/>
      <c r="N197" s="13"/>
      <c r="O197" s="13"/>
      <c r="P197" s="13"/>
      <c r="Q197" s="13"/>
      <c r="R197" s="13"/>
      <c r="S197" s="13"/>
      <c r="T197" s="13"/>
      <c r="U197" s="41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</row>
    <row r="198" spans="1:48" ht="15.75" customHeight="1">
      <c r="A198" s="40"/>
      <c r="B198" s="13"/>
      <c r="C198" s="11"/>
      <c r="D198" s="13"/>
      <c r="E198" s="13"/>
      <c r="F198" s="13"/>
      <c r="G198" s="13"/>
      <c r="H198" s="13"/>
      <c r="I198" s="11"/>
      <c r="J198" s="11"/>
      <c r="K198" s="11"/>
      <c r="L198" s="11"/>
      <c r="M198" s="13"/>
      <c r="N198" s="13"/>
      <c r="O198" s="13"/>
      <c r="P198" s="13"/>
      <c r="Q198" s="13"/>
      <c r="R198" s="13"/>
      <c r="S198" s="13"/>
      <c r="T198" s="13"/>
      <c r="U198" s="41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</row>
    <row r="199" spans="1:48" ht="15.75" customHeight="1">
      <c r="A199" s="40"/>
      <c r="B199" s="13"/>
      <c r="C199" s="11"/>
      <c r="D199" s="13"/>
      <c r="E199" s="13"/>
      <c r="F199" s="13"/>
      <c r="G199" s="13"/>
      <c r="H199" s="13"/>
      <c r="I199" s="11"/>
      <c r="J199" s="11"/>
      <c r="K199" s="11"/>
      <c r="L199" s="11"/>
      <c r="M199" s="13"/>
      <c r="N199" s="13"/>
      <c r="O199" s="13"/>
      <c r="P199" s="13"/>
      <c r="Q199" s="13"/>
      <c r="R199" s="13"/>
      <c r="S199" s="13"/>
      <c r="T199" s="13"/>
      <c r="U199" s="41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</row>
    <row r="200" spans="1:48" ht="15.75" customHeight="1">
      <c r="A200" s="40"/>
      <c r="B200" s="13"/>
      <c r="C200" s="11"/>
      <c r="D200" s="13"/>
      <c r="E200" s="13"/>
      <c r="F200" s="13"/>
      <c r="G200" s="13"/>
      <c r="H200" s="13"/>
      <c r="I200" s="11"/>
      <c r="J200" s="11"/>
      <c r="K200" s="11"/>
      <c r="L200" s="11"/>
      <c r="M200" s="13"/>
      <c r="N200" s="13"/>
      <c r="O200" s="13"/>
      <c r="P200" s="13"/>
      <c r="Q200" s="13"/>
      <c r="R200" s="13"/>
      <c r="S200" s="13"/>
      <c r="T200" s="13"/>
      <c r="U200" s="41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</row>
    <row r="201" spans="1:48" ht="15.75" customHeight="1">
      <c r="A201" s="40"/>
      <c r="B201" s="13"/>
      <c r="C201" s="11"/>
      <c r="D201" s="13"/>
      <c r="E201" s="13"/>
      <c r="F201" s="13"/>
      <c r="G201" s="13"/>
      <c r="H201" s="13"/>
      <c r="I201" s="11"/>
      <c r="J201" s="11"/>
      <c r="K201" s="11"/>
      <c r="L201" s="11"/>
      <c r="M201" s="13"/>
      <c r="N201" s="13"/>
      <c r="O201" s="13"/>
      <c r="P201" s="13"/>
      <c r="Q201" s="13"/>
      <c r="R201" s="13"/>
      <c r="S201" s="13"/>
      <c r="T201" s="13"/>
      <c r="U201" s="41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</row>
    <row r="202" spans="1:48" ht="15.75" customHeight="1">
      <c r="A202" s="40"/>
      <c r="B202" s="13"/>
      <c r="C202" s="11"/>
      <c r="D202" s="13"/>
      <c r="E202" s="13"/>
      <c r="F202" s="13"/>
      <c r="G202" s="13"/>
      <c r="H202" s="13"/>
      <c r="I202" s="11"/>
      <c r="J202" s="11"/>
      <c r="K202" s="11"/>
      <c r="L202" s="11"/>
      <c r="M202" s="13"/>
      <c r="N202" s="13"/>
      <c r="O202" s="13"/>
      <c r="P202" s="13"/>
      <c r="Q202" s="13"/>
      <c r="R202" s="13"/>
      <c r="S202" s="13"/>
      <c r="T202" s="13"/>
      <c r="U202" s="41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</row>
    <row r="203" spans="1:48" ht="15.75" customHeight="1">
      <c r="A203" s="40"/>
      <c r="B203" s="13"/>
      <c r="C203" s="11"/>
      <c r="D203" s="13"/>
      <c r="E203" s="13"/>
      <c r="F203" s="13"/>
      <c r="G203" s="13"/>
      <c r="H203" s="13"/>
      <c r="I203" s="11"/>
      <c r="J203" s="11"/>
      <c r="K203" s="11"/>
      <c r="L203" s="11"/>
      <c r="M203" s="13"/>
      <c r="N203" s="13"/>
      <c r="O203" s="13"/>
      <c r="P203" s="13"/>
      <c r="Q203" s="13"/>
      <c r="R203" s="13"/>
      <c r="S203" s="13"/>
      <c r="T203" s="13"/>
      <c r="U203" s="41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</row>
    <row r="204" spans="1:48" ht="15.75" customHeight="1">
      <c r="A204" s="40"/>
      <c r="B204" s="13"/>
      <c r="C204" s="11"/>
      <c r="D204" s="13"/>
      <c r="E204" s="13"/>
      <c r="F204" s="13"/>
      <c r="G204" s="13"/>
      <c r="H204" s="13"/>
      <c r="I204" s="11"/>
      <c r="J204" s="11"/>
      <c r="K204" s="11"/>
      <c r="L204" s="11"/>
      <c r="M204" s="13"/>
      <c r="N204" s="13"/>
      <c r="O204" s="13"/>
      <c r="P204" s="13"/>
      <c r="Q204" s="13"/>
      <c r="R204" s="13"/>
      <c r="S204" s="13"/>
      <c r="T204" s="13"/>
      <c r="U204" s="41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</row>
    <row r="205" spans="1:48" ht="15.75" customHeight="1">
      <c r="A205" s="40"/>
      <c r="B205" s="13"/>
      <c r="C205" s="11"/>
      <c r="D205" s="13"/>
      <c r="E205" s="13"/>
      <c r="F205" s="13"/>
      <c r="G205" s="13"/>
      <c r="H205" s="13"/>
      <c r="I205" s="11"/>
      <c r="J205" s="11"/>
      <c r="K205" s="11"/>
      <c r="L205" s="11"/>
      <c r="M205" s="13"/>
      <c r="N205" s="13"/>
      <c r="O205" s="13"/>
      <c r="P205" s="13"/>
      <c r="Q205" s="13"/>
      <c r="R205" s="13"/>
      <c r="S205" s="13"/>
      <c r="T205" s="13"/>
      <c r="U205" s="41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</row>
    <row r="206" spans="1:48" ht="15.75" customHeight="1">
      <c r="A206" s="40"/>
      <c r="B206" s="13"/>
      <c r="C206" s="11"/>
      <c r="D206" s="13"/>
      <c r="E206" s="13"/>
      <c r="F206" s="13"/>
      <c r="G206" s="13"/>
      <c r="H206" s="13"/>
      <c r="I206" s="11"/>
      <c r="J206" s="11"/>
      <c r="K206" s="11"/>
      <c r="L206" s="11"/>
      <c r="M206" s="13"/>
      <c r="N206" s="13"/>
      <c r="O206" s="13"/>
      <c r="P206" s="13"/>
      <c r="Q206" s="13"/>
      <c r="R206" s="13"/>
      <c r="S206" s="13"/>
      <c r="T206" s="13"/>
      <c r="U206" s="41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</row>
    <row r="207" spans="1:48" ht="15.75" customHeight="1">
      <c r="A207" s="40"/>
      <c r="B207" s="13"/>
      <c r="C207" s="11"/>
      <c r="D207" s="13"/>
      <c r="E207" s="13"/>
      <c r="F207" s="13"/>
      <c r="G207" s="13"/>
      <c r="H207" s="13"/>
      <c r="I207" s="11"/>
      <c r="J207" s="11"/>
      <c r="K207" s="11"/>
      <c r="L207" s="11"/>
      <c r="M207" s="13"/>
      <c r="N207" s="13"/>
      <c r="O207" s="13"/>
      <c r="P207" s="13"/>
      <c r="Q207" s="13"/>
      <c r="R207" s="13"/>
      <c r="S207" s="13"/>
      <c r="T207" s="13"/>
      <c r="U207" s="41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</row>
    <row r="208" spans="1:48" ht="15.75" customHeight="1">
      <c r="A208" s="40"/>
      <c r="B208" s="13"/>
      <c r="C208" s="11"/>
      <c r="D208" s="13"/>
      <c r="E208" s="13"/>
      <c r="F208" s="13"/>
      <c r="G208" s="13"/>
      <c r="H208" s="13"/>
      <c r="I208" s="11"/>
      <c r="J208" s="11"/>
      <c r="K208" s="11"/>
      <c r="L208" s="11"/>
      <c r="M208" s="13"/>
      <c r="N208" s="13"/>
      <c r="O208" s="13"/>
      <c r="P208" s="13"/>
      <c r="Q208" s="13"/>
      <c r="R208" s="13"/>
      <c r="S208" s="13"/>
      <c r="T208" s="13"/>
      <c r="U208" s="41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</row>
    <row r="209" spans="1:48" ht="15.75" customHeight="1">
      <c r="A209" s="40"/>
      <c r="B209" s="13"/>
      <c r="C209" s="11"/>
      <c r="D209" s="13"/>
      <c r="E209" s="13"/>
      <c r="F209" s="13"/>
      <c r="G209" s="13"/>
      <c r="H209" s="13"/>
      <c r="I209" s="11"/>
      <c r="J209" s="11"/>
      <c r="K209" s="11"/>
      <c r="L209" s="11"/>
      <c r="M209" s="13"/>
      <c r="N209" s="13"/>
      <c r="O209" s="13"/>
      <c r="P209" s="13"/>
      <c r="Q209" s="13"/>
      <c r="R209" s="13"/>
      <c r="S209" s="13"/>
      <c r="T209" s="13"/>
      <c r="U209" s="41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</row>
    <row r="210" spans="1:48" ht="15.75" customHeight="1">
      <c r="A210" s="40"/>
      <c r="B210" s="13"/>
      <c r="C210" s="11"/>
      <c r="D210" s="13"/>
      <c r="E210" s="13"/>
      <c r="F210" s="13"/>
      <c r="G210" s="13"/>
      <c r="H210" s="13"/>
      <c r="I210" s="11"/>
      <c r="J210" s="11"/>
      <c r="K210" s="11"/>
      <c r="L210" s="11"/>
      <c r="M210" s="13"/>
      <c r="N210" s="13"/>
      <c r="O210" s="13"/>
      <c r="P210" s="13"/>
      <c r="Q210" s="13"/>
      <c r="R210" s="13"/>
      <c r="S210" s="13"/>
      <c r="T210" s="13"/>
      <c r="U210" s="41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</row>
    <row r="211" spans="1:48" ht="15.75" customHeight="1">
      <c r="A211" s="40"/>
      <c r="B211" s="13"/>
      <c r="C211" s="11"/>
      <c r="D211" s="13"/>
      <c r="E211" s="13"/>
      <c r="F211" s="13"/>
      <c r="G211" s="13"/>
      <c r="H211" s="13"/>
      <c r="I211" s="11"/>
      <c r="J211" s="11"/>
      <c r="K211" s="11"/>
      <c r="L211" s="11"/>
      <c r="M211" s="13"/>
      <c r="N211" s="13"/>
      <c r="O211" s="13"/>
      <c r="P211" s="13"/>
      <c r="Q211" s="13"/>
      <c r="R211" s="13"/>
      <c r="S211" s="13"/>
      <c r="T211" s="13"/>
      <c r="U211" s="41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</row>
    <row r="212" spans="1:48" ht="15.75" customHeight="1">
      <c r="A212" s="40"/>
      <c r="B212" s="13"/>
      <c r="C212" s="11"/>
      <c r="D212" s="13"/>
      <c r="E212" s="13"/>
      <c r="F212" s="13"/>
      <c r="G212" s="13"/>
      <c r="H212" s="13"/>
      <c r="I212" s="11"/>
      <c r="J212" s="11"/>
      <c r="K212" s="11"/>
      <c r="L212" s="11"/>
      <c r="M212" s="13"/>
      <c r="N212" s="13"/>
      <c r="O212" s="13"/>
      <c r="P212" s="13"/>
      <c r="Q212" s="13"/>
      <c r="R212" s="13"/>
      <c r="S212" s="13"/>
      <c r="T212" s="13"/>
      <c r="U212" s="41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</row>
    <row r="213" spans="1:48" ht="15.75" customHeight="1">
      <c r="A213" s="40"/>
      <c r="B213" s="13"/>
      <c r="C213" s="11"/>
      <c r="D213" s="13"/>
      <c r="E213" s="13"/>
      <c r="F213" s="13"/>
      <c r="G213" s="13"/>
      <c r="H213" s="13"/>
      <c r="I213" s="11"/>
      <c r="J213" s="11"/>
      <c r="K213" s="11"/>
      <c r="L213" s="11"/>
      <c r="M213" s="13"/>
      <c r="N213" s="13"/>
      <c r="O213" s="13"/>
      <c r="P213" s="13"/>
      <c r="Q213" s="13"/>
      <c r="R213" s="13"/>
      <c r="S213" s="13"/>
      <c r="T213" s="13"/>
      <c r="U213" s="41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</row>
    <row r="214" spans="1:48" ht="15.75" customHeight="1">
      <c r="A214" s="40"/>
      <c r="B214" s="13"/>
      <c r="C214" s="11"/>
      <c r="D214" s="13"/>
      <c r="E214" s="13"/>
      <c r="F214" s="13"/>
      <c r="G214" s="13"/>
      <c r="H214" s="13"/>
      <c r="I214" s="11"/>
      <c r="J214" s="11"/>
      <c r="K214" s="11"/>
      <c r="L214" s="11"/>
      <c r="M214" s="13"/>
      <c r="N214" s="13"/>
      <c r="O214" s="13"/>
      <c r="P214" s="13"/>
      <c r="Q214" s="13"/>
      <c r="R214" s="13"/>
      <c r="S214" s="13"/>
      <c r="T214" s="13"/>
      <c r="U214" s="41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</row>
    <row r="215" spans="1:48" ht="15.75" customHeight="1">
      <c r="A215" s="40"/>
      <c r="B215" s="13"/>
      <c r="C215" s="11"/>
      <c r="D215" s="13"/>
      <c r="E215" s="13"/>
      <c r="F215" s="13"/>
      <c r="G215" s="13"/>
      <c r="H215" s="13"/>
      <c r="I215" s="11"/>
      <c r="J215" s="11"/>
      <c r="K215" s="11"/>
      <c r="L215" s="11"/>
      <c r="M215" s="13"/>
      <c r="N215" s="13"/>
      <c r="O215" s="13"/>
      <c r="P215" s="13"/>
      <c r="Q215" s="13"/>
      <c r="R215" s="13"/>
      <c r="S215" s="13"/>
      <c r="T215" s="13"/>
      <c r="U215" s="41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</row>
    <row r="216" spans="1:48" ht="15.75" customHeight="1">
      <c r="A216" s="40"/>
      <c r="B216" s="13"/>
      <c r="C216" s="11"/>
      <c r="D216" s="13"/>
      <c r="E216" s="13"/>
      <c r="F216" s="13"/>
      <c r="G216" s="13"/>
      <c r="H216" s="13"/>
      <c r="I216" s="11"/>
      <c r="J216" s="11"/>
      <c r="K216" s="11"/>
      <c r="L216" s="11"/>
      <c r="M216" s="13"/>
      <c r="N216" s="13"/>
      <c r="O216" s="13"/>
      <c r="P216" s="13"/>
      <c r="Q216" s="13"/>
      <c r="R216" s="13"/>
      <c r="S216" s="13"/>
      <c r="T216" s="13"/>
      <c r="U216" s="41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</row>
    <row r="217" spans="1:48" ht="15.75" customHeight="1">
      <c r="A217" s="40"/>
      <c r="B217" s="13"/>
      <c r="C217" s="11"/>
      <c r="D217" s="13"/>
      <c r="E217" s="13"/>
      <c r="F217" s="13"/>
      <c r="G217" s="13"/>
      <c r="H217" s="13"/>
      <c r="I217" s="11"/>
      <c r="J217" s="11"/>
      <c r="K217" s="11"/>
      <c r="L217" s="11"/>
      <c r="M217" s="13"/>
      <c r="N217" s="13"/>
      <c r="O217" s="13"/>
      <c r="P217" s="13"/>
      <c r="Q217" s="13"/>
      <c r="R217" s="13"/>
      <c r="S217" s="13"/>
      <c r="T217" s="13"/>
      <c r="U217" s="41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</row>
    <row r="218" spans="1:48" ht="15.75" customHeight="1">
      <c r="A218" s="40"/>
      <c r="B218" s="13"/>
      <c r="C218" s="11"/>
      <c r="D218" s="13"/>
      <c r="E218" s="13"/>
      <c r="F218" s="13"/>
      <c r="G218" s="13"/>
      <c r="H218" s="13"/>
      <c r="I218" s="11"/>
      <c r="J218" s="11"/>
      <c r="K218" s="11"/>
      <c r="L218" s="11"/>
      <c r="M218" s="13"/>
      <c r="N218" s="13"/>
      <c r="O218" s="13"/>
      <c r="P218" s="13"/>
      <c r="Q218" s="13"/>
      <c r="R218" s="13"/>
      <c r="S218" s="13"/>
      <c r="T218" s="13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</row>
    <row r="219" spans="1:48" ht="15.75" customHeight="1">
      <c r="A219" s="40"/>
      <c r="B219" s="13"/>
      <c r="C219" s="11"/>
      <c r="D219" s="13"/>
      <c r="E219" s="13"/>
      <c r="F219" s="13"/>
      <c r="G219" s="13"/>
      <c r="H219" s="13"/>
      <c r="I219" s="11"/>
      <c r="J219" s="11"/>
      <c r="K219" s="11"/>
      <c r="L219" s="11"/>
      <c r="M219" s="13"/>
      <c r="N219" s="13"/>
      <c r="O219" s="13"/>
      <c r="P219" s="13"/>
      <c r="Q219" s="13"/>
      <c r="R219" s="13"/>
      <c r="S219" s="13"/>
      <c r="T219" s="13"/>
      <c r="U219" s="41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</row>
    <row r="220" spans="1:48" ht="15.75" customHeight="1">
      <c r="A220" s="40"/>
      <c r="B220" s="13"/>
      <c r="C220" s="11"/>
      <c r="D220" s="13"/>
      <c r="E220" s="13"/>
      <c r="F220" s="13"/>
      <c r="G220" s="13"/>
      <c r="H220" s="13"/>
      <c r="I220" s="11"/>
      <c r="J220" s="11"/>
      <c r="K220" s="11"/>
      <c r="L220" s="11"/>
      <c r="M220" s="13"/>
      <c r="N220" s="13"/>
      <c r="O220" s="13"/>
      <c r="P220" s="13"/>
      <c r="Q220" s="13"/>
      <c r="R220" s="13"/>
      <c r="S220" s="13"/>
      <c r="T220" s="13"/>
      <c r="U220" s="41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</row>
    <row r="221" spans="1:48" ht="15.75" customHeight="1">
      <c r="A221" s="40"/>
      <c r="B221" s="13"/>
      <c r="C221" s="11"/>
      <c r="D221" s="13"/>
      <c r="E221" s="13"/>
      <c r="F221" s="13"/>
      <c r="G221" s="13"/>
      <c r="H221" s="13"/>
      <c r="I221" s="11"/>
      <c r="J221" s="11"/>
      <c r="K221" s="11"/>
      <c r="L221" s="11"/>
      <c r="M221" s="13"/>
      <c r="N221" s="13"/>
      <c r="O221" s="13"/>
      <c r="P221" s="13"/>
      <c r="Q221" s="13"/>
      <c r="R221" s="13"/>
      <c r="S221" s="13"/>
      <c r="T221" s="13"/>
      <c r="U221" s="41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</row>
    <row r="222" spans="1:48" ht="15.75" customHeight="1">
      <c r="A222" s="40"/>
      <c r="B222" s="13"/>
      <c r="C222" s="11"/>
      <c r="D222" s="13"/>
      <c r="E222" s="13"/>
      <c r="F222" s="13"/>
      <c r="G222" s="13"/>
      <c r="H222" s="13"/>
      <c r="I222" s="11"/>
      <c r="J222" s="11"/>
      <c r="K222" s="11"/>
      <c r="L222" s="11"/>
      <c r="M222" s="13"/>
      <c r="N222" s="13"/>
      <c r="O222" s="13"/>
      <c r="P222" s="13"/>
      <c r="Q222" s="13"/>
      <c r="R222" s="13"/>
      <c r="S222" s="13"/>
      <c r="T222" s="13"/>
      <c r="U222" s="41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</row>
    <row r="223" spans="1:48" ht="15.75" customHeight="1">
      <c r="A223" s="40"/>
      <c r="B223" s="13"/>
      <c r="C223" s="11"/>
      <c r="D223" s="13"/>
      <c r="E223" s="13"/>
      <c r="F223" s="13"/>
      <c r="G223" s="13"/>
      <c r="H223" s="13"/>
      <c r="I223" s="11"/>
      <c r="J223" s="11"/>
      <c r="K223" s="11"/>
      <c r="L223" s="11"/>
      <c r="M223" s="13"/>
      <c r="N223" s="13"/>
      <c r="O223" s="13"/>
      <c r="P223" s="13"/>
      <c r="Q223" s="13"/>
      <c r="R223" s="13"/>
      <c r="S223" s="13"/>
      <c r="T223" s="13"/>
      <c r="U223" s="41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</row>
    <row r="224" spans="1:48" ht="15.75" customHeight="1">
      <c r="A224" s="40"/>
      <c r="B224" s="13"/>
      <c r="C224" s="11"/>
      <c r="D224" s="13"/>
      <c r="E224" s="13"/>
      <c r="F224" s="13"/>
      <c r="G224" s="13"/>
      <c r="H224" s="13"/>
      <c r="I224" s="11"/>
      <c r="J224" s="11"/>
      <c r="K224" s="11"/>
      <c r="L224" s="11"/>
      <c r="M224" s="13"/>
      <c r="N224" s="13"/>
      <c r="O224" s="13"/>
      <c r="P224" s="13"/>
      <c r="Q224" s="13"/>
      <c r="R224" s="13"/>
      <c r="S224" s="13"/>
      <c r="T224" s="13"/>
      <c r="U224" s="41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</row>
    <row r="225" spans="1:48" ht="15.75" customHeight="1">
      <c r="A225" s="40"/>
      <c r="B225" s="13"/>
      <c r="C225" s="11"/>
      <c r="D225" s="13"/>
      <c r="E225" s="13"/>
      <c r="F225" s="13"/>
      <c r="G225" s="13"/>
      <c r="H225" s="13"/>
      <c r="I225" s="11"/>
      <c r="J225" s="11"/>
      <c r="K225" s="11"/>
      <c r="L225" s="11"/>
      <c r="M225" s="13"/>
      <c r="N225" s="13"/>
      <c r="O225" s="13"/>
      <c r="P225" s="13"/>
      <c r="Q225" s="13"/>
      <c r="R225" s="13"/>
      <c r="S225" s="13"/>
      <c r="T225" s="13"/>
      <c r="U225" s="41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</row>
    <row r="226" spans="1:48" ht="15.75" customHeight="1">
      <c r="A226" s="40"/>
      <c r="B226" s="13"/>
      <c r="C226" s="11"/>
      <c r="D226" s="13"/>
      <c r="E226" s="13"/>
      <c r="F226" s="13"/>
      <c r="G226" s="13"/>
      <c r="H226" s="13"/>
      <c r="I226" s="11"/>
      <c r="J226" s="11"/>
      <c r="K226" s="11"/>
      <c r="L226" s="11"/>
      <c r="M226" s="13"/>
      <c r="N226" s="13"/>
      <c r="O226" s="13"/>
      <c r="P226" s="13"/>
      <c r="Q226" s="13"/>
      <c r="R226" s="13"/>
      <c r="S226" s="13"/>
      <c r="T226" s="13"/>
      <c r="U226" s="41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</row>
    <row r="227" spans="1:48" ht="15.75" customHeight="1">
      <c r="A227" s="40"/>
      <c r="B227" s="13"/>
      <c r="C227" s="11"/>
      <c r="D227" s="13"/>
      <c r="E227" s="13"/>
      <c r="F227" s="13"/>
      <c r="G227" s="13"/>
      <c r="H227" s="13"/>
      <c r="I227" s="11"/>
      <c r="J227" s="11"/>
      <c r="K227" s="11"/>
      <c r="L227" s="11"/>
      <c r="M227" s="13"/>
      <c r="N227" s="13"/>
      <c r="O227" s="13"/>
      <c r="P227" s="13"/>
      <c r="Q227" s="13"/>
      <c r="R227" s="13"/>
      <c r="S227" s="13"/>
      <c r="T227" s="13"/>
      <c r="U227" s="41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</row>
    <row r="228" spans="1:48" ht="15.75" customHeight="1">
      <c r="A228" s="40"/>
      <c r="B228" s="13"/>
      <c r="C228" s="11"/>
      <c r="D228" s="13"/>
      <c r="E228" s="13"/>
      <c r="F228" s="13"/>
      <c r="G228" s="13"/>
      <c r="H228" s="13"/>
      <c r="I228" s="11"/>
      <c r="J228" s="11"/>
      <c r="K228" s="11"/>
      <c r="L228" s="11"/>
      <c r="M228" s="13"/>
      <c r="N228" s="13"/>
      <c r="O228" s="13"/>
      <c r="P228" s="13"/>
      <c r="Q228" s="13"/>
      <c r="R228" s="13"/>
      <c r="S228" s="13"/>
      <c r="T228" s="13"/>
      <c r="U228" s="41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</row>
    <row r="229" spans="1:48" ht="15.75" customHeight="1">
      <c r="A229" s="40"/>
      <c r="B229" s="13"/>
      <c r="C229" s="11"/>
      <c r="D229" s="13"/>
      <c r="E229" s="13"/>
      <c r="F229" s="13"/>
      <c r="G229" s="13"/>
      <c r="H229" s="13"/>
      <c r="I229" s="11"/>
      <c r="J229" s="11"/>
      <c r="K229" s="11"/>
      <c r="L229" s="11"/>
      <c r="M229" s="13"/>
      <c r="N229" s="13"/>
      <c r="O229" s="13"/>
      <c r="P229" s="13"/>
      <c r="Q229" s="13"/>
      <c r="R229" s="13"/>
      <c r="S229" s="13"/>
      <c r="T229" s="13"/>
      <c r="U229" s="41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</row>
    <row r="230" spans="1:48" ht="15.75" customHeight="1">
      <c r="A230" s="40"/>
      <c r="B230" s="13"/>
      <c r="C230" s="11"/>
      <c r="D230" s="13"/>
      <c r="E230" s="13"/>
      <c r="F230" s="13"/>
      <c r="G230" s="13"/>
      <c r="H230" s="13"/>
      <c r="I230" s="11"/>
      <c r="J230" s="11"/>
      <c r="K230" s="11"/>
      <c r="L230" s="11"/>
      <c r="M230" s="13"/>
      <c r="N230" s="13"/>
      <c r="O230" s="13"/>
      <c r="P230" s="13"/>
      <c r="Q230" s="13"/>
      <c r="R230" s="13"/>
      <c r="S230" s="13"/>
      <c r="T230" s="13"/>
      <c r="U230" s="41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</row>
    <row r="231" spans="1:48" ht="15.75" customHeight="1">
      <c r="A231" s="40"/>
      <c r="B231" s="13"/>
      <c r="C231" s="11"/>
      <c r="D231" s="13"/>
      <c r="E231" s="13"/>
      <c r="F231" s="13"/>
      <c r="G231" s="13"/>
      <c r="H231" s="13"/>
      <c r="I231" s="11"/>
      <c r="J231" s="11"/>
      <c r="K231" s="11"/>
      <c r="L231" s="11"/>
      <c r="M231" s="13"/>
      <c r="N231" s="13"/>
      <c r="O231" s="13"/>
      <c r="P231" s="13"/>
      <c r="Q231" s="13"/>
      <c r="R231" s="13"/>
      <c r="S231" s="13"/>
      <c r="T231" s="13"/>
      <c r="U231" s="41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</row>
    <row r="232" spans="1:48" ht="15.75" customHeight="1">
      <c r="A232" s="40"/>
      <c r="B232" s="13"/>
      <c r="C232" s="11"/>
      <c r="D232" s="13"/>
      <c r="E232" s="13"/>
      <c r="F232" s="13"/>
      <c r="G232" s="13"/>
      <c r="H232" s="13"/>
      <c r="I232" s="11"/>
      <c r="J232" s="11"/>
      <c r="K232" s="11"/>
      <c r="L232" s="11"/>
      <c r="M232" s="13"/>
      <c r="N232" s="13"/>
      <c r="O232" s="13"/>
      <c r="P232" s="13"/>
      <c r="Q232" s="13"/>
      <c r="R232" s="13"/>
      <c r="S232" s="13"/>
      <c r="T232" s="13"/>
      <c r="U232" s="41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</row>
    <row r="233" spans="1:48" ht="15.75" customHeight="1">
      <c r="A233" s="40"/>
      <c r="B233" s="13"/>
      <c r="C233" s="11"/>
      <c r="D233" s="13"/>
      <c r="E233" s="13"/>
      <c r="F233" s="13"/>
      <c r="G233" s="13"/>
      <c r="H233" s="13"/>
      <c r="I233" s="11"/>
      <c r="J233" s="11"/>
      <c r="K233" s="11"/>
      <c r="L233" s="11"/>
      <c r="M233" s="13"/>
      <c r="N233" s="13"/>
      <c r="O233" s="13"/>
      <c r="P233" s="13"/>
      <c r="Q233" s="13"/>
      <c r="R233" s="13"/>
      <c r="S233" s="13"/>
      <c r="T233" s="13"/>
      <c r="U233" s="41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</row>
    <row r="234" spans="1:48" ht="15.75" customHeight="1">
      <c r="A234" s="40"/>
      <c r="B234" s="13"/>
      <c r="C234" s="11"/>
      <c r="D234" s="13"/>
      <c r="E234" s="13"/>
      <c r="F234" s="13"/>
      <c r="G234" s="13"/>
      <c r="H234" s="13"/>
      <c r="I234" s="11"/>
      <c r="J234" s="11"/>
      <c r="K234" s="11"/>
      <c r="L234" s="11"/>
      <c r="M234" s="13"/>
      <c r="N234" s="13"/>
      <c r="O234" s="13"/>
      <c r="P234" s="13"/>
      <c r="Q234" s="13"/>
      <c r="R234" s="13"/>
      <c r="S234" s="13"/>
      <c r="T234" s="13"/>
      <c r="U234" s="41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</row>
    <row r="235" spans="1:48" ht="15.75" customHeight="1">
      <c r="A235" s="40"/>
      <c r="B235" s="13"/>
      <c r="C235" s="11"/>
      <c r="D235" s="13"/>
      <c r="E235" s="13"/>
      <c r="F235" s="13"/>
      <c r="G235" s="13"/>
      <c r="H235" s="13"/>
      <c r="I235" s="11"/>
      <c r="J235" s="11"/>
      <c r="K235" s="11"/>
      <c r="L235" s="11"/>
      <c r="M235" s="13"/>
      <c r="N235" s="13"/>
      <c r="O235" s="13"/>
      <c r="P235" s="13"/>
      <c r="Q235" s="13"/>
      <c r="R235" s="13"/>
      <c r="S235" s="13"/>
      <c r="T235" s="13"/>
      <c r="U235" s="41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</row>
    <row r="236" spans="1:48" ht="15.75" customHeight="1">
      <c r="A236" s="40"/>
      <c r="B236" s="13"/>
      <c r="C236" s="11"/>
      <c r="D236" s="13"/>
      <c r="E236" s="13"/>
      <c r="F236" s="13"/>
      <c r="G236" s="13"/>
      <c r="H236" s="13"/>
      <c r="I236" s="11"/>
      <c r="J236" s="11"/>
      <c r="K236" s="11"/>
      <c r="L236" s="11"/>
      <c r="M236" s="13"/>
      <c r="N236" s="13"/>
      <c r="O236" s="13"/>
      <c r="P236" s="13"/>
      <c r="Q236" s="13"/>
      <c r="R236" s="13"/>
      <c r="S236" s="13"/>
      <c r="T236" s="13"/>
      <c r="U236" s="41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</row>
    <row r="237" spans="1:48" ht="15.75" customHeight="1">
      <c r="A237" s="40"/>
      <c r="B237" s="13"/>
      <c r="C237" s="11"/>
      <c r="D237" s="13"/>
      <c r="E237" s="13"/>
      <c r="F237" s="13"/>
      <c r="G237" s="13"/>
      <c r="H237" s="13"/>
      <c r="I237" s="11"/>
      <c r="J237" s="11"/>
      <c r="K237" s="11"/>
      <c r="L237" s="11"/>
      <c r="M237" s="13"/>
      <c r="N237" s="13"/>
      <c r="O237" s="13"/>
      <c r="P237" s="13"/>
      <c r="Q237" s="13"/>
      <c r="R237" s="13"/>
      <c r="S237" s="13"/>
      <c r="T237" s="13"/>
      <c r="U237" s="41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</row>
    <row r="238" spans="1:48" ht="15.75" customHeight="1">
      <c r="A238" s="40"/>
      <c r="B238" s="13"/>
      <c r="C238" s="11"/>
      <c r="D238" s="13"/>
      <c r="E238" s="13"/>
      <c r="F238" s="13"/>
      <c r="G238" s="13"/>
      <c r="H238" s="13"/>
      <c r="I238" s="11"/>
      <c r="J238" s="11"/>
      <c r="K238" s="11"/>
      <c r="L238" s="11"/>
      <c r="M238" s="13"/>
      <c r="N238" s="13"/>
      <c r="O238" s="13"/>
      <c r="P238" s="13"/>
      <c r="Q238" s="13"/>
      <c r="R238" s="13"/>
      <c r="S238" s="13"/>
      <c r="T238" s="13"/>
      <c r="U238" s="41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</row>
    <row r="239" spans="1:48" ht="15.75" customHeight="1">
      <c r="A239" s="40"/>
      <c r="B239" s="13"/>
      <c r="C239" s="11"/>
      <c r="D239" s="13"/>
      <c r="E239" s="13"/>
      <c r="F239" s="13"/>
      <c r="G239" s="13"/>
      <c r="H239" s="13"/>
      <c r="I239" s="11"/>
      <c r="J239" s="11"/>
      <c r="K239" s="11"/>
      <c r="L239" s="11"/>
      <c r="M239" s="13"/>
      <c r="N239" s="13"/>
      <c r="O239" s="13"/>
      <c r="P239" s="13"/>
      <c r="Q239" s="13"/>
      <c r="R239" s="13"/>
      <c r="S239" s="13"/>
      <c r="T239" s="13"/>
      <c r="U239" s="41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</row>
    <row r="240" spans="1:48" ht="15.75" customHeight="1">
      <c r="A240" s="40"/>
      <c r="B240" s="13"/>
      <c r="C240" s="11"/>
      <c r="D240" s="13"/>
      <c r="E240" s="13"/>
      <c r="F240" s="13"/>
      <c r="G240" s="13"/>
      <c r="H240" s="13"/>
      <c r="I240" s="11"/>
      <c r="J240" s="11"/>
      <c r="K240" s="11"/>
      <c r="L240" s="11"/>
      <c r="M240" s="13"/>
      <c r="N240" s="13"/>
      <c r="O240" s="13"/>
      <c r="P240" s="13"/>
      <c r="Q240" s="13"/>
      <c r="R240" s="13"/>
      <c r="S240" s="13"/>
      <c r="T240" s="13"/>
      <c r="U240" s="41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</row>
    <row r="241" spans="1:48" ht="15.75" customHeight="1">
      <c r="A241" s="40"/>
      <c r="B241" s="13"/>
      <c r="C241" s="11"/>
      <c r="D241" s="13"/>
      <c r="E241" s="13"/>
      <c r="F241" s="13"/>
      <c r="G241" s="13"/>
      <c r="H241" s="13"/>
      <c r="I241" s="11"/>
      <c r="J241" s="11"/>
      <c r="K241" s="11"/>
      <c r="L241" s="11"/>
      <c r="M241" s="13"/>
      <c r="N241" s="13"/>
      <c r="O241" s="13"/>
      <c r="P241" s="13"/>
      <c r="Q241" s="13"/>
      <c r="R241" s="13"/>
      <c r="S241" s="13"/>
      <c r="T241" s="13"/>
      <c r="U241" s="41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</row>
    <row r="242" spans="1:48" ht="15.75" customHeight="1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</row>
    <row r="243" spans="1:48" ht="15.75" customHeight="1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</row>
    <row r="244" spans="1:48" ht="15.75" customHeight="1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</row>
    <row r="245" spans="1:48" ht="15.75" customHeight="1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</row>
    <row r="246" spans="1:48" ht="15.75" customHeight="1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</row>
    <row r="247" spans="1:48" ht="15.75" customHeight="1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</row>
    <row r="248" spans="1:48" ht="15.75" customHeight="1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</row>
    <row r="249" spans="1:48" ht="15.75" customHeight="1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</row>
    <row r="250" spans="1:48" ht="15.75" customHeight="1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</row>
    <row r="251" spans="1:48" ht="15.75" customHeight="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</row>
    <row r="252" spans="1:48" ht="15.75" customHeight="1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</row>
    <row r="253" spans="1:48" ht="15.75" customHeight="1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</row>
    <row r="254" spans="1:48" ht="15.75" customHeight="1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</row>
    <row r="255" spans="1:48" ht="15.75" customHeight="1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</row>
    <row r="256" spans="1:48" ht="15.75" customHeight="1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D10:AL10"/>
    <mergeCell ref="AM10:AV10"/>
    <mergeCell ref="A1:A3"/>
    <mergeCell ref="F8:G8"/>
    <mergeCell ref="I8:J8"/>
    <mergeCell ref="T8:AC8"/>
    <mergeCell ref="B10:E10"/>
    <mergeCell ref="H10:R10"/>
    <mergeCell ref="T10:AC10"/>
  </mergeCells>
  <conditionalFormatting sqref="B1:K1 C2:J3">
    <cfRule type="cellIs" dxfId="9" priority="1" operator="lessThan">
      <formula>0</formula>
    </cfRule>
  </conditionalFormatting>
  <dataValidations count="23">
    <dataValidation type="list" allowBlank="1" showErrorMessage="1" sqref="U12:U41" xr:uid="{00000000-0002-0000-0A00-000000000000}">
      <formula1>"Não tem,Aberta,Fechada"</formula1>
    </dataValidation>
    <dataValidation type="list" allowBlank="1" showErrorMessage="1" sqref="AI12:AI41" xr:uid="{00000000-0002-0000-0A00-000001000000}">
      <formula1>"Não tem,Externa,Interna,Raia"</formula1>
    </dataValidation>
    <dataValidation type="list" allowBlank="1" showErrorMessage="1" sqref="AC12:AC41" xr:uid="{00000000-0002-0000-0A00-000002000000}">
      <formula1>"Não tem,Gás,Indução"</formula1>
    </dataValidation>
    <dataValidation type="list" allowBlank="1" showErrorMessage="1" sqref="S12:S41" xr:uid="{00000000-0002-0000-0A00-000003000000}">
      <formula1>"Tijolo,Concreto,Drywall"</formula1>
    </dataValidation>
    <dataValidation type="list" allowBlank="1" showErrorMessage="1" sqref="T12:T41" xr:uid="{00000000-0002-0000-0A00-000004000000}">
      <formula1>"Porcelanato,Cerâmica,Vinílico,Laminado,Tacos,Contrapiso"</formula1>
    </dataValidation>
    <dataValidation type="list" allowBlank="1" showErrorMessage="1" sqref="AF12:AF41" xr:uid="{00000000-0002-0000-0A00-000005000000}">
      <formula1>"Não tem,Simples,Completa"</formula1>
    </dataValidation>
    <dataValidation type="list" allowBlank="1" sqref="H12:K41" xr:uid="{00000000-0002-0000-0A00-000006000000}">
      <formula1>"0.0,1.0,2.0,3.0,4.0"</formula1>
    </dataValidation>
    <dataValidation type="list" allowBlank="1" sqref="M12:M41" xr:uid="{00000000-0002-0000-0A00-000007000000}">
      <formula1>"Norte,Sul,Leste,Oeste"</formula1>
    </dataValidation>
    <dataValidation type="list" allowBlank="1" showErrorMessage="1" sqref="N12:N41" xr:uid="{00000000-0002-0000-0A00-000008000000}">
      <formula1>"Frente,Lateral,Fundos"</formula1>
    </dataValidation>
    <dataValidation type="list" allowBlank="1" showErrorMessage="1" sqref="P12:P41" xr:uid="{00000000-0002-0000-0A00-000009000000}">
      <formula1>"Decorado,Novo,Conservado,Velho"</formula1>
    </dataValidation>
    <dataValidation type="list" allowBlank="1" showErrorMessage="1" sqref="O12:O41" xr:uid="{00000000-0002-0000-0A00-00000A000000}">
      <formula1>"Livre,Obstruído"</formula1>
    </dataValidation>
    <dataValidation type="list" allowBlank="1" showErrorMessage="1" sqref="V12:V41" xr:uid="{00000000-0002-0000-0A00-00000B000000}">
      <formula1>"Não tem,Vidro"</formula1>
    </dataValidation>
    <dataValidation type="list" allowBlank="1" showErrorMessage="1" sqref="X12:X41" xr:uid="{00000000-0002-0000-0A00-00000C000000}">
      <formula1>"Não tem,Embutida Janela,Interna"</formula1>
    </dataValidation>
    <dataValidation type="list" allowBlank="1" showErrorMessage="1" sqref="AH12:AH41" xr:uid="{00000000-0002-0000-0A00-00000D000000}">
      <formula1>"Não tem,Pequeno,Grande"</formula1>
    </dataValidation>
    <dataValidation type="list" allowBlank="1" showErrorMessage="1" sqref="AK12:AK41" xr:uid="{00000000-0002-0000-0A00-00000E000000}">
      <formula1>"Não tem,Sim,Com bicicletas"</formula1>
    </dataValidation>
    <dataValidation type="list" allowBlank="1" showErrorMessage="1" sqref="AG12:AG41" xr:uid="{00000000-0002-0000-0A00-00000F000000}">
      <formula1>"Não tem,Gourmet,Churrasqueira"</formula1>
    </dataValidation>
    <dataValidation type="list" allowBlank="1" showErrorMessage="1" sqref="W12:W41" xr:uid="{00000000-0002-0000-0A00-000010000000}">
      <formula1>"Não tem,Central,Gás Individual,Elétrico"</formula1>
    </dataValidation>
    <dataValidation type="list" allowBlank="1" showErrorMessage="1" sqref="AD12:AD41" xr:uid="{00000000-0002-0000-0A00-000011000000}">
      <formula1>"Não tem,Dia,Noite,24h"</formula1>
    </dataValidation>
    <dataValidation type="list" allowBlank="1" showErrorMessage="1" sqref="L12:L41" xr:uid="{00000000-0002-0000-0A00-000012000000}">
      <formula1>"1.0,2.0,3.0,4.0,5.0,6.0,7.0,8.0,9.0,10.0,11.0,12.0,13.0,14.0,15.0,16.0,17.0,18.0,19.0,20.0,21.0,22.0,23.0,24.0,25.0"</formula1>
    </dataValidation>
    <dataValidation type="list" allowBlank="1" showErrorMessage="1" sqref="Y12:Y41" xr:uid="{00000000-0002-0000-0A00-000013000000}">
      <formula1>"Não tem,Quarto,Sala,Quarto/Sala"</formula1>
    </dataValidation>
    <dataValidation type="list" allowBlank="1" showErrorMessage="1" sqref="E12:E41" xr:uid="{00000000-0002-0000-0A00-000014000000}">
      <formula1>"Não tem,100m,200m,300m,400m,500m,600m,700m,800m,900m,+900m"</formula1>
    </dataValidation>
    <dataValidation type="list" allowBlank="1" showErrorMessage="1" sqref="Z12:AB41 AJ12:AJ41 AL12:AL41" xr:uid="{00000000-0002-0000-0A00-000015000000}">
      <formula1>"Não tem,Sim"</formula1>
    </dataValidation>
    <dataValidation type="list" allowBlank="1" showErrorMessage="1" sqref="AE12:AE41" xr:uid="{00000000-0002-0000-0A00-000016000000}">
      <formula1>"Não tem,Industrial,Caseira"</formula1>
    </dataValidation>
  </dataValidations>
  <hyperlinks>
    <hyperlink ref="B1" r:id="rId1" xr:uid="{00000000-0004-0000-0A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CAEA3"/>
    <outlinePr summaryBelow="0" summaryRight="0"/>
  </sheetPr>
  <dimension ref="A1:AB1000"/>
  <sheetViews>
    <sheetView showGridLines="0" tabSelected="1" topLeftCell="F1" zoomScale="120" zoomScaleNormal="120" workbookViewId="0">
      <pane ySplit="3" topLeftCell="A6" activePane="bottomLeft" state="frozen"/>
      <selection pane="bottomLeft" activeCell="K13" sqref="K13"/>
    </sheetView>
  </sheetViews>
  <sheetFormatPr defaultColWidth="12.7109375" defaultRowHeight="15" customHeight="1" outlineLevelRow="1"/>
  <cols>
    <col min="2" max="17" width="13.7109375" customWidth="1"/>
  </cols>
  <sheetData>
    <row r="1" spans="1:28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70"/>
      <c r="J1" s="271" t="s">
        <v>166</v>
      </c>
      <c r="K1" s="270"/>
      <c r="L1" s="30"/>
      <c r="M1" s="30"/>
      <c r="N1" s="36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271" t="s">
        <v>167</v>
      </c>
      <c r="K2" s="30"/>
      <c r="L2" s="30"/>
      <c r="M2" s="30"/>
      <c r="N2" s="36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271" t="s">
        <v>168</v>
      </c>
      <c r="K3" s="44"/>
      <c r="L3" s="30"/>
      <c r="M3" s="30"/>
      <c r="N3" s="36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 ht="15.75" customHeight="1">
      <c r="A4" s="40"/>
      <c r="B4" s="258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41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15.75" customHeight="1">
      <c r="A5" s="40"/>
      <c r="B5" s="252" t="s">
        <v>169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41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ht="15.75" customHeight="1">
      <c r="A6" s="40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41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5.75" customHeight="1">
      <c r="A7" s="40"/>
      <c r="B7" s="272" t="s">
        <v>170</v>
      </c>
      <c r="C7" s="238"/>
      <c r="D7" s="238"/>
      <c r="E7" s="13"/>
      <c r="F7" s="272" t="s">
        <v>171</v>
      </c>
      <c r="G7" s="238"/>
      <c r="H7" s="238"/>
      <c r="I7" s="212"/>
      <c r="J7" s="272" t="s">
        <v>172</v>
      </c>
      <c r="K7" s="238"/>
      <c r="L7" s="238"/>
      <c r="M7" s="13"/>
      <c r="N7" s="272" t="s">
        <v>173</v>
      </c>
      <c r="O7" s="238"/>
      <c r="P7" s="238"/>
      <c r="Q7" s="212"/>
      <c r="R7" s="212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spans="1:28" ht="15.75" customHeight="1">
      <c r="A8" s="40"/>
      <c r="B8" s="13"/>
      <c r="C8" s="6"/>
      <c r="D8" s="13"/>
      <c r="E8" s="13"/>
      <c r="F8" s="212"/>
      <c r="G8" s="212"/>
      <c r="H8" s="212"/>
      <c r="I8" s="212"/>
      <c r="J8" s="13"/>
      <c r="K8" s="6"/>
      <c r="L8" s="13"/>
      <c r="M8" s="13"/>
      <c r="N8" s="13"/>
      <c r="O8" s="6"/>
      <c r="P8" s="13"/>
      <c r="Q8" s="212"/>
      <c r="R8" s="212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spans="1:28" ht="15.75" customHeight="1">
      <c r="A9" s="40"/>
      <c r="B9" s="13"/>
      <c r="C9" s="240" t="s">
        <v>5</v>
      </c>
      <c r="D9" s="13"/>
      <c r="E9" s="13"/>
      <c r="F9" s="13"/>
      <c r="G9" s="240" t="s">
        <v>5</v>
      </c>
      <c r="H9" s="212"/>
      <c r="I9" s="212"/>
      <c r="J9" s="13"/>
      <c r="K9" s="240" t="s">
        <v>5</v>
      </c>
      <c r="L9" s="13"/>
      <c r="M9" s="13"/>
      <c r="N9" s="13"/>
      <c r="O9" s="240" t="s">
        <v>5</v>
      </c>
      <c r="P9" s="13"/>
      <c r="Q9" s="212"/>
      <c r="R9" s="212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spans="1:28" ht="15.75" customHeight="1">
      <c r="A10" s="40"/>
      <c r="B10" s="255" t="s">
        <v>43</v>
      </c>
      <c r="C10" s="26">
        <v>300000</v>
      </c>
      <c r="D10" s="13"/>
      <c r="E10" s="13"/>
      <c r="F10" s="255" t="s">
        <v>174</v>
      </c>
      <c r="G10" s="95" t="s">
        <v>175</v>
      </c>
      <c r="H10" s="212"/>
      <c r="I10" s="212"/>
      <c r="J10" s="255" t="s">
        <v>176</v>
      </c>
      <c r="K10" s="26">
        <v>3000</v>
      </c>
      <c r="L10" s="13"/>
      <c r="M10" s="13"/>
      <c r="N10" s="255" t="s">
        <v>177</v>
      </c>
      <c r="O10" s="96">
        <v>0.05</v>
      </c>
      <c r="P10" s="273">
        <f>(1+O10)^(1/12)-1</f>
        <v>4.0741237836483535E-3</v>
      </c>
      <c r="Q10" s="212"/>
      <c r="R10" s="212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spans="1:28" ht="15.75" customHeight="1">
      <c r="A11" s="40"/>
      <c r="B11" s="255" t="s">
        <v>44</v>
      </c>
      <c r="C11" s="97">
        <v>0.8</v>
      </c>
      <c r="D11" s="13"/>
      <c r="E11" s="13"/>
      <c r="F11" s="255" t="s">
        <v>178</v>
      </c>
      <c r="G11" s="98">
        <v>12</v>
      </c>
      <c r="H11" s="212"/>
      <c r="I11" s="212"/>
      <c r="J11" s="255" t="s">
        <v>179</v>
      </c>
      <c r="K11" s="99">
        <v>2</v>
      </c>
      <c r="L11" s="254">
        <f>((K11*K10)/K13)+((K16+K17)*K11)/K13</f>
        <v>392.22222222222217</v>
      </c>
      <c r="M11" s="13"/>
      <c r="N11" s="255" t="s">
        <v>180</v>
      </c>
      <c r="O11" s="97">
        <v>0.05</v>
      </c>
      <c r="P11" s="13"/>
      <c r="Q11" s="212"/>
      <c r="R11" s="212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spans="1:28" ht="15.75" customHeight="1">
      <c r="A12" s="40"/>
      <c r="B12" s="255" t="s">
        <v>49</v>
      </c>
      <c r="C12" s="97">
        <v>0.1</v>
      </c>
      <c r="D12" s="13"/>
      <c r="E12" s="13"/>
      <c r="F12" s="255" t="s">
        <v>181</v>
      </c>
      <c r="G12" s="100">
        <v>0.04</v>
      </c>
      <c r="H12" s="273">
        <f>(1+G12)^(1/12)-1</f>
        <v>3.2737397821989145E-3</v>
      </c>
      <c r="I12" s="212"/>
      <c r="J12" s="255" t="s">
        <v>182</v>
      </c>
      <c r="K12" s="101">
        <v>1</v>
      </c>
      <c r="L12" s="273">
        <f>K12/K13</f>
        <v>5.5555555555555552E-2</v>
      </c>
      <c r="M12" s="13"/>
      <c r="N12" s="255" t="s">
        <v>183</v>
      </c>
      <c r="O12" s="27">
        <v>0</v>
      </c>
      <c r="P12" s="13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spans="1:28" ht="15.75" customHeight="1">
      <c r="A13" s="40"/>
      <c r="B13" s="255" t="s">
        <v>184</v>
      </c>
      <c r="C13" s="21">
        <v>25</v>
      </c>
      <c r="D13" s="13"/>
      <c r="E13" s="13"/>
      <c r="F13" s="255" t="s">
        <v>185</v>
      </c>
      <c r="G13" s="254">
        <f>IF(G10="Sim",C15,0)</f>
        <v>0</v>
      </c>
      <c r="H13" s="45"/>
      <c r="I13" s="212"/>
      <c r="J13" s="255" t="s">
        <v>186</v>
      </c>
      <c r="K13" s="98">
        <v>18</v>
      </c>
      <c r="L13" s="212"/>
      <c r="M13" s="13"/>
      <c r="N13" s="255" t="s">
        <v>187</v>
      </c>
      <c r="O13" s="102">
        <v>0</v>
      </c>
      <c r="P13" s="13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28" ht="15.75" customHeight="1">
      <c r="A14" s="40"/>
      <c r="B14" s="255" t="s">
        <v>47</v>
      </c>
      <c r="C14" s="254">
        <f>IF($G$10="Não",$C$10*$C$11,((($C$10*$C$11)*(1+$G$12)^(($G$11+1)/12))))</f>
        <v>240000</v>
      </c>
      <c r="D14" s="13"/>
      <c r="E14" s="13"/>
      <c r="F14" s="255" t="s">
        <v>188</v>
      </c>
      <c r="G14" s="254">
        <f>G13*G19</f>
        <v>0</v>
      </c>
      <c r="H14" s="212"/>
      <c r="I14" s="212"/>
      <c r="J14" s="255" t="s">
        <v>189</v>
      </c>
      <c r="K14" s="101">
        <v>0</v>
      </c>
      <c r="L14" s="13"/>
      <c r="M14" s="13"/>
      <c r="N14" s="255" t="s">
        <v>190</v>
      </c>
      <c r="O14" s="98">
        <v>15</v>
      </c>
      <c r="P14" s="274">
        <f>O14*12</f>
        <v>180</v>
      </c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15.75" customHeight="1">
      <c r="A15" s="40"/>
      <c r="B15" s="255" t="s">
        <v>188</v>
      </c>
      <c r="C15" s="254">
        <f>C10*(100%-C11)</f>
        <v>59999.999999999985</v>
      </c>
      <c r="D15" s="13"/>
      <c r="E15" s="13"/>
      <c r="F15" s="255" t="s">
        <v>191</v>
      </c>
      <c r="G15" s="254">
        <f>(G20*G13)/G11</f>
        <v>0</v>
      </c>
      <c r="H15" s="103"/>
      <c r="I15" s="212"/>
      <c r="J15" s="255" t="s">
        <v>192</v>
      </c>
      <c r="K15" s="101">
        <v>0.05</v>
      </c>
      <c r="L15" s="103"/>
      <c r="M15" s="13"/>
      <c r="N15" s="255" t="s">
        <v>193</v>
      </c>
      <c r="O15" s="101">
        <v>0.1</v>
      </c>
      <c r="P15" s="13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spans="1:28" ht="15.75" customHeight="1">
      <c r="A16" s="40"/>
      <c r="B16" s="212"/>
      <c r="C16" s="212"/>
      <c r="D16" s="212"/>
      <c r="E16" s="13"/>
      <c r="F16" s="255" t="s">
        <v>194</v>
      </c>
      <c r="G16" s="254">
        <f>G13*G21</f>
        <v>0</v>
      </c>
      <c r="H16" s="45"/>
      <c r="I16" s="212"/>
      <c r="J16" s="255" t="s">
        <v>195</v>
      </c>
      <c r="K16" s="27">
        <v>80</v>
      </c>
      <c r="L16" s="212"/>
      <c r="M16" s="212"/>
      <c r="N16" s="255" t="s">
        <v>196</v>
      </c>
      <c r="O16" s="101">
        <v>0.15</v>
      </c>
      <c r="P16" s="13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8" ht="15.75" customHeight="1">
      <c r="A17" s="40"/>
      <c r="B17" s="212"/>
      <c r="C17" s="212"/>
      <c r="D17" s="212"/>
      <c r="E17" s="13"/>
      <c r="F17" s="212"/>
      <c r="G17" s="212"/>
      <c r="H17" s="212"/>
      <c r="I17" s="212"/>
      <c r="J17" s="255" t="s">
        <v>78</v>
      </c>
      <c r="K17" s="28">
        <v>450</v>
      </c>
      <c r="L17" s="13"/>
      <c r="M17" s="13"/>
      <c r="N17" s="255" t="s">
        <v>197</v>
      </c>
      <c r="O17" s="100">
        <v>0</v>
      </c>
      <c r="P17" s="13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pans="1:28" ht="15.75" customHeight="1">
      <c r="A18" s="40"/>
      <c r="B18" s="212"/>
      <c r="C18" s="240" t="s">
        <v>5</v>
      </c>
      <c r="D18" s="212"/>
      <c r="E18" s="13"/>
      <c r="F18" s="212"/>
      <c r="G18" s="240" t="s">
        <v>5</v>
      </c>
      <c r="H18" s="212"/>
      <c r="I18" s="13"/>
      <c r="J18" s="212"/>
      <c r="K18" s="212"/>
      <c r="L18" s="212"/>
      <c r="M18" s="13"/>
      <c r="N18" s="41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1:28" ht="15.75" customHeight="1">
      <c r="A19" s="40"/>
      <c r="B19" s="255" t="s">
        <v>198</v>
      </c>
      <c r="C19" s="20">
        <v>0.03</v>
      </c>
      <c r="D19" s="254">
        <f>C19*C10</f>
        <v>9000</v>
      </c>
      <c r="E19" s="13"/>
      <c r="F19" s="255" t="s">
        <v>188</v>
      </c>
      <c r="G19" s="20">
        <v>0.1</v>
      </c>
      <c r="H19" s="212"/>
      <c r="I19" s="13"/>
      <c r="J19" s="272" t="s">
        <v>199</v>
      </c>
      <c r="K19" s="238"/>
      <c r="L19" s="238"/>
      <c r="M19" s="13"/>
      <c r="N19" s="41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ht="15.75" customHeight="1">
      <c r="A20" s="40"/>
      <c r="B20" s="255" t="s">
        <v>200</v>
      </c>
      <c r="C20" s="101">
        <v>0</v>
      </c>
      <c r="D20" s="254">
        <f>C20*C10</f>
        <v>0</v>
      </c>
      <c r="E20" s="13"/>
      <c r="F20" s="255" t="s">
        <v>201</v>
      </c>
      <c r="G20" s="101">
        <v>0.8</v>
      </c>
      <c r="H20" s="13"/>
      <c r="I20" s="13"/>
      <c r="J20" s="212"/>
      <c r="K20" s="212"/>
      <c r="L20" s="13"/>
      <c r="M20" s="13"/>
      <c r="N20" s="41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8" ht="15.75" customHeight="1">
      <c r="A21" s="40"/>
      <c r="B21" s="255" t="s">
        <v>202</v>
      </c>
      <c r="C21" s="101">
        <v>0.02</v>
      </c>
      <c r="D21" s="254">
        <f>C21*C10</f>
        <v>6000</v>
      </c>
      <c r="E21" s="13"/>
      <c r="F21" s="255" t="s">
        <v>194</v>
      </c>
      <c r="G21" s="100">
        <v>0.1</v>
      </c>
      <c r="H21" s="212"/>
      <c r="I21" s="30"/>
      <c r="J21" s="212"/>
      <c r="K21" s="240" t="s">
        <v>5</v>
      </c>
      <c r="L21" s="41"/>
      <c r="M21" s="13"/>
      <c r="N21" s="41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5.75" customHeight="1">
      <c r="A22" s="40"/>
      <c r="B22" s="255" t="s">
        <v>203</v>
      </c>
      <c r="C22" s="27">
        <v>1500</v>
      </c>
      <c r="D22" s="13"/>
      <c r="E22" s="13"/>
      <c r="F22" s="255" t="s">
        <v>204</v>
      </c>
      <c r="G22" s="273">
        <f>SUM(G19:G21)</f>
        <v>1</v>
      </c>
      <c r="H22" s="13"/>
      <c r="I22" s="30"/>
      <c r="J22" s="255" t="s">
        <v>205</v>
      </c>
      <c r="K22" s="207">
        <v>150</v>
      </c>
      <c r="L22" s="41"/>
      <c r="M22" s="13"/>
      <c r="N22" s="41"/>
      <c r="O22" s="40"/>
      <c r="P22" s="40"/>
      <c r="Q22" s="40"/>
      <c r="R22" s="40"/>
      <c r="S22" s="40"/>
      <c r="T22" s="40"/>
      <c r="U22" s="40"/>
      <c r="V22" s="104"/>
      <c r="W22" s="266" t="s">
        <v>206</v>
      </c>
      <c r="X22" s="238"/>
      <c r="Y22" s="238"/>
      <c r="Z22" s="238"/>
      <c r="AA22" s="238"/>
      <c r="AB22" s="40"/>
    </row>
    <row r="23" spans="1:28" ht="15.75" customHeight="1">
      <c r="A23" s="40"/>
      <c r="B23" s="255" t="s">
        <v>207</v>
      </c>
      <c r="C23" s="27">
        <v>50000</v>
      </c>
      <c r="D23" s="13"/>
      <c r="E23" s="13"/>
      <c r="F23" s="46" t="s">
        <v>208</v>
      </c>
      <c r="G23" s="212"/>
      <c r="H23" s="30"/>
      <c r="I23" s="30"/>
      <c r="J23" s="255" t="s">
        <v>209</v>
      </c>
      <c r="K23" s="208">
        <v>0.85</v>
      </c>
      <c r="L23" s="275">
        <f>K23*30</f>
        <v>25.5</v>
      </c>
      <c r="M23" s="13"/>
      <c r="N23" s="41"/>
      <c r="O23" s="40"/>
      <c r="P23" s="40"/>
      <c r="Q23" s="40"/>
      <c r="R23" s="40"/>
      <c r="S23" s="212"/>
      <c r="T23" s="40"/>
      <c r="U23" s="40"/>
      <c r="V23" s="212"/>
      <c r="W23" s="105" t="s">
        <v>210</v>
      </c>
      <c r="X23" s="105" t="s">
        <v>211</v>
      </c>
      <c r="Y23" s="105" t="s">
        <v>212</v>
      </c>
      <c r="Z23" s="105" t="s">
        <v>213</v>
      </c>
      <c r="AA23" s="105" t="s">
        <v>214</v>
      </c>
      <c r="AB23" s="40"/>
    </row>
    <row r="24" spans="1:28" ht="15.75" customHeight="1">
      <c r="A24" s="40"/>
      <c r="B24" s="255" t="s">
        <v>215</v>
      </c>
      <c r="C24" s="106">
        <v>6</v>
      </c>
      <c r="D24" s="13"/>
      <c r="E24" s="13"/>
      <c r="F24" s="212"/>
      <c r="G24" s="212"/>
      <c r="H24" s="30"/>
      <c r="I24" s="30"/>
      <c r="J24" s="255" t="s">
        <v>216</v>
      </c>
      <c r="K24" s="208">
        <v>0.15</v>
      </c>
      <c r="L24" s="41"/>
      <c r="M24" s="13"/>
      <c r="N24" s="41"/>
      <c r="O24" s="40"/>
      <c r="P24" s="40"/>
      <c r="Q24" s="40"/>
      <c r="R24" s="40"/>
      <c r="S24" s="212"/>
      <c r="T24" s="40"/>
      <c r="U24" s="104"/>
      <c r="V24" s="212"/>
      <c r="W24" s="276" t="s">
        <v>217</v>
      </c>
      <c r="X24" s="107" t="s">
        <v>218</v>
      </c>
      <c r="Y24" s="107" t="s">
        <v>219</v>
      </c>
      <c r="Z24" s="107" t="s">
        <v>220</v>
      </c>
      <c r="AA24" s="107" t="s">
        <v>221</v>
      </c>
      <c r="AB24" s="40"/>
    </row>
    <row r="25" spans="1:28" ht="15.75" customHeight="1">
      <c r="A25" s="40"/>
      <c r="B25" s="255" t="s">
        <v>222</v>
      </c>
      <c r="C25" s="254">
        <f>C15+D19+D21+C22+C23</f>
        <v>126499.99999999999</v>
      </c>
      <c r="D25" s="13"/>
      <c r="E25" s="13"/>
      <c r="F25" s="212"/>
      <c r="G25" s="30"/>
      <c r="H25" s="30"/>
      <c r="I25" s="30"/>
      <c r="J25" s="255" t="s">
        <v>223</v>
      </c>
      <c r="K25" s="209">
        <v>100</v>
      </c>
      <c r="L25" s="41"/>
      <c r="M25" s="13"/>
      <c r="N25" s="41"/>
      <c r="O25" s="40"/>
      <c r="P25" s="40"/>
      <c r="Q25" s="40"/>
      <c r="R25" s="40"/>
      <c r="S25" s="212"/>
      <c r="T25" s="40"/>
      <c r="U25" s="108"/>
      <c r="V25" s="255" t="s">
        <v>43</v>
      </c>
      <c r="W25" s="109"/>
      <c r="X25" s="110"/>
      <c r="Y25" s="111"/>
      <c r="Z25" s="111"/>
      <c r="AA25" s="112"/>
      <c r="AB25" s="40"/>
    </row>
    <row r="26" spans="1:28" ht="15.75" customHeight="1">
      <c r="A26" s="40"/>
      <c r="B26" s="255" t="s">
        <v>119</v>
      </c>
      <c r="C26" s="254">
        <f>C10+D19+D20+D21+C23</f>
        <v>365000</v>
      </c>
      <c r="D26" s="13"/>
      <c r="E26" s="13"/>
      <c r="F26" s="212"/>
      <c r="G26" s="30"/>
      <c r="H26" s="30"/>
      <c r="I26" s="30"/>
      <c r="J26" s="255" t="s">
        <v>224</v>
      </c>
      <c r="K26" s="209">
        <v>100</v>
      </c>
      <c r="L26" s="41"/>
      <c r="M26" s="13"/>
      <c r="N26" s="113"/>
      <c r="O26" s="40"/>
      <c r="P26" s="40"/>
      <c r="Q26" s="40"/>
      <c r="R26" s="40"/>
      <c r="S26" s="212"/>
      <c r="T26" s="40"/>
      <c r="U26" s="41"/>
      <c r="V26" s="255" t="s">
        <v>44</v>
      </c>
      <c r="W26" s="114"/>
      <c r="X26" s="277"/>
      <c r="Y26" s="278"/>
      <c r="Z26" s="278"/>
      <c r="AA26" s="115"/>
      <c r="AB26" s="40"/>
    </row>
    <row r="27" spans="1:28" ht="15.75" customHeight="1">
      <c r="A27" s="40"/>
      <c r="B27" s="255" t="s">
        <v>225</v>
      </c>
      <c r="C27" s="254">
        <f>(C14+C15)/C13</f>
        <v>12000</v>
      </c>
      <c r="D27" s="13"/>
      <c r="E27" s="13"/>
      <c r="F27" s="212"/>
      <c r="G27" s="30"/>
      <c r="H27" s="30"/>
      <c r="I27" s="30"/>
      <c r="J27" s="255" t="s">
        <v>226</v>
      </c>
      <c r="K27" s="210">
        <v>0</v>
      </c>
      <c r="L27" s="41"/>
      <c r="M27" s="13"/>
      <c r="N27" s="41"/>
      <c r="O27" s="40"/>
      <c r="P27" s="40"/>
      <c r="Q27" s="40"/>
      <c r="R27" s="40"/>
      <c r="S27" s="212"/>
      <c r="T27" s="40"/>
      <c r="U27" s="41"/>
      <c r="V27" s="255" t="s">
        <v>181</v>
      </c>
      <c r="W27" s="116"/>
      <c r="X27" s="279"/>
      <c r="Y27" s="280"/>
      <c r="Z27" s="280"/>
      <c r="AA27" s="117"/>
      <c r="AB27" s="40"/>
    </row>
    <row r="28" spans="1:28" ht="15.75" customHeight="1">
      <c r="A28" s="40"/>
      <c r="B28" s="255" t="s">
        <v>227</v>
      </c>
      <c r="C28" s="254">
        <f>(C23+D21+D20+D19+C15+C14)/C13</f>
        <v>14600</v>
      </c>
      <c r="D28" s="13"/>
      <c r="E28" s="13"/>
      <c r="F28" s="212"/>
      <c r="G28" s="30"/>
      <c r="H28" s="30"/>
      <c r="I28" s="30"/>
      <c r="J28" s="255" t="s">
        <v>195</v>
      </c>
      <c r="K28" s="254">
        <f>K16</f>
        <v>80</v>
      </c>
      <c r="L28" s="41"/>
      <c r="M28" s="13"/>
      <c r="N28" s="41"/>
      <c r="O28" s="40"/>
      <c r="P28" s="40"/>
      <c r="Q28" s="40"/>
      <c r="R28" s="40"/>
      <c r="S28" s="212"/>
      <c r="T28" s="40"/>
      <c r="U28" s="41"/>
      <c r="V28" s="255" t="s">
        <v>176</v>
      </c>
      <c r="W28" s="116"/>
      <c r="X28" s="279"/>
      <c r="Y28" s="280"/>
      <c r="Z28" s="280"/>
      <c r="AA28" s="117"/>
      <c r="AB28" s="40"/>
    </row>
    <row r="29" spans="1:28" ht="15.75" customHeight="1">
      <c r="A29" s="40"/>
      <c r="B29" s="13"/>
      <c r="C29" s="13"/>
      <c r="D29" s="13"/>
      <c r="E29" s="13"/>
      <c r="F29" s="212"/>
      <c r="G29" s="30"/>
      <c r="H29" s="30"/>
      <c r="I29" s="30"/>
      <c r="J29" s="255" t="s">
        <v>78</v>
      </c>
      <c r="K29" s="254">
        <f>K17</f>
        <v>450</v>
      </c>
      <c r="L29" s="212"/>
      <c r="M29" s="13"/>
      <c r="N29" s="41"/>
      <c r="O29" s="40"/>
      <c r="P29" s="40"/>
      <c r="Q29" s="40"/>
      <c r="R29" s="40"/>
      <c r="S29" s="212"/>
      <c r="T29" s="40"/>
      <c r="U29" s="41"/>
      <c r="V29" s="255" t="s">
        <v>179</v>
      </c>
      <c r="W29" s="116"/>
      <c r="X29" s="279"/>
      <c r="Y29" s="280"/>
      <c r="Z29" s="280"/>
      <c r="AA29" s="117"/>
      <c r="AB29" s="40"/>
    </row>
    <row r="30" spans="1:28" ht="15.75" customHeight="1">
      <c r="A30" s="40"/>
      <c r="B30" s="13"/>
      <c r="C30" s="13"/>
      <c r="D30" s="13"/>
      <c r="E30" s="13"/>
      <c r="F30" s="13"/>
      <c r="G30" s="13"/>
      <c r="H30" s="13"/>
      <c r="I30" s="13"/>
      <c r="J30" s="255" t="s">
        <v>228</v>
      </c>
      <c r="K30" s="254">
        <f>(((K22*L23)*(100%-K24))-(K25+K26+K27+K28+K29))</f>
        <v>2521.25</v>
      </c>
      <c r="L30" s="212"/>
      <c r="M30" s="13"/>
      <c r="N30" s="41"/>
      <c r="O30" s="40"/>
      <c r="P30" s="40"/>
      <c r="Q30" s="40"/>
      <c r="R30" s="40"/>
      <c r="S30" s="40"/>
      <c r="T30" s="40"/>
      <c r="U30" s="41"/>
      <c r="V30" s="255" t="s">
        <v>182</v>
      </c>
      <c r="W30" s="118"/>
      <c r="X30" s="277"/>
      <c r="Y30" s="278"/>
      <c r="Z30" s="278"/>
      <c r="AA30" s="115"/>
      <c r="AB30" s="12"/>
    </row>
    <row r="31" spans="1:28" ht="15.75" customHeight="1">
      <c r="A31" s="40"/>
      <c r="B31" s="252" t="s">
        <v>229</v>
      </c>
      <c r="C31" s="13"/>
      <c r="D31" s="13"/>
      <c r="E31" s="13"/>
      <c r="F31" s="13"/>
      <c r="G31" s="13"/>
      <c r="H31" s="13"/>
      <c r="I31" s="13"/>
      <c r="J31" s="46" t="s">
        <v>230</v>
      </c>
      <c r="K31" s="13"/>
      <c r="L31" s="13"/>
      <c r="M31" s="13"/>
      <c r="N31" s="41"/>
      <c r="O31" s="40"/>
      <c r="P31" s="40"/>
      <c r="Q31" s="40"/>
      <c r="R31" s="40"/>
      <c r="S31" s="40"/>
      <c r="T31" s="40"/>
      <c r="U31" s="41"/>
      <c r="V31" s="255" t="s">
        <v>189</v>
      </c>
      <c r="W31" s="119"/>
      <c r="X31" s="120"/>
      <c r="Y31" s="121"/>
      <c r="Z31" s="121"/>
      <c r="AA31" s="122"/>
      <c r="AB31" s="40"/>
    </row>
    <row r="32" spans="1:28" ht="15.75" customHeight="1" outlineLevel="1">
      <c r="A32" s="40"/>
      <c r="B32" s="212"/>
      <c r="C32" s="6" t="s">
        <v>5</v>
      </c>
      <c r="D32" s="240" t="s">
        <v>5</v>
      </c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35"/>
      <c r="Q32" s="35"/>
      <c r="R32" s="35"/>
      <c r="S32" s="35"/>
      <c r="T32" s="35"/>
      <c r="U32" s="41"/>
      <c r="V32" s="212"/>
      <c r="W32" s="123"/>
      <c r="X32" s="124"/>
      <c r="Y32" s="124"/>
      <c r="Z32" s="124"/>
      <c r="AA32" s="125"/>
      <c r="AB32" s="40"/>
    </row>
    <row r="33" spans="1:28" ht="15.75" customHeight="1" outlineLevel="1">
      <c r="A33" s="40"/>
      <c r="B33" s="212"/>
      <c r="C33" s="255" t="s">
        <v>231</v>
      </c>
      <c r="D33" s="51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v>0</v>
      </c>
      <c r="J33" s="126">
        <v>0</v>
      </c>
      <c r="K33" s="126">
        <v>0</v>
      </c>
      <c r="L33" s="126">
        <v>0</v>
      </c>
      <c r="M33" s="126">
        <v>0</v>
      </c>
      <c r="N33" s="126">
        <v>0</v>
      </c>
      <c r="O33" s="126">
        <v>0</v>
      </c>
      <c r="P33" s="126">
        <v>0</v>
      </c>
      <c r="Q33" s="127">
        <v>0</v>
      </c>
      <c r="R33" s="35"/>
      <c r="S33" s="35"/>
      <c r="T33" s="35"/>
      <c r="U33" s="41"/>
      <c r="V33" s="212"/>
      <c r="W33" s="123"/>
      <c r="X33" s="124"/>
      <c r="Y33" s="124"/>
      <c r="Z33" s="124"/>
      <c r="AA33" s="125"/>
      <c r="AB33" s="40"/>
    </row>
    <row r="34" spans="1:28" ht="15.75" customHeight="1" outlineLevel="1">
      <c r="A34" s="40"/>
      <c r="B34" s="128"/>
      <c r="C34" s="129">
        <f>$C$10+$C$23</f>
        <v>350000</v>
      </c>
      <c r="D34" s="129">
        <f t="shared" ref="D34:Q34" si="0">IF(D33&lt;C34,(C34+(C34*$O$11)),D33)</f>
        <v>367500</v>
      </c>
      <c r="E34" s="129">
        <f t="shared" si="0"/>
        <v>385875</v>
      </c>
      <c r="F34" s="129">
        <f t="shared" si="0"/>
        <v>405168.75</v>
      </c>
      <c r="G34" s="129">
        <f t="shared" si="0"/>
        <v>425427.1875</v>
      </c>
      <c r="H34" s="129">
        <f t="shared" si="0"/>
        <v>446698.546875</v>
      </c>
      <c r="I34" s="129">
        <f t="shared" si="0"/>
        <v>469033.47421875002</v>
      </c>
      <c r="J34" s="129">
        <f t="shared" si="0"/>
        <v>492485.14792968752</v>
      </c>
      <c r="K34" s="129">
        <f t="shared" si="0"/>
        <v>517109.40532617189</v>
      </c>
      <c r="L34" s="129">
        <f t="shared" si="0"/>
        <v>542964.87559248053</v>
      </c>
      <c r="M34" s="129">
        <f t="shared" si="0"/>
        <v>570113.11937210453</v>
      </c>
      <c r="N34" s="129">
        <f t="shared" si="0"/>
        <v>598618.77534070972</v>
      </c>
      <c r="O34" s="129">
        <f t="shared" si="0"/>
        <v>628549.71410774521</v>
      </c>
      <c r="P34" s="129">
        <f t="shared" si="0"/>
        <v>659977.19981313252</v>
      </c>
      <c r="Q34" s="129">
        <f t="shared" si="0"/>
        <v>692976.05980378913</v>
      </c>
      <c r="R34" s="35"/>
      <c r="S34" s="35"/>
      <c r="T34" s="35"/>
      <c r="U34" s="41"/>
      <c r="V34" s="212"/>
      <c r="W34" s="123"/>
      <c r="X34" s="124"/>
      <c r="Y34" s="124"/>
      <c r="Z34" s="124"/>
      <c r="AA34" s="125"/>
      <c r="AB34" s="40"/>
    </row>
    <row r="35" spans="1:28" ht="15.75" customHeight="1" outlineLevel="1">
      <c r="A35" s="40"/>
      <c r="B35" s="130" t="s">
        <v>35</v>
      </c>
      <c r="C35" s="131" t="s">
        <v>232</v>
      </c>
      <c r="D35" s="131" t="s">
        <v>233</v>
      </c>
      <c r="E35" s="131" t="s">
        <v>234</v>
      </c>
      <c r="F35" s="131" t="s">
        <v>235</v>
      </c>
      <c r="G35" s="131" t="s">
        <v>236</v>
      </c>
      <c r="H35" s="131" t="s">
        <v>237</v>
      </c>
      <c r="I35" s="131" t="s">
        <v>238</v>
      </c>
      <c r="J35" s="131" t="s">
        <v>239</v>
      </c>
      <c r="K35" s="131" t="s">
        <v>240</v>
      </c>
      <c r="L35" s="131" t="s">
        <v>241</v>
      </c>
      <c r="M35" s="131" t="s">
        <v>242</v>
      </c>
      <c r="N35" s="131" t="s">
        <v>243</v>
      </c>
      <c r="O35" s="131" t="s">
        <v>244</v>
      </c>
      <c r="P35" s="131" t="s">
        <v>245</v>
      </c>
      <c r="Q35" s="131" t="s">
        <v>246</v>
      </c>
      <c r="R35" s="35"/>
      <c r="S35" s="131" t="s">
        <v>247</v>
      </c>
      <c r="T35" s="131"/>
      <c r="U35" s="41"/>
      <c r="V35" s="212"/>
      <c r="W35" s="123"/>
      <c r="X35" s="124"/>
      <c r="Y35" s="124"/>
      <c r="Z35" s="124"/>
      <c r="AA35" s="125"/>
      <c r="AB35" s="40"/>
    </row>
    <row r="36" spans="1:28" ht="15.75" customHeight="1" outlineLevel="1">
      <c r="A36" s="40"/>
      <c r="B36" s="281" t="s">
        <v>17</v>
      </c>
      <c r="C36" s="132">
        <f>-($D$19+$D$20+$D$21+$C$10+$C$23)</f>
        <v>-365000</v>
      </c>
      <c r="D36" s="212"/>
      <c r="E36" s="132"/>
      <c r="F36" s="132"/>
      <c r="G36" s="30"/>
      <c r="H36" s="30"/>
      <c r="I36" s="30"/>
      <c r="J36" s="30"/>
      <c r="K36" s="30"/>
      <c r="L36" s="133"/>
      <c r="M36" s="212"/>
      <c r="N36" s="212"/>
      <c r="O36" s="212"/>
      <c r="P36" s="212"/>
      <c r="Q36" s="212"/>
      <c r="R36" s="35"/>
      <c r="S36" s="282" t="s">
        <v>22</v>
      </c>
      <c r="T36" s="273">
        <f>IRR(C39:Q39)</f>
        <v>0.11387440706049845</v>
      </c>
      <c r="U36" s="41"/>
      <c r="V36" s="282" t="s">
        <v>22</v>
      </c>
      <c r="W36" s="134"/>
      <c r="X36" s="111"/>
      <c r="Y36" s="111"/>
      <c r="Z36" s="111"/>
      <c r="AA36" s="112"/>
      <c r="AB36" s="40"/>
    </row>
    <row r="37" spans="1:28" ht="15.75" customHeight="1" outlineLevel="1">
      <c r="A37" s="40"/>
      <c r="B37" s="281" t="s">
        <v>19</v>
      </c>
      <c r="C37" s="132">
        <f>IF($O$14&gt;=1,SUM('11.1 - Auxiliar Viabilidade'!$M$8:$M$19),0)</f>
        <v>7979.793448849834</v>
      </c>
      <c r="D37" s="132">
        <f>IF($O$14&gt;=2,SUM('11.1 - Auxiliar Viabilidade'!$M$20:$M$31),0)</f>
        <v>23153.168524156597</v>
      </c>
      <c r="E37" s="132">
        <f>IF($O$14&gt;=3,SUM('11.1 - Auxiliar Viabilidade'!$M$32:$M$43),0)</f>
        <v>24310.826950364433</v>
      </c>
      <c r="F37" s="132">
        <f>IF($O$14&gt;=4,SUM('11.1 - Auxiliar Viabilidade'!$M$44:$M$55),0)</f>
        <v>25526.368297882651</v>
      </c>
      <c r="G37" s="132">
        <f>IF($O$14&gt;=5,SUM('11.1 - Auxiliar Viabilidade'!$M$56:$M$67),0)</f>
        <v>26802.686712776784</v>
      </c>
      <c r="H37" s="132">
        <f>IF($O$14&gt;=6,SUM('11.1 - Auxiliar Viabilidade'!$M$68:$M$79),0)</f>
        <v>28142.821048415622</v>
      </c>
      <c r="I37" s="132">
        <f>IF($O$14&gt;=7,SUM('11.1 - Auxiliar Viabilidade'!$M$80:$M$91),0)</f>
        <v>29549.962100836412</v>
      </c>
      <c r="J37" s="132">
        <f>IF($O$14&gt;=8,SUM('11.1 - Auxiliar Viabilidade'!$M$92:$M$103),0)</f>
        <v>31027.460205878233</v>
      </c>
      <c r="K37" s="132">
        <f>IF($O$14&gt;=9,SUM('11.1 - Auxiliar Viabilidade'!$M$104:$M$115),0)</f>
        <v>32578.833216172141</v>
      </c>
      <c r="L37" s="132">
        <f>IF($O$14&gt;=10,SUM('11.1 - Auxiliar Viabilidade'!$M$116:$M$127)-$O$12,0)</f>
        <v>34207.774876980759</v>
      </c>
      <c r="M37" s="132">
        <f>IF($O$14&gt;=11,SUM('11.1 - Auxiliar Viabilidade'!$M$128:$M$139),0)</f>
        <v>35918.163620829786</v>
      </c>
      <c r="N37" s="132">
        <f>IF($O$14&gt;=12,SUM('11.1 - Auxiliar Viabilidade'!$M$140:$M$151),0)</f>
        <v>37714.07180187128</v>
      </c>
      <c r="O37" s="132">
        <f>IF($O$14&gt;=13,SUM('11.1 - Auxiliar Viabilidade'!$M$152:$M$163),0)</f>
        <v>39599.775391964846</v>
      </c>
      <c r="P37" s="132">
        <f>IF($O$14&gt;=14,SUM('11.1 - Auxiliar Viabilidade'!$M$164:$M$175),0)</f>
        <v>41579.7641615631</v>
      </c>
      <c r="Q37" s="132">
        <f>IF($O$14&gt;=15,SUM('11.1 - Auxiliar Viabilidade'!$M$176:$M$187),0)</f>
        <v>43658.752369641246</v>
      </c>
      <c r="R37" s="35"/>
      <c r="S37" s="282" t="s">
        <v>28</v>
      </c>
      <c r="T37" s="283">
        <f>((SUM(D39:Q39)+C39)/-C39)</f>
        <v>2.2119932374719213</v>
      </c>
      <c r="U37" s="41"/>
      <c r="V37" s="282" t="s">
        <v>28</v>
      </c>
      <c r="W37" s="118"/>
      <c r="X37" s="278"/>
      <c r="Y37" s="278"/>
      <c r="Z37" s="278"/>
      <c r="AA37" s="115"/>
      <c r="AB37" s="40"/>
    </row>
    <row r="38" spans="1:28" ht="15.75" customHeight="1" outlineLevel="1">
      <c r="A38" s="40"/>
      <c r="B38" s="281" t="s">
        <v>20</v>
      </c>
      <c r="C38" s="132">
        <f>IF($O$14=1,C34-((C34*$O$13)+$O$17*(C34-$C$10)),0)</f>
        <v>0</v>
      </c>
      <c r="D38" s="132">
        <f>IF($O$14=2,D34-((D34*$O$13)+$O$17*(D34-$C$10)),0)</f>
        <v>0</v>
      </c>
      <c r="E38" s="132">
        <f>IF($O$14=3,E34-((E34*$O$13)+$O$17*(E34-$C$10)),0)</f>
        <v>0</v>
      </c>
      <c r="F38" s="132">
        <f>IF($O$14=4,F34-((F34*$O$13)+$O$17*(F34-$C$10)),0)</f>
        <v>0</v>
      </c>
      <c r="G38" s="132">
        <f>IF($O$14=5,G34-((G34*$O$13)+$O$17*(G34-$C$10)),0)</f>
        <v>0</v>
      </c>
      <c r="H38" s="132">
        <f>IF($O$14=6,H34-((H34*$O$13)+$O$17*(H34-$C$10)),0)</f>
        <v>0</v>
      </c>
      <c r="I38" s="132">
        <f>IF($O$14=7,I34-((I34*$O$13)+$O$17*(I34-$C$10)),0)</f>
        <v>0</v>
      </c>
      <c r="J38" s="132">
        <f>IF($O$14=8,J34-((J34*$O$13)+$O$17*(J34-$C$10)),0)</f>
        <v>0</v>
      </c>
      <c r="K38" s="132">
        <f>IF($O$14=9,K34-((K34*$O$13)+$O$17*(K34-$C$10)),0)</f>
        <v>0</v>
      </c>
      <c r="L38" s="132">
        <f>IF($O$14=10,L34-((L34*$O$13)+$O$17*(L34-$C$10)),0)</f>
        <v>0</v>
      </c>
      <c r="M38" s="132">
        <f>IF($O$14=11,M34-((M34*$O$13)+$O$17*(M34-$C$10)),0)</f>
        <v>0</v>
      </c>
      <c r="N38" s="132">
        <f>IF($O$14=12,N34-((N34*$O$13)+$O$17*(N34-$C$10)),0)</f>
        <v>0</v>
      </c>
      <c r="O38" s="132">
        <f>IF($O$14=13,O34-((O34*$O$13)+$O$17*(O34-$C$10)),0)</f>
        <v>0</v>
      </c>
      <c r="P38" s="132">
        <f>IF($O$14=14,P34-((P34*$O$13)+$O$17*(P34-$C$10)),0)</f>
        <v>0</v>
      </c>
      <c r="Q38" s="132">
        <f>IF($O$14=15,$Q$34-(($Q$34*$O$13)+$O$17*($Q$34-$C$10)),0)</f>
        <v>692976.05980378913</v>
      </c>
      <c r="R38" s="35"/>
      <c r="S38" s="282" t="s">
        <v>248</v>
      </c>
      <c r="T38" s="284">
        <f>SUM(D39:Q39)/-C39</f>
        <v>3.2119932374719213</v>
      </c>
      <c r="U38" s="41"/>
      <c r="V38" s="282" t="s">
        <v>248</v>
      </c>
      <c r="W38" s="118"/>
      <c r="X38" s="278"/>
      <c r="Y38" s="278"/>
      <c r="Z38" s="278"/>
      <c r="AA38" s="115"/>
      <c r="AB38" s="40"/>
    </row>
    <row r="39" spans="1:28" ht="15.75" customHeight="1" outlineLevel="1">
      <c r="A39" s="40"/>
      <c r="B39" s="285" t="s">
        <v>249</v>
      </c>
      <c r="C39" s="286">
        <f t="shared" ref="C39:Q39" si="1">SUM(C36:C38)</f>
        <v>-357020.20655115019</v>
      </c>
      <c r="D39" s="286">
        <f t="shared" si="1"/>
        <v>23153.168524156597</v>
      </c>
      <c r="E39" s="286">
        <f t="shared" si="1"/>
        <v>24310.826950364433</v>
      </c>
      <c r="F39" s="286">
        <f t="shared" si="1"/>
        <v>25526.368297882651</v>
      </c>
      <c r="G39" s="286">
        <f t="shared" si="1"/>
        <v>26802.686712776784</v>
      </c>
      <c r="H39" s="286">
        <f t="shared" si="1"/>
        <v>28142.821048415622</v>
      </c>
      <c r="I39" s="286">
        <f t="shared" si="1"/>
        <v>29549.962100836412</v>
      </c>
      <c r="J39" s="286">
        <f t="shared" si="1"/>
        <v>31027.460205878233</v>
      </c>
      <c r="K39" s="286">
        <f t="shared" si="1"/>
        <v>32578.833216172141</v>
      </c>
      <c r="L39" s="286">
        <f t="shared" si="1"/>
        <v>34207.774876980759</v>
      </c>
      <c r="M39" s="286">
        <f t="shared" si="1"/>
        <v>35918.163620829786</v>
      </c>
      <c r="N39" s="286">
        <f t="shared" si="1"/>
        <v>37714.07180187128</v>
      </c>
      <c r="O39" s="286">
        <f t="shared" si="1"/>
        <v>39599.775391964846</v>
      </c>
      <c r="P39" s="286">
        <f t="shared" si="1"/>
        <v>41579.7641615631</v>
      </c>
      <c r="Q39" s="286">
        <f t="shared" si="1"/>
        <v>736634.81217343034</v>
      </c>
      <c r="R39" s="35"/>
      <c r="S39" s="282" t="s">
        <v>18</v>
      </c>
      <c r="T39" s="254">
        <f t="array" ref="T39">NPV($O$15,D39:Q39)+C39</f>
        <v>47094.424482538772</v>
      </c>
      <c r="U39" s="41"/>
      <c r="V39" s="282" t="s">
        <v>18</v>
      </c>
      <c r="W39" s="119"/>
      <c r="X39" s="135"/>
      <c r="Y39" s="135"/>
      <c r="Z39" s="135"/>
      <c r="AA39" s="136"/>
      <c r="AB39" s="137"/>
    </row>
    <row r="40" spans="1:28" ht="15.75" customHeight="1" outlineLevel="1">
      <c r="A40" s="40"/>
      <c r="B40" s="285" t="s">
        <v>250</v>
      </c>
      <c r="C40" s="287">
        <f>C37/-$C$36</f>
        <v>2.186244780506804E-2</v>
      </c>
      <c r="D40" s="287">
        <f t="shared" ref="D40:Q40" si="2">IF($C$37&lt;0,-D37/$C$39,-D37/$C$36)</f>
        <v>6.3433338422346844E-2</v>
      </c>
      <c r="E40" s="287">
        <f t="shared" si="2"/>
        <v>6.6605005343464196E-2</v>
      </c>
      <c r="F40" s="287">
        <f t="shared" si="2"/>
        <v>6.9935255610637403E-2</v>
      </c>
      <c r="G40" s="287">
        <f t="shared" si="2"/>
        <v>7.3432018391169265E-2</v>
      </c>
      <c r="H40" s="287">
        <f t="shared" si="2"/>
        <v>7.7103619310727733E-2</v>
      </c>
      <c r="I40" s="287">
        <f t="shared" si="2"/>
        <v>8.0958800276264148E-2</v>
      </c>
      <c r="J40" s="287">
        <f t="shared" si="2"/>
        <v>8.5006740290077348E-2</v>
      </c>
      <c r="K40" s="287">
        <f t="shared" si="2"/>
        <v>8.9257077304581212E-2</v>
      </c>
      <c r="L40" s="287">
        <f t="shared" si="2"/>
        <v>9.3719931169810297E-2</v>
      </c>
      <c r="M40" s="287">
        <f t="shared" si="2"/>
        <v>9.8405927728300785E-2</v>
      </c>
      <c r="N40" s="287">
        <f t="shared" si="2"/>
        <v>0.10332622411471583</v>
      </c>
      <c r="O40" s="287">
        <f t="shared" si="2"/>
        <v>0.10849253532045164</v>
      </c>
      <c r="P40" s="287">
        <f t="shared" si="2"/>
        <v>0.11391716208647425</v>
      </c>
      <c r="Q40" s="287">
        <f t="shared" si="2"/>
        <v>0.11961302019079793</v>
      </c>
      <c r="R40" s="35"/>
      <c r="S40" s="138"/>
      <c r="T40" s="45"/>
      <c r="U40" s="41"/>
      <c r="V40" s="41"/>
      <c r="W40" s="139"/>
      <c r="X40" s="140"/>
      <c r="Y40" s="140"/>
      <c r="Z40" s="140"/>
      <c r="AA40" s="141"/>
      <c r="AB40" s="137"/>
    </row>
    <row r="41" spans="1:28" ht="15.75" customHeight="1" outlineLevel="1">
      <c r="A41" s="40"/>
      <c r="B41" s="1"/>
      <c r="C41" s="1"/>
      <c r="D41" s="8"/>
      <c r="E41" s="1"/>
      <c r="F41" s="1"/>
      <c r="G41" s="1"/>
      <c r="H41" s="1"/>
      <c r="I41" s="1"/>
      <c r="J41" s="1"/>
      <c r="K41" s="1"/>
      <c r="L41" s="212"/>
      <c r="M41" s="212"/>
      <c r="N41" s="212"/>
      <c r="O41" s="212"/>
      <c r="P41" s="212"/>
      <c r="Q41" s="212"/>
      <c r="R41" s="35"/>
      <c r="S41" s="35"/>
      <c r="T41" s="35"/>
      <c r="U41" s="41"/>
      <c r="V41" s="41"/>
      <c r="W41" s="142"/>
      <c r="X41" s="143"/>
      <c r="Y41" s="143"/>
      <c r="Z41" s="143"/>
      <c r="AA41" s="144"/>
      <c r="AB41" s="40"/>
    </row>
    <row r="42" spans="1:28" ht="15.75" customHeight="1" outlineLevel="1">
      <c r="A42" s="40"/>
      <c r="B42" s="130" t="s">
        <v>251</v>
      </c>
      <c r="C42" s="131" t="s">
        <v>232</v>
      </c>
      <c r="D42" s="131" t="s">
        <v>233</v>
      </c>
      <c r="E42" s="131" t="s">
        <v>234</v>
      </c>
      <c r="F42" s="131" t="s">
        <v>235</v>
      </c>
      <c r="G42" s="131" t="s">
        <v>236</v>
      </c>
      <c r="H42" s="131" t="s">
        <v>237</v>
      </c>
      <c r="I42" s="131" t="s">
        <v>238</v>
      </c>
      <c r="J42" s="131" t="s">
        <v>239</v>
      </c>
      <c r="K42" s="131" t="s">
        <v>240</v>
      </c>
      <c r="L42" s="131" t="s">
        <v>241</v>
      </c>
      <c r="M42" s="131" t="s">
        <v>242</v>
      </c>
      <c r="N42" s="131" t="s">
        <v>243</v>
      </c>
      <c r="O42" s="131" t="s">
        <v>244</v>
      </c>
      <c r="P42" s="131" t="s">
        <v>245</v>
      </c>
      <c r="Q42" s="131" t="s">
        <v>246</v>
      </c>
      <c r="R42" s="35"/>
      <c r="S42" s="131" t="s">
        <v>252</v>
      </c>
      <c r="T42" s="131"/>
      <c r="U42" s="41"/>
      <c r="V42" s="41"/>
      <c r="W42" s="142"/>
      <c r="X42" s="143"/>
      <c r="Y42" s="143"/>
      <c r="Z42" s="143"/>
      <c r="AA42" s="144"/>
      <c r="AB42" s="40"/>
    </row>
    <row r="43" spans="1:28" ht="15.75" customHeight="1" outlineLevel="1">
      <c r="A43" s="40"/>
      <c r="B43" s="281" t="s">
        <v>17</v>
      </c>
      <c r="C43" s="132">
        <f>-($C$15+$D$19+$D$21+$C$22+$C$23)</f>
        <v>-126499.99999999999</v>
      </c>
      <c r="D43" s="132"/>
      <c r="E43" s="132"/>
      <c r="F43" s="132"/>
      <c r="G43" s="30"/>
      <c r="H43" s="30"/>
      <c r="I43" s="30"/>
      <c r="J43" s="30"/>
      <c r="K43" s="30"/>
      <c r="L43" s="133"/>
      <c r="M43" s="212"/>
      <c r="N43" s="212"/>
      <c r="O43" s="212"/>
      <c r="P43" s="212"/>
      <c r="Q43" s="212"/>
      <c r="R43" s="35"/>
      <c r="S43" s="282" t="s">
        <v>253</v>
      </c>
      <c r="T43" s="273">
        <f>IRR(C46:Q46)</f>
        <v>0.1153716047308293</v>
      </c>
      <c r="U43" s="41"/>
      <c r="V43" s="282" t="s">
        <v>253</v>
      </c>
      <c r="W43" s="134"/>
      <c r="X43" s="111"/>
      <c r="Y43" s="111"/>
      <c r="Z43" s="111"/>
      <c r="AA43" s="112"/>
      <c r="AB43" s="40"/>
    </row>
    <row r="44" spans="1:28" ht="15.75" customHeight="1" outlineLevel="1">
      <c r="A44" s="40"/>
      <c r="B44" s="281" t="s">
        <v>19</v>
      </c>
      <c r="C44" s="132">
        <f>IF($O$14&gt;=1,SUM('11.1 - Auxiliar Viabilidade'!$L$8:$L$19),0)</f>
        <v>-21542.134833074353</v>
      </c>
      <c r="D44" s="132">
        <f>IF($O$14&gt;=2,SUM('11.1 - Auxiliar Viabilidade'!$L$20:$L$31),0)</f>
        <v>-5712.6019167606546</v>
      </c>
      <c r="E44" s="132">
        <f>IF($O$14&gt;=3,SUM('11.1 - Auxiliar Viabilidade'!$L$32:$L$43),0)</f>
        <v>-3898.7856495458841</v>
      </c>
      <c r="F44" s="132">
        <f>IF($O$14&gt;=4,SUM('11.1 - Auxiliar Viabilidade'!$L$44:$L$55),0)</f>
        <v>-2027.0864610207254</v>
      </c>
      <c r="G44" s="132">
        <f>IF($O$14&gt;=5,SUM('11.1 - Auxiliar Viabilidade'!$L$56:$L$67),0)</f>
        <v>-94.610205119651255</v>
      </c>
      <c r="H44" s="132">
        <f>IF($O$14&gt;=6,SUM('11.1 - Auxiliar Viabilidade'!$L$68:$L$79),0)</f>
        <v>1901.6819715261267</v>
      </c>
      <c r="I44" s="132">
        <f>IF($O$14&gt;=7,SUM('11.1 - Auxiliar Viabilidade'!$L$80:$L$91),0)</f>
        <v>3964.9808649538468</v>
      </c>
      <c r="J44" s="132">
        <f>IF($O$14&gt;=8,SUM('11.1 - Auxiliar Viabilidade'!$L$92:$L$103),0)</f>
        <v>6098.6368110026033</v>
      </c>
      <c r="K44" s="132">
        <f>IF($O$14&gt;=9,SUM('11.1 - Auxiliar Viabilidade'!$L$104:$L$115),0)</f>
        <v>8306.1676623034527</v>
      </c>
      <c r="L44" s="132">
        <f>IF($O$14&gt;=10,SUM('11.1 - Auxiliar Viabilidade'!$L$116:$L$127)-$O$12,0)</f>
        <v>10591.267164118999</v>
      </c>
      <c r="M44" s="132">
        <f>IF($O$14&gt;=11,SUM('11.1 - Auxiliar Viabilidade'!$L$128:$L$139),0)</f>
        <v>12957.813748974972</v>
      </c>
      <c r="N44" s="132">
        <f>IF($O$14&gt;=12,SUM('11.1 - Auxiliar Viabilidade'!$L$140:$L$151),0)</f>
        <v>15409.879771023403</v>
      </c>
      <c r="O44" s="132">
        <f>IF($O$14&gt;=13,SUM('11.1 - Auxiliar Viabilidade'!$L$152:$L$163),0)</f>
        <v>17951.741202123903</v>
      </c>
      <c r="P44" s="132">
        <f>IF($O$14&gt;=14,SUM('11.1 - Auxiliar Viabilidade'!$L$164:$L$175),0)</f>
        <v>20587.887812729088</v>
      </c>
      <c r="Q44" s="132">
        <f>IF($O$14&gt;=15,SUM('11.1 - Auxiliar Viabilidade'!$L$176:$L$187),0)</f>
        <v>23323.033861814176</v>
      </c>
      <c r="R44" s="35"/>
      <c r="S44" s="282" t="s">
        <v>254</v>
      </c>
      <c r="T44" s="283">
        <f>((SUM(D46:Q46)+C46)/-C46)</f>
        <v>3.4932695009369956</v>
      </c>
      <c r="U44" s="41"/>
      <c r="V44" s="282" t="s">
        <v>254</v>
      </c>
      <c r="W44" s="118"/>
      <c r="X44" s="278"/>
      <c r="Y44" s="278"/>
      <c r="Z44" s="278"/>
      <c r="AA44" s="115"/>
      <c r="AB44" s="40"/>
    </row>
    <row r="45" spans="1:28" ht="15.75" customHeight="1" outlineLevel="1">
      <c r="A45" s="40"/>
      <c r="B45" s="281" t="s">
        <v>20</v>
      </c>
      <c r="C45" s="132">
        <f>IF($O$14=1,C34-((C34*$O$13)+$O$17*(C34-$C$10))-'11.1 - Auxiliar Viabilidade'!J19,0)</f>
        <v>0</v>
      </c>
      <c r="D45" s="132">
        <f>IF($O$14=2,D34-((D34*$O$13)+$O$17*(D34-$C$10))-'11.1 - Auxiliar Viabilidade'!J31,0)</f>
        <v>0</v>
      </c>
      <c r="E45" s="132">
        <f>IF($O$14=3,E34-((E34*$O$13)+$O$17*(E34-$C$10))-'11.1 - Auxiliar Viabilidade'!J43,0)</f>
        <v>0</v>
      </c>
      <c r="F45" s="132">
        <f>IF($O$14=4,F34-((F34*$O$13)+$O$17*(F34-$C$10))-'11.1 - Auxiliar Viabilidade'!J55,0)</f>
        <v>0</v>
      </c>
      <c r="G45" s="132">
        <f>IF($O$14=5,G34-((G34*$O$13)+$O$17*(G34-$C$10))-'11.1 - Auxiliar Viabilidade'!J67,0)</f>
        <v>0</v>
      </c>
      <c r="H45" s="132">
        <f>IF($O$14=6,H34-((H34*$O$13)+$O$17*(H34-$C$10))-'11.1 - Auxiliar Viabilidade'!J79,0)</f>
        <v>0</v>
      </c>
      <c r="I45" s="132">
        <f>IF($O$14=7,I34-((I34*$O$13)+$O$17*(I34-$C$10))-'11.1 - Auxiliar Viabilidade'!J91,0)</f>
        <v>0</v>
      </c>
      <c r="J45" s="132">
        <f>IF($O$14=8,J34-((J34*$O$13)+$O$17*(J34-$C$10))-'11.1 - Auxiliar Viabilidade'!J103,0)</f>
        <v>0</v>
      </c>
      <c r="K45" s="132">
        <f>IF($O$14=9,K34-((K34*$O$13)+$O$17*(K34-$C$10))-'11.1 - Auxiliar Viabilidade'!J115,0)</f>
        <v>0</v>
      </c>
      <c r="L45" s="132">
        <f>IF($O$14=10,L34-((L34*$O$13)+$O$17*(L34-$C$10))-'11.1 - Auxiliar Viabilidade'!J127,0)</f>
        <v>0</v>
      </c>
      <c r="M45" s="132">
        <f>IF($O$14=11,M34-((M34*$O$13)+$O$17*(M34-$C$10))-'11.1 - Auxiliar Viabilidade'!J139,0)</f>
        <v>0</v>
      </c>
      <c r="N45" s="132">
        <f>IF($O$14=12,N34-((N34*$O$13)+$O$17*(N34-$C$10))-'11.1 - Auxiliar Viabilidade'!J151,0)</f>
        <v>0</v>
      </c>
      <c r="O45" s="132">
        <f>IF($O$14=13,O34-((O34*$O$13)+$O$17*(O34-$C$10))-'11.1 - Auxiliar Viabilidade'!J163,0)</f>
        <v>0</v>
      </c>
      <c r="P45" s="132">
        <f>IF($O$14=14,P34-((P34*$O$13)+$O$17*(P34-$C$10))-'11.1 - Auxiliar Viabilidade'!J175,0)</f>
        <v>0</v>
      </c>
      <c r="Q45" s="132">
        <f>IF($O$14=15,$Q$34-(($Q$34*$O$13)+$O$17*($Q$34-$C$10))-'11.1 - Auxiliar Viabilidade'!$J$187,0)</f>
        <v>555833.20266093174</v>
      </c>
      <c r="R45" s="35"/>
      <c r="S45" s="282" t="s">
        <v>255</v>
      </c>
      <c r="T45" s="284">
        <f>SUM(D46:Q46)/-C46</f>
        <v>4.4932695009369956</v>
      </c>
      <c r="U45" s="41"/>
      <c r="V45" s="282" t="s">
        <v>255</v>
      </c>
      <c r="W45" s="118"/>
      <c r="X45" s="278"/>
      <c r="Y45" s="278"/>
      <c r="Z45" s="278"/>
      <c r="AA45" s="115"/>
      <c r="AB45" s="40"/>
    </row>
    <row r="46" spans="1:28" ht="15.75" customHeight="1" outlineLevel="1">
      <c r="A46" s="40"/>
      <c r="B46" s="285" t="s">
        <v>249</v>
      </c>
      <c r="C46" s="286">
        <f t="shared" ref="C46:Q46" si="3">SUM(C43:C45)</f>
        <v>-148042.13483307435</v>
      </c>
      <c r="D46" s="286">
        <f t="shared" si="3"/>
        <v>-5712.6019167606546</v>
      </c>
      <c r="E46" s="286">
        <f t="shared" si="3"/>
        <v>-3898.7856495458841</v>
      </c>
      <c r="F46" s="286">
        <f t="shared" si="3"/>
        <v>-2027.0864610207254</v>
      </c>
      <c r="G46" s="286">
        <f t="shared" si="3"/>
        <v>-94.610205119651255</v>
      </c>
      <c r="H46" s="286">
        <f t="shared" si="3"/>
        <v>1901.6819715261267</v>
      </c>
      <c r="I46" s="286">
        <f t="shared" si="3"/>
        <v>3964.9808649538468</v>
      </c>
      <c r="J46" s="286">
        <f t="shared" si="3"/>
        <v>6098.6368110026033</v>
      </c>
      <c r="K46" s="286">
        <f t="shared" si="3"/>
        <v>8306.1676623034527</v>
      </c>
      <c r="L46" s="286">
        <f t="shared" si="3"/>
        <v>10591.267164118999</v>
      </c>
      <c r="M46" s="286">
        <f t="shared" si="3"/>
        <v>12957.813748974972</v>
      </c>
      <c r="N46" s="286">
        <f t="shared" si="3"/>
        <v>15409.879771023403</v>
      </c>
      <c r="O46" s="286">
        <f t="shared" si="3"/>
        <v>17951.741202123903</v>
      </c>
      <c r="P46" s="286">
        <f t="shared" si="3"/>
        <v>20587.887812729088</v>
      </c>
      <c r="Q46" s="286">
        <f t="shared" si="3"/>
        <v>579156.23652274592</v>
      </c>
      <c r="R46" s="35"/>
      <c r="S46" s="282" t="s">
        <v>256</v>
      </c>
      <c r="T46" s="254">
        <f t="array" ref="T46">NPV($O$15,D46:Q46)+C46</f>
        <v>31460.322517938679</v>
      </c>
      <c r="U46" s="145">
        <f>C46/C39</f>
        <v>0.41466038088761342</v>
      </c>
      <c r="V46" s="282" t="s">
        <v>256</v>
      </c>
      <c r="W46" s="118"/>
      <c r="X46" s="278"/>
      <c r="Y46" s="278"/>
      <c r="Z46" s="278"/>
      <c r="AA46" s="115"/>
      <c r="AB46" s="40"/>
    </row>
    <row r="47" spans="1:28" ht="15.75" customHeight="1" outlineLevel="1">
      <c r="A47" s="40"/>
      <c r="B47" s="285" t="s">
        <v>250</v>
      </c>
      <c r="C47" s="287">
        <f>C44/-$C$43</f>
        <v>-0.17029355599268264</v>
      </c>
      <c r="D47" s="287">
        <f t="shared" ref="D47:Q47" si="4">IF($C$44&lt;0,-D44/$C$46,-D44/$C$43)</f>
        <v>-3.8587675888367375E-2</v>
      </c>
      <c r="E47" s="287">
        <f t="shared" si="4"/>
        <v>-2.6335648658011988E-2</v>
      </c>
      <c r="F47" s="287">
        <f t="shared" si="4"/>
        <v>-1.3692631920678372E-2</v>
      </c>
      <c r="G47" s="287">
        <f t="shared" si="4"/>
        <v>-6.3907620101756482E-4</v>
      </c>
      <c r="H47" s="287">
        <f t="shared" si="4"/>
        <v>1.2845545450086746E-2</v>
      </c>
      <c r="I47" s="287">
        <f t="shared" si="4"/>
        <v>2.6782786329206755E-2</v>
      </c>
      <c r="J47" s="287">
        <f t="shared" si="4"/>
        <v>4.119527739774323E-2</v>
      </c>
      <c r="K47" s="287">
        <f t="shared" si="4"/>
        <v>5.610678116516702E-2</v>
      </c>
      <c r="L47" s="287">
        <f t="shared" si="4"/>
        <v>7.1542248266422498E-2</v>
      </c>
      <c r="M47" s="287">
        <f t="shared" si="4"/>
        <v>8.7527876868201196E-2</v>
      </c>
      <c r="N47" s="287">
        <f t="shared" si="4"/>
        <v>0.10409117504552937</v>
      </c>
      <c r="O47" s="287">
        <f t="shared" si="4"/>
        <v>0.12126102627718439</v>
      </c>
      <c r="P47" s="287">
        <f t="shared" si="4"/>
        <v>0.13906775821588269</v>
      </c>
      <c r="Q47" s="287">
        <f t="shared" si="4"/>
        <v>0.15754321489697631</v>
      </c>
      <c r="R47" s="35"/>
      <c r="S47" s="282" t="s">
        <v>257</v>
      </c>
      <c r="T47" s="254">
        <f>(100%*T46)/U46</f>
        <v>75870.095065738773</v>
      </c>
      <c r="U47" s="145">
        <v>1</v>
      </c>
      <c r="V47" s="282" t="s">
        <v>257</v>
      </c>
      <c r="W47" s="119"/>
      <c r="X47" s="121"/>
      <c r="Y47" s="121"/>
      <c r="Z47" s="121"/>
      <c r="AA47" s="122"/>
      <c r="AB47" s="40"/>
    </row>
    <row r="48" spans="1:28" ht="15.75" customHeight="1">
      <c r="A48" s="4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1"/>
      <c r="O48" s="40"/>
      <c r="P48" s="40"/>
      <c r="Q48" s="40"/>
      <c r="R48" s="40"/>
      <c r="S48" s="40"/>
      <c r="T48" s="40"/>
      <c r="U48" s="41"/>
      <c r="V48" s="212"/>
      <c r="W48" s="142"/>
      <c r="X48" s="143"/>
      <c r="Y48" s="143"/>
      <c r="Z48" s="143"/>
      <c r="AA48" s="144"/>
      <c r="AB48" s="40"/>
    </row>
    <row r="49" spans="1:28" ht="15.75" customHeight="1">
      <c r="A49" s="40"/>
      <c r="B49" s="252" t="s">
        <v>258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1"/>
      <c r="O49" s="40"/>
      <c r="P49" s="40"/>
      <c r="Q49" s="40"/>
      <c r="R49" s="40"/>
      <c r="S49" s="40"/>
      <c r="T49" s="40"/>
      <c r="U49" s="41"/>
      <c r="V49" s="212"/>
      <c r="W49" s="146"/>
      <c r="X49" s="143"/>
      <c r="Y49" s="143"/>
      <c r="Z49" s="143"/>
      <c r="AA49" s="144"/>
      <c r="AB49" s="40"/>
    </row>
    <row r="50" spans="1:28" ht="15.75" customHeight="1" outlineLevel="1">
      <c r="A50" s="40"/>
      <c r="B50" s="212"/>
      <c r="C50" s="6" t="s">
        <v>5</v>
      </c>
      <c r="D50" s="240" t="s">
        <v>5</v>
      </c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35"/>
      <c r="Q50" s="35"/>
      <c r="R50" s="35"/>
      <c r="S50" s="35"/>
      <c r="T50" s="35"/>
      <c r="U50" s="40"/>
      <c r="V50" s="212"/>
      <c r="W50" s="147"/>
      <c r="X50" s="143"/>
      <c r="Y50" s="143"/>
      <c r="Z50" s="143"/>
      <c r="AA50" s="144"/>
      <c r="AB50" s="40"/>
    </row>
    <row r="51" spans="1:28" ht="15.75" customHeight="1" outlineLevel="1">
      <c r="A51" s="40"/>
      <c r="B51" s="212"/>
      <c r="C51" s="255" t="s">
        <v>231</v>
      </c>
      <c r="D51" s="51">
        <v>0</v>
      </c>
      <c r="E51" s="126">
        <v>0</v>
      </c>
      <c r="F51" s="126">
        <v>0</v>
      </c>
      <c r="G51" s="126">
        <v>0</v>
      </c>
      <c r="H51" s="126">
        <v>0</v>
      </c>
      <c r="I51" s="126">
        <v>0</v>
      </c>
      <c r="J51" s="126"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v>0</v>
      </c>
      <c r="P51" s="126">
        <v>0</v>
      </c>
      <c r="Q51" s="127">
        <v>0</v>
      </c>
      <c r="R51" s="35"/>
      <c r="S51" s="35"/>
      <c r="T51" s="35"/>
      <c r="U51" s="40"/>
      <c r="V51" s="212"/>
      <c r="W51" s="148"/>
      <c r="X51" s="143"/>
      <c r="Y51" s="143"/>
      <c r="Z51" s="143"/>
      <c r="AA51" s="144"/>
      <c r="AB51" s="40"/>
    </row>
    <row r="52" spans="1:28" ht="15.75" customHeight="1" outlineLevel="1">
      <c r="A52" s="40"/>
      <c r="B52" s="128"/>
      <c r="C52" s="129">
        <f>$C$10+$C$23</f>
        <v>350000</v>
      </c>
      <c r="D52" s="129">
        <f t="shared" ref="D52:Q52" si="5">IF(D51&lt;C52,(C52+(C52*$O$11)),D51)</f>
        <v>367500</v>
      </c>
      <c r="E52" s="129">
        <f t="shared" si="5"/>
        <v>385875</v>
      </c>
      <c r="F52" s="129">
        <f t="shared" si="5"/>
        <v>405168.75</v>
      </c>
      <c r="G52" s="129">
        <f t="shared" si="5"/>
        <v>425427.1875</v>
      </c>
      <c r="H52" s="129">
        <f t="shared" si="5"/>
        <v>446698.546875</v>
      </c>
      <c r="I52" s="129">
        <f t="shared" si="5"/>
        <v>469033.47421875002</v>
      </c>
      <c r="J52" s="129">
        <f t="shared" si="5"/>
        <v>492485.14792968752</v>
      </c>
      <c r="K52" s="129">
        <f t="shared" si="5"/>
        <v>517109.40532617189</v>
      </c>
      <c r="L52" s="129">
        <f t="shared" si="5"/>
        <v>542964.87559248053</v>
      </c>
      <c r="M52" s="129">
        <f t="shared" si="5"/>
        <v>570113.11937210453</v>
      </c>
      <c r="N52" s="129">
        <f t="shared" si="5"/>
        <v>598618.77534070972</v>
      </c>
      <c r="O52" s="129">
        <f t="shared" si="5"/>
        <v>628549.71410774521</v>
      </c>
      <c r="P52" s="129">
        <f t="shared" si="5"/>
        <v>659977.19981313252</v>
      </c>
      <c r="Q52" s="129">
        <f t="shared" si="5"/>
        <v>692976.05980378913</v>
      </c>
      <c r="R52" s="35"/>
      <c r="S52" s="35"/>
      <c r="T52" s="35"/>
      <c r="U52" s="40"/>
      <c r="V52" s="212"/>
      <c r="W52" s="148"/>
      <c r="X52" s="143"/>
      <c r="Y52" s="143"/>
      <c r="Z52" s="143"/>
      <c r="AA52" s="144"/>
      <c r="AB52" s="40"/>
    </row>
    <row r="53" spans="1:28" ht="15.75" customHeight="1" outlineLevel="1">
      <c r="A53" s="40"/>
      <c r="B53" s="130" t="s">
        <v>35</v>
      </c>
      <c r="C53" s="131" t="s">
        <v>232</v>
      </c>
      <c r="D53" s="131" t="s">
        <v>233</v>
      </c>
      <c r="E53" s="131" t="s">
        <v>234</v>
      </c>
      <c r="F53" s="131" t="s">
        <v>235</v>
      </c>
      <c r="G53" s="131" t="s">
        <v>236</v>
      </c>
      <c r="H53" s="131" t="s">
        <v>237</v>
      </c>
      <c r="I53" s="131" t="s">
        <v>238</v>
      </c>
      <c r="J53" s="131" t="s">
        <v>239</v>
      </c>
      <c r="K53" s="131" t="s">
        <v>240</v>
      </c>
      <c r="L53" s="131" t="s">
        <v>241</v>
      </c>
      <c r="M53" s="131" t="s">
        <v>242</v>
      </c>
      <c r="N53" s="131" t="s">
        <v>243</v>
      </c>
      <c r="O53" s="131" t="s">
        <v>244</v>
      </c>
      <c r="P53" s="131" t="s">
        <v>245</v>
      </c>
      <c r="Q53" s="131" t="s">
        <v>246</v>
      </c>
      <c r="R53" s="35"/>
      <c r="S53" s="131" t="s">
        <v>247</v>
      </c>
      <c r="T53" s="131"/>
      <c r="U53" s="40"/>
      <c r="V53" s="212"/>
      <c r="W53" s="123"/>
      <c r="X53" s="124"/>
      <c r="Y53" s="124"/>
      <c r="Z53" s="124"/>
      <c r="AA53" s="144"/>
      <c r="AB53" s="40"/>
    </row>
    <row r="54" spans="1:28" ht="15.75" customHeight="1" outlineLevel="1">
      <c r="A54" s="40"/>
      <c r="B54" s="281" t="s">
        <v>17</v>
      </c>
      <c r="C54" s="132">
        <f>IF(G11&lt;=12,-($D$19+$D$20+$D$21+$C$10+$C$23),(-C10))</f>
        <v>-365000</v>
      </c>
      <c r="D54" s="132">
        <f>IF(G11&lt;=12,0,-(D19+D20+D21+C23))</f>
        <v>0</v>
      </c>
      <c r="E54" s="132"/>
      <c r="F54" s="132"/>
      <c r="G54" s="30"/>
      <c r="H54" s="30"/>
      <c r="I54" s="30"/>
      <c r="J54" s="30"/>
      <c r="K54" s="30"/>
      <c r="L54" s="133"/>
      <c r="M54" s="212"/>
      <c r="N54" s="212"/>
      <c r="O54" s="212"/>
      <c r="P54" s="212"/>
      <c r="Q54" s="212"/>
      <c r="R54" s="35"/>
      <c r="S54" s="282" t="s">
        <v>22</v>
      </c>
      <c r="T54" s="273">
        <f>IRR(C57:Q57)</f>
        <v>0.11387440706049845</v>
      </c>
      <c r="U54" s="40"/>
      <c r="V54" s="282" t="s">
        <v>22</v>
      </c>
      <c r="W54" s="149"/>
      <c r="X54" s="111"/>
      <c r="Y54" s="111"/>
      <c r="Z54" s="111"/>
      <c r="AA54" s="112"/>
      <c r="AB54" s="40"/>
    </row>
    <row r="55" spans="1:28" ht="15.75" customHeight="1" outlineLevel="1">
      <c r="A55" s="40"/>
      <c r="B55" s="281" t="s">
        <v>19</v>
      </c>
      <c r="C55" s="132">
        <f>IF($O$14&gt;=1,SUM('11.1 - Auxiliar Viabilidade'!$AD$8:$AD$19),0)</f>
        <v>7979.793448849834</v>
      </c>
      <c r="D55" s="132">
        <f>IF($O$14&gt;=2,SUM('11.1 - Auxiliar Viabilidade'!$AD$20:$AD$31),0)</f>
        <v>23153.168524156597</v>
      </c>
      <c r="E55" s="132">
        <f>IF($O$14&gt;=3,SUM('11.1 - Auxiliar Viabilidade'!$AD$32:$AD$43),0)</f>
        <v>24310.826950364433</v>
      </c>
      <c r="F55" s="132">
        <f>IF($O$14&gt;=4,SUM('11.1 - Auxiliar Viabilidade'!$AD$44:$AD$55),0)</f>
        <v>25526.368297882651</v>
      </c>
      <c r="G55" s="132">
        <f>IF($O$14&gt;=5,SUM('11.1 - Auxiliar Viabilidade'!$AD$56:$AD$67),0)</f>
        <v>26802.686712776784</v>
      </c>
      <c r="H55" s="132">
        <f>IF($O$14&gt;=6,SUM('11.1 - Auxiliar Viabilidade'!$AD$68:$AD$79),0)</f>
        <v>28142.821048415622</v>
      </c>
      <c r="I55" s="132">
        <f>IF($O$14&gt;=7,SUM('11.1 - Auxiliar Viabilidade'!$AD$80:$AD$91),0)</f>
        <v>29549.962100836412</v>
      </c>
      <c r="J55" s="132">
        <f>IF($O$14&gt;=8,SUM('11.1 - Auxiliar Viabilidade'!$AD$92:$AD$103),0)</f>
        <v>31027.460205878233</v>
      </c>
      <c r="K55" s="132">
        <f>IF($O$14&gt;=9,SUM('11.1 - Auxiliar Viabilidade'!$AD$104:$AD$115),0)</f>
        <v>32578.833216172141</v>
      </c>
      <c r="L55" s="132">
        <f>IF($O$14&gt;=10,SUM('11.1 - Auxiliar Viabilidade'!$AD$116:$AD$127)-$O$12,0)</f>
        <v>34207.774876980759</v>
      </c>
      <c r="M55" s="132">
        <f>IF($O$14&gt;=11,SUM('11.1 - Auxiliar Viabilidade'!$AD$128:$AD$139),0)</f>
        <v>35918.163620829786</v>
      </c>
      <c r="N55" s="132">
        <f>IF($O$14&gt;=12,SUM('11.1 - Auxiliar Viabilidade'!$AD$140:$AD$151),0)</f>
        <v>37714.07180187128</v>
      </c>
      <c r="O55" s="132">
        <f>IF($O$14&gt;=13,SUM('11.1 - Auxiliar Viabilidade'!$AD$152:$AD$163),0)</f>
        <v>39599.775391964846</v>
      </c>
      <c r="P55" s="132">
        <f>IF($O$14&gt;=14,SUM('11.1 - Auxiliar Viabilidade'!$AD$164:$AD$175),0)</f>
        <v>41579.7641615631</v>
      </c>
      <c r="Q55" s="132">
        <f>IF($O$14&gt;=15,SUM('11.1 - Auxiliar Viabilidade'!$AD$176:$AD$187),0)</f>
        <v>43658.752369641246</v>
      </c>
      <c r="R55" s="35"/>
      <c r="S55" s="282" t="s">
        <v>28</v>
      </c>
      <c r="T55" s="283">
        <f>IF(G11&lt;=12,(SUM(D57:Q57)+C57)/-C57,(SUM(E57:Q57)+(C57+D57))/-(C57+D57))</f>
        <v>2.2119932374719213</v>
      </c>
      <c r="U55" s="40"/>
      <c r="V55" s="282" t="s">
        <v>28</v>
      </c>
      <c r="W55" s="150"/>
      <c r="X55" s="278"/>
      <c r="Y55" s="278"/>
      <c r="Z55" s="278"/>
      <c r="AA55" s="115"/>
      <c r="AB55" s="40"/>
    </row>
    <row r="56" spans="1:28" ht="15.75" customHeight="1" outlineLevel="1">
      <c r="A56" s="40"/>
      <c r="B56" s="281" t="s">
        <v>20</v>
      </c>
      <c r="C56" s="132">
        <f>IF($O$14=1,C52-((C52*$O$13)+$O$17*(C52-$C$10)),0)</f>
        <v>0</v>
      </c>
      <c r="D56" s="132">
        <f>IF($O$14=2,D52-((D52*$O$13)+$O$17*(D52-$C$10)),0)</f>
        <v>0</v>
      </c>
      <c r="E56" s="132">
        <f>IF($O$14=3,E52-((E52*$O$13)+$O$17*(E52-$C$10)),0)</f>
        <v>0</v>
      </c>
      <c r="F56" s="132">
        <f>IF($O$14=4,F52-((F52*$O$13)+$O$17*(F52-$C$10)),0)</f>
        <v>0</v>
      </c>
      <c r="G56" s="132">
        <f>IF($O$14=5,G52-((G52*$O$13)+$O$17*(G52-$C$10)),0)</f>
        <v>0</v>
      </c>
      <c r="H56" s="132">
        <f>IF($O$14=6,H52-((H52*$O$13)+$O$17*(H52-$C$10)),0)</f>
        <v>0</v>
      </c>
      <c r="I56" s="132">
        <f>IF($O$14=7,I52-((I52*$O$13)+$O$17*(I52-$C$10)),0)</f>
        <v>0</v>
      </c>
      <c r="J56" s="132">
        <f>IF($O$14=8,J52-((J52*$O$13)+$O$17*(J52-$C$10)),0)</f>
        <v>0</v>
      </c>
      <c r="K56" s="132">
        <f>IF($O$14=9,K52-((K52*$O$13)+$O$17*(K52-$C$10)),0)</f>
        <v>0</v>
      </c>
      <c r="L56" s="132">
        <f>IF($O$14=10,L52-((L52*$O$13)+$O$17*(L52-$C$10)),0)</f>
        <v>0</v>
      </c>
      <c r="M56" s="132">
        <f>IF($O$14=11,M52-((M52*$O$13)+$O$17*(M52-$C$10)),0)</f>
        <v>0</v>
      </c>
      <c r="N56" s="132">
        <f>IF($O$14=12,N52-((N52*$O$13)+$O$17*(N52-$C$10)),0)</f>
        <v>0</v>
      </c>
      <c r="O56" s="132">
        <f>IF($O$14=13,O52-((O52*$O$13)+$O$17*(O52-$C$10)),0)</f>
        <v>0</v>
      </c>
      <c r="P56" s="132">
        <f>IF($O$14=14,P52-((P52*$O$13)+$O$17*(P52-$C$10)),0)</f>
        <v>0</v>
      </c>
      <c r="Q56" s="132">
        <f>IF($O$14=15,$Q$52-(($Q$52*$O$13)+$O$17*($Q$52-$C$10)),0)</f>
        <v>692976.05980378913</v>
      </c>
      <c r="R56" s="35"/>
      <c r="S56" s="282" t="s">
        <v>248</v>
      </c>
      <c r="T56" s="284">
        <f>IF(G11&lt;=12,SUM(D57:Q57)/-C57,SUM(E57:Q57)/-(C57+D57))</f>
        <v>3.2119932374719213</v>
      </c>
      <c r="U56" s="40"/>
      <c r="V56" s="282" t="s">
        <v>248</v>
      </c>
      <c r="W56" s="150"/>
      <c r="X56" s="278"/>
      <c r="Y56" s="278"/>
      <c r="Z56" s="278"/>
      <c r="AA56" s="115"/>
      <c r="AB56" s="40"/>
    </row>
    <row r="57" spans="1:28" ht="15.75" customHeight="1" outlineLevel="1">
      <c r="A57" s="40"/>
      <c r="B57" s="285" t="s">
        <v>249</v>
      </c>
      <c r="C57" s="286">
        <f t="shared" ref="C57:Q57" si="6">SUM(C54:C56)</f>
        <v>-357020.20655115019</v>
      </c>
      <c r="D57" s="286">
        <f t="shared" si="6"/>
        <v>23153.168524156597</v>
      </c>
      <c r="E57" s="286">
        <f t="shared" si="6"/>
        <v>24310.826950364433</v>
      </c>
      <c r="F57" s="286">
        <f t="shared" si="6"/>
        <v>25526.368297882651</v>
      </c>
      <c r="G57" s="286">
        <f t="shared" si="6"/>
        <v>26802.686712776784</v>
      </c>
      <c r="H57" s="286">
        <f t="shared" si="6"/>
        <v>28142.821048415622</v>
      </c>
      <c r="I57" s="286">
        <f t="shared" si="6"/>
        <v>29549.962100836412</v>
      </c>
      <c r="J57" s="286">
        <f t="shared" si="6"/>
        <v>31027.460205878233</v>
      </c>
      <c r="K57" s="286">
        <f t="shared" si="6"/>
        <v>32578.833216172141</v>
      </c>
      <c r="L57" s="286">
        <f t="shared" si="6"/>
        <v>34207.774876980759</v>
      </c>
      <c r="M57" s="286">
        <f t="shared" si="6"/>
        <v>35918.163620829786</v>
      </c>
      <c r="N57" s="286">
        <f t="shared" si="6"/>
        <v>37714.07180187128</v>
      </c>
      <c r="O57" s="286">
        <f t="shared" si="6"/>
        <v>39599.775391964846</v>
      </c>
      <c r="P57" s="286">
        <f t="shared" si="6"/>
        <v>41579.7641615631</v>
      </c>
      <c r="Q57" s="286">
        <f t="shared" si="6"/>
        <v>736634.81217343034</v>
      </c>
      <c r="R57" s="35"/>
      <c r="S57" s="282" t="s">
        <v>18</v>
      </c>
      <c r="T57" s="254">
        <f t="array" ref="T57">NPV($O$15,D57:Q57)+C57</f>
        <v>47094.424482538772</v>
      </c>
      <c r="U57" s="40"/>
      <c r="V57" s="282" t="s">
        <v>18</v>
      </c>
      <c r="W57" s="151"/>
      <c r="X57" s="121"/>
      <c r="Y57" s="121"/>
      <c r="Z57" s="121"/>
      <c r="AA57" s="122"/>
      <c r="AB57" s="40"/>
    </row>
    <row r="58" spans="1:28" ht="15.75" customHeight="1" outlineLevel="1">
      <c r="A58" s="40"/>
      <c r="B58" s="285" t="s">
        <v>250</v>
      </c>
      <c r="C58" s="287">
        <f>C55/-$C$36</f>
        <v>2.186244780506804E-2</v>
      </c>
      <c r="D58" s="287">
        <f t="shared" ref="D58:Q58" si="7">IF($C$55&lt;0,-D55/$C$57,-D55/$C$54)</f>
        <v>6.3433338422346844E-2</v>
      </c>
      <c r="E58" s="287">
        <f t="shared" si="7"/>
        <v>6.6605005343464196E-2</v>
      </c>
      <c r="F58" s="287">
        <f t="shared" si="7"/>
        <v>6.9935255610637403E-2</v>
      </c>
      <c r="G58" s="287">
        <f t="shared" si="7"/>
        <v>7.3432018391169265E-2</v>
      </c>
      <c r="H58" s="287">
        <f t="shared" si="7"/>
        <v>7.7103619310727733E-2</v>
      </c>
      <c r="I58" s="287">
        <f t="shared" si="7"/>
        <v>8.0958800276264148E-2</v>
      </c>
      <c r="J58" s="287">
        <f t="shared" si="7"/>
        <v>8.5006740290077348E-2</v>
      </c>
      <c r="K58" s="287">
        <f t="shared" si="7"/>
        <v>8.9257077304581212E-2</v>
      </c>
      <c r="L58" s="287">
        <f t="shared" si="7"/>
        <v>9.3719931169810297E-2</v>
      </c>
      <c r="M58" s="287">
        <f t="shared" si="7"/>
        <v>9.8405927728300785E-2</v>
      </c>
      <c r="N58" s="287">
        <f t="shared" si="7"/>
        <v>0.10332622411471583</v>
      </c>
      <c r="O58" s="287">
        <f t="shared" si="7"/>
        <v>0.10849253532045164</v>
      </c>
      <c r="P58" s="287">
        <f t="shared" si="7"/>
        <v>0.11391716208647425</v>
      </c>
      <c r="Q58" s="287">
        <f t="shared" si="7"/>
        <v>0.11961302019079793</v>
      </c>
      <c r="R58" s="35"/>
      <c r="S58" s="138"/>
      <c r="T58" s="45"/>
      <c r="U58" s="40"/>
      <c r="V58" s="41"/>
      <c r="W58" s="148"/>
      <c r="X58" s="143"/>
      <c r="Y58" s="143"/>
      <c r="Z58" s="143"/>
      <c r="AA58" s="144"/>
      <c r="AB58" s="40"/>
    </row>
    <row r="59" spans="1:28" ht="15.75" customHeight="1" outlineLevel="1">
      <c r="A59" s="40"/>
      <c r="B59" s="1"/>
      <c r="C59" s="1"/>
      <c r="D59" s="1"/>
      <c r="E59" s="1"/>
      <c r="F59" s="1"/>
      <c r="G59" s="1"/>
      <c r="H59" s="1"/>
      <c r="I59" s="1"/>
      <c r="J59" s="1"/>
      <c r="K59" s="1"/>
      <c r="L59" s="212"/>
      <c r="M59" s="212"/>
      <c r="N59" s="212"/>
      <c r="O59" s="212"/>
      <c r="P59" s="212"/>
      <c r="Q59" s="212"/>
      <c r="R59" s="35"/>
      <c r="S59" s="35"/>
      <c r="T59" s="35"/>
      <c r="U59" s="40"/>
      <c r="V59" s="41"/>
      <c r="W59" s="148"/>
      <c r="X59" s="143"/>
      <c r="Y59" s="143"/>
      <c r="Z59" s="143"/>
      <c r="AA59" s="144"/>
      <c r="AB59" s="40"/>
    </row>
    <row r="60" spans="1:28" ht="15.75" customHeight="1" outlineLevel="1">
      <c r="A60" s="40"/>
      <c r="B60" s="130" t="s">
        <v>251</v>
      </c>
      <c r="C60" s="131" t="s">
        <v>232</v>
      </c>
      <c r="D60" s="131" t="s">
        <v>233</v>
      </c>
      <c r="E60" s="131" t="s">
        <v>234</v>
      </c>
      <c r="F60" s="131" t="s">
        <v>235</v>
      </c>
      <c r="G60" s="131" t="s">
        <v>236</v>
      </c>
      <c r="H60" s="131" t="s">
        <v>237</v>
      </c>
      <c r="I60" s="131" t="s">
        <v>238</v>
      </c>
      <c r="J60" s="131" t="s">
        <v>239</v>
      </c>
      <c r="K60" s="131" t="s">
        <v>240</v>
      </c>
      <c r="L60" s="131" t="s">
        <v>241</v>
      </c>
      <c r="M60" s="131" t="s">
        <v>242</v>
      </c>
      <c r="N60" s="131" t="s">
        <v>243</v>
      </c>
      <c r="O60" s="131" t="s">
        <v>244</v>
      </c>
      <c r="P60" s="131" t="s">
        <v>245</v>
      </c>
      <c r="Q60" s="131" t="s">
        <v>246</v>
      </c>
      <c r="R60" s="35"/>
      <c r="S60" s="131" t="s">
        <v>252</v>
      </c>
      <c r="T60" s="131"/>
      <c r="U60" s="40"/>
      <c r="V60" s="41"/>
      <c r="W60" s="148"/>
      <c r="X60" s="143"/>
      <c r="Y60" s="143"/>
      <c r="Z60" s="143"/>
      <c r="AA60" s="144"/>
      <c r="AB60" s="40"/>
    </row>
    <row r="61" spans="1:28" ht="15.75" customHeight="1" outlineLevel="1">
      <c r="A61" s="40"/>
      <c r="B61" s="281" t="s">
        <v>17</v>
      </c>
      <c r="C61" s="132">
        <f>IF(G11&lt;=12,-(D19+D21+C22+C23),0)</f>
        <v>-66500</v>
      </c>
      <c r="D61" s="132">
        <f>IF(G11&gt;=13,-(D19+D21+C22+C23),0)</f>
        <v>0</v>
      </c>
      <c r="E61" s="132"/>
      <c r="F61" s="132"/>
      <c r="G61" s="30"/>
      <c r="H61" s="30"/>
      <c r="I61" s="30"/>
      <c r="J61" s="30"/>
      <c r="K61" s="30"/>
      <c r="L61" s="133"/>
      <c r="M61" s="212"/>
      <c r="N61" s="212"/>
      <c r="O61" s="212"/>
      <c r="P61" s="212"/>
      <c r="Q61" s="212"/>
      <c r="R61" s="35"/>
      <c r="S61" s="282" t="s">
        <v>253</v>
      </c>
      <c r="T61" s="273">
        <f>IRR(C64:Q64)</f>
        <v>0.15742527333698231</v>
      </c>
      <c r="U61" s="40"/>
      <c r="V61" s="282" t="s">
        <v>253</v>
      </c>
      <c r="W61" s="149"/>
      <c r="X61" s="111"/>
      <c r="Y61" s="111"/>
      <c r="Z61" s="111"/>
      <c r="AA61" s="112"/>
      <c r="AB61" s="40"/>
    </row>
    <row r="62" spans="1:28" ht="15.75" customHeight="1" outlineLevel="1">
      <c r="A62" s="40"/>
      <c r="B62" s="281" t="s">
        <v>259</v>
      </c>
      <c r="C62" s="132">
        <f>IF($O$14&gt;=1,SUM('11.1 - Auxiliar Viabilidade'!$AC$8:$AC$19),0)</f>
        <v>-21542.134833074353</v>
      </c>
      <c r="D62" s="132">
        <f>IF($O$14&gt;=2,SUM('11.1 - Auxiliar Viabilidade'!$AC$20:$AC$31),0)</f>
        <v>-5712.6019167606546</v>
      </c>
      <c r="E62" s="132">
        <f>IF($O$14&gt;=3,SUM('11.1 - Auxiliar Viabilidade'!$AC$32:$AC$43),0)</f>
        <v>-3898.7856495458841</v>
      </c>
      <c r="F62" s="132">
        <f>IF($O$14&gt;=4,SUM('11.1 - Auxiliar Viabilidade'!$AC$44:$AC$55),0)</f>
        <v>-2027.0864610207254</v>
      </c>
      <c r="G62" s="132">
        <f>IF($O$14&gt;=5,SUM('11.1 - Auxiliar Viabilidade'!$AC$56:$AC$67),0)</f>
        <v>-94.610205119651255</v>
      </c>
      <c r="H62" s="132">
        <f>IF($O$14&gt;=6,SUM('11.1 - Auxiliar Viabilidade'!$AC$68:$AC$79),0)</f>
        <v>1901.6819715261267</v>
      </c>
      <c r="I62" s="132">
        <f>IF($O$14&gt;=7,SUM('11.1 - Auxiliar Viabilidade'!$AC$80:$AC$91),0)</f>
        <v>3964.9808649538468</v>
      </c>
      <c r="J62" s="132">
        <f>IF($O$14&gt;=8,SUM('11.1 - Auxiliar Viabilidade'!$AC$92:$AC$103),0)</f>
        <v>6098.6368110026033</v>
      </c>
      <c r="K62" s="132">
        <f>IF($O$14&gt;=9,SUM('11.1 - Auxiliar Viabilidade'!$AC$104:$AC$115),0)</f>
        <v>8306.1676623034527</v>
      </c>
      <c r="L62" s="132">
        <f>IF($O$14&gt;=10,SUM('11.1 - Auxiliar Viabilidade'!$AC$116:$AC$127)-$O$12,0)</f>
        <v>10591.267164118999</v>
      </c>
      <c r="M62" s="132">
        <f>IF($O$14&gt;=11,SUM('11.1 - Auxiliar Viabilidade'!$AC$128:$AC$139),0)</f>
        <v>12957.813748974972</v>
      </c>
      <c r="N62" s="132">
        <f>IF($O$14&gt;=12,SUM('11.1 - Auxiliar Viabilidade'!$AC$140:$AC$151),0)</f>
        <v>15409.879771023403</v>
      </c>
      <c r="O62" s="132">
        <f>IF($O$14&gt;=13,SUM('11.1 - Auxiliar Viabilidade'!$AC$152:$AC$163),0)</f>
        <v>17951.741202123903</v>
      </c>
      <c r="P62" s="132">
        <f>IF($O$14&gt;=14,SUM('11.1 - Auxiliar Viabilidade'!$AC$164:$AC$175),0)</f>
        <v>20587.887812729088</v>
      </c>
      <c r="Q62" s="132">
        <f>IF($O$14&gt;=15,SUM('11.1 - Auxiliar Viabilidade'!$AC$176:$AC$187),0)</f>
        <v>23323.033861814176</v>
      </c>
      <c r="R62" s="35"/>
      <c r="S62" s="282" t="s">
        <v>254</v>
      </c>
      <c r="T62" s="283">
        <f>IF(G18&lt;=12,(SUM(D64:Q64)+C64)/-C64,(SUM(E64:Q64)+(C64+D64))/-(C64+D64))</f>
        <v>6.1559670953584842</v>
      </c>
      <c r="U62" s="40"/>
      <c r="V62" s="282" t="s">
        <v>254</v>
      </c>
      <c r="W62" s="150"/>
      <c r="X62" s="278"/>
      <c r="Y62" s="278"/>
      <c r="Z62" s="278"/>
      <c r="AA62" s="115"/>
      <c r="AB62" s="40"/>
    </row>
    <row r="63" spans="1:28" ht="15.75" customHeight="1" outlineLevel="1">
      <c r="A63" s="40"/>
      <c r="B63" s="281" t="s">
        <v>20</v>
      </c>
      <c r="C63" s="132">
        <f>IF($O$14=1,C52-((C52*$O$13)+$O$17*(C52-$C$10))-'11.1 - Auxiliar Viabilidade'!J37,0)</f>
        <v>0</v>
      </c>
      <c r="D63" s="132">
        <f>IF($O$14=2,D52-((D52*$O$13)+$O$17*(D52-$C$10))-'11.1 - Auxiliar Viabilidade'!J49,0)</f>
        <v>0</v>
      </c>
      <c r="E63" s="132">
        <f>IF($O$14=3,E52-((E52*$O$13)+$O$17*(E52-$C$10))-'11.1 - Auxiliar Viabilidade'!J61,0)</f>
        <v>0</v>
      </c>
      <c r="F63" s="132">
        <f>IF($O$14=4,F52-((F52*$O$13)+$O$17*(F52-$C$10))-'11.1 - Auxiliar Viabilidade'!J73,0)</f>
        <v>0</v>
      </c>
      <c r="G63" s="132">
        <f>IF($O$14=5,G52-((G52*$O$13)+$O$17*(G52-$C$10))-'11.1 - Auxiliar Viabilidade'!J85,0)</f>
        <v>0</v>
      </c>
      <c r="H63" s="132">
        <f>IF($O$14=6,H52-((H52*$O$13)+$O$17*(H52-$C$10))-'11.1 - Auxiliar Viabilidade'!J97,0)</f>
        <v>0</v>
      </c>
      <c r="I63" s="132">
        <f>IF($O$14=7,I52-((I52*$O$13)+$O$17*(I52-$C$10))-'11.1 - Auxiliar Viabilidade'!J109,0)</f>
        <v>0</v>
      </c>
      <c r="J63" s="132">
        <f>IF($O$14=8,J52-((J52*$O$13)+$O$17*(J52-$C$10))-'11.1 - Auxiliar Viabilidade'!J121,0)</f>
        <v>0</v>
      </c>
      <c r="K63" s="132">
        <f>IF($O$14=9,K52-((K52*$O$13)+$O$17*(K52-$C$10))-'11.1 - Auxiliar Viabilidade'!J133,0)</f>
        <v>0</v>
      </c>
      <c r="L63" s="132">
        <f>IF($O$14=10,L52-((L52*$O$13)+$O$17*(L52-$C$10))-'11.1 - Auxiliar Viabilidade'!J145,0)</f>
        <v>0</v>
      </c>
      <c r="M63" s="132">
        <f>IF($O$14=11,M52-((M52*$O$13)+$O$17*(M52-$C$10))-'11.1 - Auxiliar Viabilidade'!J157,0)</f>
        <v>0</v>
      </c>
      <c r="N63" s="132">
        <f>IF($O$14=12,N52-((N52*$O$13)+$O$17*(N52-$C$10))-'11.1 - Auxiliar Viabilidade'!J169,0)</f>
        <v>0</v>
      </c>
      <c r="O63" s="132">
        <f>IF($O$14=13,O52-((O52*$O$13)+$O$17*(O52-$C$10))-'11.1 - Auxiliar Viabilidade'!J181,0)</f>
        <v>0</v>
      </c>
      <c r="P63" s="132">
        <f>IF($O$14=14,P52-((P52*$O$13)+$O$17*(P52-$C$10))-'11.1 - Auxiliar Viabilidade'!J193,0)</f>
        <v>0</v>
      </c>
      <c r="Q63" s="132">
        <f>IF($O$14=15,$Q$52-(($Q$52*$O$13)+$O$17*($Q$52-$C$10))-'11.1 - Auxiliar Viabilidade'!$J$187,0)</f>
        <v>555833.20266093174</v>
      </c>
      <c r="R63" s="35"/>
      <c r="S63" s="282" t="s">
        <v>255</v>
      </c>
      <c r="T63" s="284">
        <f>IF(G18&lt;=12,SUM(D64:Q64)/-C64,SUM(E64:Q64)/-(C64+D64))</f>
        <v>7.1559670953584833</v>
      </c>
      <c r="U63" s="40"/>
      <c r="V63" s="282" t="s">
        <v>255</v>
      </c>
      <c r="W63" s="150"/>
      <c r="X63" s="278"/>
      <c r="Y63" s="278"/>
      <c r="Z63" s="278"/>
      <c r="AA63" s="115"/>
      <c r="AB63" s="40"/>
    </row>
    <row r="64" spans="1:28" ht="15.75" customHeight="1" outlineLevel="1">
      <c r="A64" s="40"/>
      <c r="B64" s="285" t="s">
        <v>249</v>
      </c>
      <c r="C64" s="286">
        <f t="shared" ref="C64:Q64" si="8">SUM(C61:C63)</f>
        <v>-88042.134833074349</v>
      </c>
      <c r="D64" s="286">
        <f t="shared" si="8"/>
        <v>-5712.6019167606546</v>
      </c>
      <c r="E64" s="286">
        <f t="shared" si="8"/>
        <v>-3898.7856495458841</v>
      </c>
      <c r="F64" s="286">
        <f t="shared" si="8"/>
        <v>-2027.0864610207254</v>
      </c>
      <c r="G64" s="286">
        <f t="shared" si="8"/>
        <v>-94.610205119651255</v>
      </c>
      <c r="H64" s="286">
        <f t="shared" si="8"/>
        <v>1901.6819715261267</v>
      </c>
      <c r="I64" s="286">
        <f t="shared" si="8"/>
        <v>3964.9808649538468</v>
      </c>
      <c r="J64" s="286">
        <f t="shared" si="8"/>
        <v>6098.6368110026033</v>
      </c>
      <c r="K64" s="286">
        <f t="shared" si="8"/>
        <v>8306.1676623034527</v>
      </c>
      <c r="L64" s="286">
        <f t="shared" si="8"/>
        <v>10591.267164118999</v>
      </c>
      <c r="M64" s="286">
        <f t="shared" si="8"/>
        <v>12957.813748974972</v>
      </c>
      <c r="N64" s="286">
        <f t="shared" si="8"/>
        <v>15409.879771023403</v>
      </c>
      <c r="O64" s="286">
        <f t="shared" si="8"/>
        <v>17951.741202123903</v>
      </c>
      <c r="P64" s="286">
        <f t="shared" si="8"/>
        <v>20587.887812729088</v>
      </c>
      <c r="Q64" s="286">
        <f t="shared" si="8"/>
        <v>579156.23652274592</v>
      </c>
      <c r="R64" s="35"/>
      <c r="S64" s="282" t="s">
        <v>256</v>
      </c>
      <c r="T64" s="254">
        <f t="array" ref="T64">NPV($O$15,D64:Q64)+C64</f>
        <v>91460.322517938679</v>
      </c>
      <c r="U64" s="145">
        <f>IF(G11&gt;=12,(C64+D64)/(C57+D57),C64/(C57+D57))</f>
        <v>0.28081459404882858</v>
      </c>
      <c r="V64" s="282" t="s">
        <v>256</v>
      </c>
      <c r="W64" s="150"/>
      <c r="X64" s="278"/>
      <c r="Y64" s="278"/>
      <c r="Z64" s="278"/>
      <c r="AA64" s="115"/>
      <c r="AB64" s="40"/>
    </row>
    <row r="65" spans="1:28" ht="15.75" customHeight="1" outlineLevel="1">
      <c r="A65" s="40"/>
      <c r="B65" s="285" t="s">
        <v>250</v>
      </c>
      <c r="C65" s="287">
        <f>IF(C62&lt;0,0,C62/C61)</f>
        <v>0</v>
      </c>
      <c r="D65" s="287">
        <f>IF($D$62&lt;0,0,-D62/$C$64)</f>
        <v>0</v>
      </c>
      <c r="E65" s="287">
        <f>IF($E$62&lt;0,0,-E62/(C64+D64))</f>
        <v>0</v>
      </c>
      <c r="F65" s="287">
        <f t="shared" ref="F65:Q65" si="9">IF($E$62&lt;0,F62/-SUM($C$64:$E$64),F62/-SUM($C$64:$D$64))</f>
        <v>-2.0757945143344638E-2</v>
      </c>
      <c r="G65" s="287">
        <f t="shared" si="9"/>
        <v>-9.6883556061313223E-4</v>
      </c>
      <c r="H65" s="287">
        <f t="shared" si="9"/>
        <v>1.9473767303023401E-2</v>
      </c>
      <c r="I65" s="287">
        <f t="shared" si="9"/>
        <v>4.0602538111610242E-2</v>
      </c>
      <c r="J65" s="287">
        <f t="shared" si="9"/>
        <v>6.2451785262394872E-2</v>
      </c>
      <c r="K65" s="287">
        <f t="shared" si="9"/>
        <v>8.5057532572487243E-2</v>
      </c>
      <c r="L65" s="287">
        <f t="shared" si="9"/>
        <v>0.10845760504985273</v>
      </c>
      <c r="M65" s="287">
        <f t="shared" si="9"/>
        <v>0.13269171895285492</v>
      </c>
      <c r="N65" s="287">
        <f t="shared" si="9"/>
        <v>0.15780157635277578</v>
      </c>
      <c r="O65" s="287">
        <f t="shared" si="9"/>
        <v>0.18383096442446109</v>
      </c>
      <c r="P65" s="287">
        <f t="shared" si="9"/>
        <v>0.21082585970149922</v>
      </c>
      <c r="Q65" s="287">
        <f t="shared" si="9"/>
        <v>0.23883453754415765</v>
      </c>
      <c r="R65" s="35"/>
      <c r="S65" s="282" t="s">
        <v>257</v>
      </c>
      <c r="T65" s="254">
        <f>(100%*T64)/U64</f>
        <v>325696.47182238463</v>
      </c>
      <c r="U65" s="145">
        <v>1</v>
      </c>
      <c r="V65" s="282" t="s">
        <v>257</v>
      </c>
      <c r="W65" s="151"/>
      <c r="X65" s="121"/>
      <c r="Y65" s="121"/>
      <c r="Z65" s="121"/>
      <c r="AA65" s="122"/>
      <c r="AB65" s="40"/>
    </row>
    <row r="66" spans="1:28" ht="15.75" customHeight="1">
      <c r="A66" s="40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41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1:28" ht="15.75" customHeight="1">
      <c r="A67" s="40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41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1:28" ht="15.75" customHeight="1">
      <c r="A68" s="40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41"/>
      <c r="O68" s="40"/>
      <c r="P68" s="104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1:28" ht="15.75" customHeight="1">
      <c r="A69" s="40"/>
      <c r="B69" s="13"/>
      <c r="C69" s="13"/>
      <c r="D69" s="152"/>
      <c r="E69" s="13"/>
      <c r="F69" s="13"/>
      <c r="G69" s="13"/>
      <c r="H69" s="13"/>
      <c r="I69" s="13"/>
      <c r="J69" s="13"/>
      <c r="K69" s="13"/>
      <c r="L69" s="13"/>
      <c r="M69" s="13"/>
      <c r="N69" s="41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1:28" ht="15.75" customHeight="1">
      <c r="A70" s="40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41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1:28" ht="15.75" customHeight="1">
      <c r="A71" s="40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41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28" ht="15.75" customHeight="1">
      <c r="A72" s="42"/>
      <c r="B72" s="13"/>
      <c r="C72" s="13"/>
      <c r="D72" s="152"/>
      <c r="E72" s="13"/>
      <c r="F72" s="13"/>
      <c r="G72" s="13"/>
      <c r="H72" s="13"/>
      <c r="I72" s="13"/>
      <c r="J72" s="13"/>
      <c r="K72" s="13"/>
      <c r="L72" s="13"/>
      <c r="M72" s="13"/>
      <c r="N72" s="43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spans="1:28" ht="15.75" customHeight="1">
      <c r="A73" s="4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43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spans="1:28" ht="15.75" customHeight="1">
      <c r="A74" s="4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43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spans="1:28" ht="15.75" customHeight="1">
      <c r="A75" s="4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43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spans="1:28" ht="15.75" customHeight="1">
      <c r="A76" s="4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43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spans="1:28" ht="15.75" customHeight="1">
      <c r="A77" s="4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43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spans="1:28" ht="15.75" customHeight="1">
      <c r="A78" s="4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43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spans="1:28" ht="15.75" customHeight="1">
      <c r="A79" s="4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43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spans="1:28" ht="15.75" customHeight="1">
      <c r="A80" s="4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43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spans="1:28" ht="15.75" customHeight="1">
      <c r="A81" s="4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43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spans="1:28" ht="15.75" customHeight="1">
      <c r="A82" s="4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43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spans="1:28" ht="15.75" customHeight="1">
      <c r="A83" s="4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43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spans="1:28" ht="15.75" customHeight="1">
      <c r="A84" s="4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43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spans="1:28" ht="15.75" customHeight="1">
      <c r="A85" s="4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43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spans="1:28" ht="15.75" customHeight="1">
      <c r="A86" s="4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43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spans="1:28" ht="15.75" customHeight="1">
      <c r="A87" s="4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43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spans="1:28" ht="15.75" customHeight="1">
      <c r="A88" s="4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43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spans="1:28" ht="15.75" customHeight="1">
      <c r="A89" s="4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43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spans="1:28" ht="15.75" customHeight="1">
      <c r="A90" s="4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43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spans="1:28" ht="15.75" customHeight="1">
      <c r="A91" s="4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43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spans="1:28" ht="15.75" customHeight="1">
      <c r="A92" s="4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43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spans="1:28" ht="15.75" customHeight="1">
      <c r="A93" s="4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43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28" ht="15.75" customHeight="1">
      <c r="A94" s="4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43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spans="1:28" ht="15.75" customHeight="1">
      <c r="A95" s="4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43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spans="1:28" ht="15.75" customHeight="1">
      <c r="A96" s="4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43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spans="1:28" ht="15.75" customHeight="1">
      <c r="A97" s="4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43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spans="1:28" ht="15.75" customHeight="1">
      <c r="A98" s="4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43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spans="1:28" ht="15.75" customHeight="1">
      <c r="A99" s="4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43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spans="1:28" ht="15.75" customHeight="1">
      <c r="A100" s="4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43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spans="1:28" ht="15.75" customHeight="1">
      <c r="A101" s="4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43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spans="1:28" ht="15.75" customHeight="1">
      <c r="A102" s="4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43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spans="1:28" ht="15.75" customHeight="1">
      <c r="A103" s="4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43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spans="1:28" ht="15.75" customHeight="1">
      <c r="A104" s="4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43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spans="1:28" ht="15.75" customHeight="1">
      <c r="A105" s="4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43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spans="1:28" ht="15.75" customHeight="1">
      <c r="A106" s="4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43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1:28" ht="15.75" customHeight="1">
      <c r="A107" s="4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43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spans="1:28" ht="15.75" customHeight="1">
      <c r="A108" s="4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43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spans="1:28" ht="15.75" customHeight="1">
      <c r="A109" s="4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43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spans="1:28" ht="15.75" customHeight="1">
      <c r="A110" s="4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43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spans="1:28" ht="15.75" customHeight="1">
      <c r="A111" s="4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43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spans="1:28" ht="15.75" customHeight="1">
      <c r="A112" s="4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43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1:28" ht="15.75" customHeight="1">
      <c r="A113" s="4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43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ht="15.75" customHeight="1">
      <c r="A114" s="4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43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1:28" ht="15.75" customHeight="1">
      <c r="A115" s="4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43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spans="1:28" ht="15.75" customHeight="1">
      <c r="A116" s="4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43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spans="1:28" ht="15.75" customHeight="1">
      <c r="A117" s="4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43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spans="1:28" ht="15.75" customHeight="1">
      <c r="A118" s="4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43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spans="1:28" ht="15.75" customHeight="1">
      <c r="A119" s="4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43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spans="1:28" ht="15.75" customHeight="1">
      <c r="A120" s="4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43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1:28" ht="15.75" customHeight="1">
      <c r="A121" s="4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43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spans="1:28" ht="15.75" customHeight="1">
      <c r="A122" s="4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43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spans="1:28" ht="15.75" customHeight="1">
      <c r="A123" s="4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43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spans="1:28" ht="15.75" customHeight="1">
      <c r="A124" s="4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43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spans="1:28" ht="15.75" customHeight="1">
      <c r="A125" s="4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43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spans="1:28" ht="15.75" customHeight="1">
      <c r="A126" s="4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43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spans="1:28" ht="15.75" customHeight="1">
      <c r="A127" s="4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43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spans="1:28" ht="15.75" customHeight="1">
      <c r="A128" s="4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43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spans="1:28" ht="15.75" customHeight="1">
      <c r="A129" s="4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43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spans="1:28" ht="15.75" customHeight="1">
      <c r="A130" s="4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43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spans="1:28" ht="15.75" customHeight="1">
      <c r="A131" s="4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43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spans="1:28" ht="15.75" customHeight="1">
      <c r="A132" s="4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43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spans="1:28" ht="15.75" customHeight="1">
      <c r="A133" s="4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43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spans="1:28" ht="15.75" customHeight="1">
      <c r="A134" s="4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43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spans="1:28" ht="15.75" customHeight="1">
      <c r="A135" s="4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43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spans="1:28" ht="15.75" customHeight="1">
      <c r="A136" s="4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43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spans="1:28" ht="15.75" customHeight="1">
      <c r="A137" s="4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43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spans="1:28" ht="15.75" customHeight="1">
      <c r="A138" s="4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43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spans="1:28" ht="15.75" customHeight="1">
      <c r="A139" s="4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43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spans="1:28" ht="15.75" customHeight="1">
      <c r="A140" s="4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43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spans="1:28" ht="15.75" customHeight="1">
      <c r="A141" s="4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43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spans="1:28" ht="15.75" customHeight="1">
      <c r="A142" s="4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43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spans="1:28" ht="15.75" customHeight="1">
      <c r="A143" s="4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43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spans="1:28" ht="15.75" customHeight="1">
      <c r="A144" s="4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43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spans="1:28" ht="15.75" customHeight="1">
      <c r="A145" s="4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43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spans="1:28" ht="15.75" customHeight="1">
      <c r="A146" s="4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43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spans="1:28" ht="15.75" customHeight="1">
      <c r="A147" s="4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43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spans="1:28" ht="15.75" customHeight="1">
      <c r="A148" s="4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43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spans="1:28" ht="15.75" customHeight="1">
      <c r="A149" s="4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43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spans="1:28" ht="15.75" customHeight="1">
      <c r="A150" s="4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43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spans="1:28" ht="15.75" customHeight="1">
      <c r="A151" s="4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43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spans="1:28" ht="15.75" customHeight="1">
      <c r="A152" s="4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43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spans="1:28" ht="15.75" customHeight="1">
      <c r="A153" s="4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43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spans="1:28" ht="15.75" customHeight="1">
      <c r="A154" s="4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43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spans="1:28" ht="15.75" customHeight="1">
      <c r="A155" s="4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43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spans="1:28" ht="15.75" customHeight="1">
      <c r="A156" s="4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43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spans="1:28" ht="15.75" customHeight="1">
      <c r="A157" s="4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43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spans="1:28" ht="15.75" customHeight="1">
      <c r="A158" s="4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43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spans="1:28" ht="15.75" customHeight="1">
      <c r="A159" s="4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43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spans="1:28" ht="15.75" customHeight="1">
      <c r="A160" s="4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43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spans="1:28" ht="15.75" customHeight="1">
      <c r="A161" s="4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43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spans="1:28" ht="15.75" customHeight="1">
      <c r="A162" s="4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43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spans="1:28" ht="15.75" customHeight="1">
      <c r="A163" s="4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43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spans="1:28" ht="15.75" customHeight="1">
      <c r="A164" s="4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43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spans="1:28" ht="15.75" customHeight="1">
      <c r="A165" s="4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43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spans="1:28" ht="15.75" customHeight="1">
      <c r="A166" s="4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43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spans="1:28" ht="15.75" customHeight="1">
      <c r="A167" s="4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43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spans="1:28" ht="15.75" customHeight="1">
      <c r="A168" s="4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43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spans="1:28" ht="15.75" customHeight="1">
      <c r="A169" s="4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43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spans="1:28" ht="15.75" customHeight="1">
      <c r="A170" s="4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43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spans="1:28" ht="15.75" customHeight="1">
      <c r="A171" s="4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43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spans="1:28" ht="15.75" customHeight="1">
      <c r="A172" s="4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43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spans="1:28" ht="15.75" customHeight="1">
      <c r="A173" s="4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43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spans="1:28" ht="15.75" customHeight="1">
      <c r="A174" s="4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43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spans="1:28" ht="15.75" customHeight="1">
      <c r="A175" s="4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43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spans="1:28" ht="15.75" customHeight="1">
      <c r="A176" s="4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43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spans="1:28" ht="15.75" customHeight="1">
      <c r="A177" s="4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43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spans="1:28" ht="15.75" customHeight="1">
      <c r="A178" s="4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43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spans="1:28" ht="15.75" customHeight="1">
      <c r="A179" s="4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43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spans="1:28" ht="15.75" customHeight="1">
      <c r="A180" s="4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43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spans="1:28" ht="15.75" customHeight="1">
      <c r="A181" s="4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43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spans="1:28" ht="15.75" customHeight="1">
      <c r="A182" s="4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43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spans="1:28" ht="15.75" customHeight="1">
      <c r="A183" s="4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43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spans="1:28" ht="15.75" customHeight="1">
      <c r="A184" s="4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43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spans="1:28" ht="15.75" customHeight="1">
      <c r="A185" s="4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43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spans="1:28" ht="15.75" customHeight="1">
      <c r="A186" s="4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43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spans="1:28" ht="15.75" customHeight="1">
      <c r="A187" s="4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43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spans="1:28" ht="15.75" customHeight="1">
      <c r="A188" s="4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43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spans="1:28" ht="15.75" customHeight="1">
      <c r="A189" s="4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43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spans="1:28" ht="15.75" customHeight="1">
      <c r="A190" s="4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43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spans="1:28" ht="15.75" customHeight="1">
      <c r="A191" s="4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43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spans="1:28" ht="15.75" customHeight="1">
      <c r="A192" s="4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43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spans="1:28" ht="15.75" customHeight="1">
      <c r="A193" s="4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13"/>
      <c r="N193" s="43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spans="1:28" ht="15.75" customHeight="1">
      <c r="A194" s="4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13"/>
      <c r="N194" s="43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spans="1:28" ht="15.75" customHeight="1">
      <c r="A195" s="4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13"/>
      <c r="N195" s="43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spans="1:28" ht="15.75" customHeight="1">
      <c r="A196" s="4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13"/>
      <c r="N196" s="43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spans="1:28" ht="15.75" customHeight="1">
      <c r="A197" s="4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13"/>
      <c r="N197" s="43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spans="1:28" ht="15.75" customHeight="1">
      <c r="A198" s="4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13"/>
      <c r="N198" s="43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spans="1:28" ht="15.75" customHeight="1">
      <c r="A199" s="4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13"/>
      <c r="N199" s="43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spans="1:28" ht="15.75" customHeight="1">
      <c r="A200" s="4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13"/>
      <c r="N200" s="43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spans="1:28" ht="15.75" customHeight="1">
      <c r="A201" s="4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13"/>
      <c r="N201" s="43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spans="1:28" ht="15.75" customHeight="1">
      <c r="A202" s="4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13"/>
      <c r="N202" s="43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28" ht="15.75" customHeight="1">
      <c r="A203" s="4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13"/>
      <c r="N203" s="43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spans="1:28" ht="15.75" customHeight="1">
      <c r="A204" s="4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13"/>
      <c r="N204" s="43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spans="1:28" ht="15.75" customHeight="1">
      <c r="A205" s="4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13"/>
      <c r="N205" s="43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spans="1:28" ht="15.75" customHeight="1">
      <c r="A206" s="4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13"/>
      <c r="N206" s="43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spans="1:28" ht="15.75" customHeight="1">
      <c r="A207" s="4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13"/>
      <c r="N207" s="43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spans="1:28" ht="15.75" customHeight="1">
      <c r="A208" s="4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13"/>
      <c r="N208" s="43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spans="1:28" ht="15.75" customHeight="1">
      <c r="A209" s="4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13"/>
      <c r="N209" s="43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spans="1:28" ht="15.75" customHeight="1">
      <c r="A210" s="4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13"/>
      <c r="N210" s="43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spans="1:28" ht="15.75" customHeight="1">
      <c r="A211" s="4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13"/>
      <c r="N211" s="43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spans="1:28" ht="15.75" customHeight="1">
      <c r="A212" s="4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13"/>
      <c r="N212" s="43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spans="1:28" ht="15.75" customHeight="1">
      <c r="A213" s="4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43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spans="1:28" ht="15.75" customHeight="1">
      <c r="A214" s="4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43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spans="1:28" ht="15.75" customHeight="1">
      <c r="A215" s="4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43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spans="1:28" ht="15.75" customHeight="1">
      <c r="A216" s="4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43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spans="1:28" ht="15.75" customHeight="1">
      <c r="A217" s="4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43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spans="1:28" ht="15.75" customHeight="1">
      <c r="A218" s="4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43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spans="1:28" ht="15.75" customHeight="1">
      <c r="A219" s="4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43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spans="1:28" ht="15.75" customHeight="1">
      <c r="A220" s="4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43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spans="1:28" ht="15.75" customHeight="1">
      <c r="A221" s="4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43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spans="1:28" ht="15.75" customHeight="1">
      <c r="A222" s="4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43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spans="1:28" ht="15.75" customHeight="1">
      <c r="A223" s="4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43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spans="1:28" ht="15.75" customHeight="1">
      <c r="A224" s="4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43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spans="1:28" ht="15.75" customHeight="1">
      <c r="A225" s="4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43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spans="1:28" ht="15.75" customHeight="1">
      <c r="A226" s="4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43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spans="1:28" ht="15.75" customHeight="1">
      <c r="A227" s="4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43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spans="1:28" ht="15.75" customHeight="1">
      <c r="A228" s="4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43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spans="1:28" ht="15.75" customHeight="1">
      <c r="A229" s="4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43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spans="1:28" ht="15.75" customHeight="1">
      <c r="A230" s="4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43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spans="1:28" ht="15.75" customHeight="1">
      <c r="A231" s="4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43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spans="1:28" ht="15.75" customHeight="1">
      <c r="A232" s="4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43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spans="1:28" ht="15.75" customHeight="1">
      <c r="A233" s="4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43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spans="1:28" ht="15.75" customHeight="1">
      <c r="A234" s="4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43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spans="1:28" ht="15.75" customHeight="1">
      <c r="A235" s="4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43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spans="1:28" ht="15.75" customHeight="1">
      <c r="A236" s="4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43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spans="1:28" ht="15.75" customHeight="1">
      <c r="A237" s="4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43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spans="1:28" ht="15.75" customHeight="1">
      <c r="A238" s="4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43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spans="1:28" ht="15.75" customHeight="1">
      <c r="A239" s="4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43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spans="1:28" ht="15.75" customHeight="1">
      <c r="A240" s="4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43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spans="1:28" ht="15.75" customHeight="1">
      <c r="A241" s="4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43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spans="1:28" ht="15.75" customHeight="1">
      <c r="A242" s="4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43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spans="1:28" ht="15.75" customHeight="1">
      <c r="A243" s="4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43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spans="1:28" ht="15.75" customHeight="1">
      <c r="A244" s="4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43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spans="1:28" ht="15.75" customHeight="1">
      <c r="A245" s="4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43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spans="1:28" ht="15.75" customHeight="1">
      <c r="A246" s="4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43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spans="1:28" ht="15.75" customHeight="1">
      <c r="A247" s="4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43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spans="1:28" ht="15.75" customHeight="1">
      <c r="A248" s="4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43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spans="1:28" ht="15.75" customHeight="1">
      <c r="A249" s="4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43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spans="1:28" ht="15.75" customHeight="1">
      <c r="A250" s="4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43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spans="1:28" ht="15.75" customHeight="1">
      <c r="A251" s="4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43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spans="1:28" ht="15.75" customHeight="1">
      <c r="A252" s="4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43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spans="1:28" ht="15.75" customHeight="1">
      <c r="A253" s="4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43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spans="1:28" ht="15.75" customHeight="1">
      <c r="A254" s="4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43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spans="1:28" ht="15.75" customHeight="1">
      <c r="A255" s="4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43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spans="1:28" ht="15.75" customHeight="1">
      <c r="A256" s="4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43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spans="1:28" ht="15.75" customHeight="1">
      <c r="A257" s="4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43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spans="1:28" ht="15.75" customHeight="1">
      <c r="A258" s="4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43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spans="1:28" ht="15.75" customHeight="1">
      <c r="A259" s="4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43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spans="1:28" ht="15.75" customHeight="1">
      <c r="A260" s="4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43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spans="1:28" ht="15.75" customHeight="1">
      <c r="A261" s="4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43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spans="1:28" ht="15.75" customHeight="1">
      <c r="A262" s="4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43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spans="1:28" ht="15.75" customHeight="1">
      <c r="A263" s="4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43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spans="1:28" ht="15.75" customHeight="1">
      <c r="A264" s="4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43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spans="1:28" ht="15.75" customHeight="1">
      <c r="A265" s="4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43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spans="1:28" ht="15.75" customHeight="1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</row>
    <row r="267" spans="1:28" ht="15.75" customHeight="1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</row>
    <row r="268" spans="1:28" ht="15.75" customHeight="1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</row>
    <row r="269" spans="1:28" ht="15.75" customHeight="1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</row>
    <row r="270" spans="1:28" ht="15.75" customHeight="1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</row>
    <row r="271" spans="1:28" ht="15.75" customHeight="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</row>
    <row r="272" spans="1:28" ht="15.75" customHeight="1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W22:AA22"/>
    <mergeCell ref="A1:A3"/>
    <mergeCell ref="B7:D7"/>
    <mergeCell ref="F7:H7"/>
    <mergeCell ref="J7:L7"/>
    <mergeCell ref="N7:P7"/>
    <mergeCell ref="J19:L19"/>
  </mergeCells>
  <conditionalFormatting sqref="B1:K1 C2:J3 B4:R19 B20:I20 L20:R20 B21:G21 I21 J21:R23 B22:I29 L24:R28 M29:R30 B30:K30 B31:R1000">
    <cfRule type="cellIs" dxfId="8" priority="7" operator="lessThan">
      <formula>0</formula>
    </cfRule>
  </conditionalFormatting>
  <conditionalFormatting sqref="J24:K30">
    <cfRule type="cellIs" dxfId="7" priority="1" operator="lessThan">
      <formula>0</formula>
    </cfRule>
  </conditionalFormatting>
  <conditionalFormatting sqref="L1:R3 S1:S22 V1:AA22 T1:U1000 AB1:AB1000 W24:AA26 V25:V31 W30:AA31 S30:S1000 V36:V47 W36:Z52 AA36:AA1000 V54:Z1000">
    <cfRule type="cellIs" dxfId="6" priority="6" operator="lessThan">
      <formula>0</formula>
    </cfRule>
  </conditionalFormatting>
  <dataValidations count="4">
    <dataValidation type="list" allowBlank="1" showErrorMessage="1" sqref="C24" xr:uid="{00000000-0002-0000-0B00-000000000000}">
      <formula1>"1,2,3,4,5,6,7,8,9,10,11,12"</formula1>
    </dataValidation>
    <dataValidation type="list" allowBlank="1" showErrorMessage="1" sqref="G11" xr:uid="{00000000-0002-0000-0B00-000001000000}">
      <formula1>"1,2,3,4,5,6,7,8,9,10,11,12,13,14,15,16,17,18,19,20,21,22,23,24"</formula1>
    </dataValidation>
    <dataValidation type="list" allowBlank="1" showErrorMessage="1" sqref="O14" xr:uid="{00000000-0002-0000-0B00-000002000000}">
      <formula1>"1,2,3,4,5,6,7,8,9,10,11,12,13,14,15"</formula1>
    </dataValidation>
    <dataValidation type="list" allowBlank="1" showErrorMessage="1" sqref="G10" xr:uid="{00000000-0002-0000-0B00-000003000000}">
      <formula1>"Sim,Não"</formula1>
    </dataValidation>
  </dataValidations>
  <hyperlinks>
    <hyperlink ref="B1" r:id="rId1" xr:uid="{00000000-0004-0000-0B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CAEA3"/>
    <outlinePr summaryBelow="0" summaryRight="0"/>
  </sheetPr>
  <dimension ref="A1:AH1000"/>
  <sheetViews>
    <sheetView showGridLines="0" workbookViewId="0">
      <pane ySplit="3" topLeftCell="A4" activePane="bottomLeft" state="frozen"/>
      <selection pane="bottomLeft" activeCell="Y23" sqref="Y23"/>
    </sheetView>
  </sheetViews>
  <sheetFormatPr defaultColWidth="12.7109375" defaultRowHeight="15" customHeight="1"/>
  <cols>
    <col min="2" max="3" width="8.140625" customWidth="1"/>
    <col min="4" max="10" width="13" customWidth="1"/>
    <col min="11" max="14" width="13.28515625" customWidth="1"/>
    <col min="15" max="15" width="10.7109375" customWidth="1"/>
  </cols>
  <sheetData>
    <row r="1" spans="1:34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30"/>
      <c r="M1" s="30"/>
      <c r="N1" s="30"/>
      <c r="O1" s="36"/>
      <c r="P1" s="36"/>
      <c r="Q1" s="35"/>
      <c r="R1" s="153"/>
      <c r="S1" s="36"/>
      <c r="T1" s="36"/>
      <c r="U1" s="36"/>
      <c r="V1" s="36"/>
      <c r="W1" s="36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30"/>
      <c r="N2" s="30"/>
      <c r="O2" s="36"/>
      <c r="P2" s="36"/>
      <c r="Q2" s="35"/>
      <c r="R2" s="153"/>
      <c r="S2" s="36"/>
      <c r="T2" s="36"/>
      <c r="U2" s="36"/>
      <c r="V2" s="36"/>
      <c r="W2" s="36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44"/>
      <c r="L3" s="30"/>
      <c r="M3" s="30"/>
      <c r="N3" s="30"/>
      <c r="O3" s="36"/>
      <c r="P3" s="36"/>
      <c r="Q3" s="35"/>
      <c r="R3" s="153"/>
      <c r="S3" s="36"/>
      <c r="T3" s="36"/>
      <c r="U3" s="36"/>
      <c r="V3" s="36"/>
      <c r="W3" s="36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spans="1:34" ht="15.75" customHeight="1">
      <c r="A4" s="40"/>
      <c r="B4" s="258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41"/>
      <c r="P4" s="41"/>
      <c r="Q4" s="40"/>
      <c r="R4" s="154"/>
      <c r="S4" s="41"/>
      <c r="T4" s="41"/>
      <c r="U4" s="41"/>
      <c r="V4" s="41"/>
      <c r="W4" s="41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</row>
    <row r="5" spans="1:34" ht="15.75" customHeight="1">
      <c r="A5" s="40"/>
      <c r="B5" s="272" t="s">
        <v>260</v>
      </c>
      <c r="C5" s="238"/>
      <c r="D5" s="238"/>
      <c r="E5" s="238"/>
      <c r="F5" s="13"/>
      <c r="G5" s="13"/>
      <c r="H5" s="212"/>
      <c r="I5" s="40"/>
      <c r="J5" s="13"/>
      <c r="K5" s="13"/>
      <c r="L5" s="14"/>
      <c r="M5" s="13"/>
      <c r="N5" s="13"/>
      <c r="O5" s="41"/>
      <c r="P5" s="41"/>
      <c r="Q5" s="40"/>
      <c r="R5" s="154"/>
      <c r="S5" s="41"/>
      <c r="T5" s="41"/>
      <c r="U5" s="41"/>
      <c r="V5" s="41"/>
      <c r="W5" s="41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 spans="1:34" ht="15.75" customHeight="1">
      <c r="A6" s="40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1"/>
      <c r="P6" s="41"/>
      <c r="Q6" s="40"/>
      <c r="R6" s="154"/>
      <c r="S6" s="41"/>
      <c r="T6" s="41"/>
      <c r="U6" s="41"/>
      <c r="V6" s="41"/>
      <c r="W6" s="41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spans="1:34" ht="15.75" customHeight="1">
      <c r="A7" s="35"/>
      <c r="B7" s="255" t="s">
        <v>261</v>
      </c>
      <c r="C7" s="255" t="s">
        <v>262</v>
      </c>
      <c r="D7" s="255" t="s">
        <v>176</v>
      </c>
      <c r="E7" s="255" t="s">
        <v>182</v>
      </c>
      <c r="F7" s="255" t="s">
        <v>263</v>
      </c>
      <c r="G7" s="255" t="s">
        <v>192</v>
      </c>
      <c r="H7" s="255" t="s">
        <v>264</v>
      </c>
      <c r="I7" s="255" t="s">
        <v>58</v>
      </c>
      <c r="J7" s="255" t="s">
        <v>59</v>
      </c>
      <c r="K7" s="255" t="s">
        <v>265</v>
      </c>
      <c r="L7" s="255" t="s">
        <v>266</v>
      </c>
      <c r="M7" s="255" t="s">
        <v>267</v>
      </c>
      <c r="N7" s="13"/>
      <c r="O7" s="255" t="s">
        <v>188</v>
      </c>
      <c r="P7" s="255" t="s">
        <v>201</v>
      </c>
      <c r="Q7" s="255" t="s">
        <v>268</v>
      </c>
      <c r="R7" s="288" t="s">
        <v>269</v>
      </c>
      <c r="S7" s="255" t="s">
        <v>270</v>
      </c>
      <c r="T7" s="255" t="s">
        <v>271</v>
      </c>
      <c r="U7" s="255" t="s">
        <v>176</v>
      </c>
      <c r="V7" s="255" t="s">
        <v>182</v>
      </c>
      <c r="W7" s="255" t="s">
        <v>263</v>
      </c>
      <c r="X7" s="255" t="s">
        <v>192</v>
      </c>
      <c r="Y7" s="255" t="s">
        <v>264</v>
      </c>
      <c r="Z7" s="255" t="s">
        <v>58</v>
      </c>
      <c r="AA7" s="255" t="s">
        <v>59</v>
      </c>
      <c r="AB7" s="255" t="s">
        <v>265</v>
      </c>
      <c r="AC7" s="255" t="s">
        <v>266</v>
      </c>
      <c r="AD7" s="255" t="s">
        <v>267</v>
      </c>
      <c r="AE7" s="213"/>
      <c r="AF7" s="213"/>
      <c r="AG7" s="213"/>
      <c r="AH7" s="213"/>
    </row>
    <row r="8" spans="1:34" ht="15.75" customHeight="1">
      <c r="A8" s="213">
        <f>IF(AND('11-Viabilidade'!P14&gt;0,'11-Viabilidade'!P14&lt;421),1,0)</f>
        <v>1</v>
      </c>
      <c r="B8" s="258">
        <f>IF(A8&gt;0,1,0)</f>
        <v>1</v>
      </c>
      <c r="C8" s="155">
        <f>IF($B8&lt;'11-Viabilidade'!$C$24,0,$B8-'11-Viabilidade'!$C$24)</f>
        <v>0</v>
      </c>
      <c r="D8" s="11">
        <f>IF(C8&gt;0,'11-Viabilidade'!$K$10,0)*((1+'11-Viabilidade'!$O$10)^(($C8-1)/12))</f>
        <v>0</v>
      </c>
      <c r="E8" s="11">
        <f>D8*'11-Viabilidade'!$L$12</f>
        <v>0</v>
      </c>
      <c r="F8" s="11">
        <f>D8*'11-Viabilidade'!$K$14</f>
        <v>0</v>
      </c>
      <c r="G8" s="11">
        <f>D8*'11-Viabilidade'!$K$15</f>
        <v>0</v>
      </c>
      <c r="H8" s="11">
        <f>IF(D8=0,'11-Viabilidade'!$K$16+'11-Viabilidade'!$K$17,('11-Viabilidade'!$L$11)*((1+'11-Viabilidade'!$O$10)^(($C8-1)/12)))</f>
        <v>530</v>
      </c>
      <c r="I8" s="11">
        <f>'12-SAC Viabilidade'!G11</f>
        <v>2485.2222743654747</v>
      </c>
      <c r="J8" s="11">
        <f>'12-SAC Viabilidade'!H11</f>
        <v>239428.57142857142</v>
      </c>
      <c r="K8" s="132">
        <f>(D8-F8)*'11-Viabilidade'!$O$16</f>
        <v>0</v>
      </c>
      <c r="L8" s="11">
        <f t="shared" ref="L8:L187" si="0">D8-(E8+F8+G8+H8+I8+K8)</f>
        <v>-3015.2222743654747</v>
      </c>
      <c r="M8" s="156">
        <f t="shared" ref="M8:M187" si="1">D8-(E8+F8+G8+H8+K8)</f>
        <v>-530</v>
      </c>
      <c r="N8" s="13"/>
      <c r="O8" s="41">
        <f>IF('11-Viabilidade'!G10="Sim",'11-Viabilidade'!G14,0)</f>
        <v>0</v>
      </c>
      <c r="P8" s="154">
        <f>IF(B8&lt;='11-Viabilidade'!$G$11,'11-Viabilidade'!$G$15,0)</f>
        <v>0</v>
      </c>
      <c r="Q8" s="41">
        <f>IF(B8='11-Viabilidade'!$G$11,'11-Viabilidade'!$G$16,0)*(1+'11-Viabilidade'!$G$12)^((B8-1)/12)</f>
        <v>0</v>
      </c>
      <c r="R8" s="154">
        <f t="shared" ref="R8:R187" si="2">-SUM(O8:Q8)</f>
        <v>0</v>
      </c>
      <c r="S8" s="41">
        <f>IF(R8&lt;&gt;0,0,1)</f>
        <v>1</v>
      </c>
      <c r="T8" s="155">
        <f>IF($S8&lt;'11-Viabilidade'!$C$24,0,$S8-'11-Viabilidade'!$C$24)</f>
        <v>0</v>
      </c>
      <c r="U8" s="11">
        <f>IF(T8&gt;0,'11-Viabilidade'!$K$10,0)*((1+'11-Viabilidade'!$O$10)^(($T8-1)/12))</f>
        <v>0</v>
      </c>
      <c r="V8" s="11">
        <f>U8*'11-Viabilidade'!$L$12</f>
        <v>0</v>
      </c>
      <c r="W8" s="11">
        <f>U8*'11-Viabilidade'!$K$14</f>
        <v>0</v>
      </c>
      <c r="X8" s="11">
        <f>U8*'11-Viabilidade'!$K$15</f>
        <v>0</v>
      </c>
      <c r="Y8" s="11">
        <f>IF(AND(U8=0,S8=0),0,IF(AND(U8=0,S8&lt;&gt;0),'11-Viabilidade'!$K$16+'11-Viabilidade'!$K$17,('11-Viabilidade'!$L$11)*((1+'11-Viabilidade'!$O$10)^(($C8-1)/12))))</f>
        <v>530</v>
      </c>
      <c r="Z8" s="157">
        <f>IFERROR(VLOOKUP(S8,'12-SAC Viabilidade'!$B$11:$G$430,6,FALSE),0)</f>
        <v>2485.2222743654747</v>
      </c>
      <c r="AA8" s="157">
        <f>IFERROR(VLOOKUP(S8,'12-SAC Viabilidade'!$B$11:$H$430,7,FALSE),0)</f>
        <v>239428.57142857142</v>
      </c>
      <c r="AB8" s="132">
        <f>(U8-W8)*'11-Viabilidade'!$O$16</f>
        <v>0</v>
      </c>
      <c r="AC8" s="11">
        <f t="shared" ref="AC8:AC187" si="3">U8-(V8+W8+X8+Y8+Z8+AB8-R8)</f>
        <v>-3015.2222743654747</v>
      </c>
      <c r="AD8" s="156">
        <f t="shared" ref="AD8:AD187" si="4">U8-(V8+W8+X8+Y8+AB8)</f>
        <v>-530</v>
      </c>
      <c r="AE8" s="133"/>
      <c r="AF8" s="133"/>
      <c r="AG8" s="133"/>
      <c r="AH8" s="133"/>
    </row>
    <row r="9" spans="1:34" ht="15.75" customHeight="1">
      <c r="A9" s="37"/>
      <c r="B9" s="38">
        <f>IF(AND(B8&gt;0,B8&lt;'11-Viabilidade'!$P$14),B8+1,0)</f>
        <v>2</v>
      </c>
      <c r="C9" s="155">
        <f>IF($B9&lt;'11-Viabilidade'!$C$24,0,$B9-'11-Viabilidade'!$C$24)</f>
        <v>0</v>
      </c>
      <c r="D9" s="11">
        <f>IF(C9&gt;0,'11-Viabilidade'!$K$10,0)*((1+'11-Viabilidade'!$O$10)^(($C9-1)/12))</f>
        <v>0</v>
      </c>
      <c r="E9" s="11">
        <f>D9*'11-Viabilidade'!$L$12</f>
        <v>0</v>
      </c>
      <c r="F9" s="11">
        <f>D9*'11-Viabilidade'!$K$14</f>
        <v>0</v>
      </c>
      <c r="G9" s="11">
        <f>D9*'11-Viabilidade'!$K$15</f>
        <v>0</v>
      </c>
      <c r="H9" s="11">
        <f>IF(D9=0,'11-Viabilidade'!$K$16+'11-Viabilidade'!$K$17,('11-Viabilidade'!$L$11)*((1+'11-Viabilidade'!$O$10)^(($C9-1)/12)))</f>
        <v>530</v>
      </c>
      <c r="I9" s="11">
        <f>'12-SAC Viabilidade'!G12</f>
        <v>2480.6656226918153</v>
      </c>
      <c r="J9" s="11">
        <f>'12-SAC Viabilidade'!H12</f>
        <v>238857.14285714284</v>
      </c>
      <c r="K9" s="132">
        <f>(D9-F9)*'11-Viabilidade'!$O$16</f>
        <v>0</v>
      </c>
      <c r="L9" s="11">
        <f t="shared" si="0"/>
        <v>-3010.6656226918153</v>
      </c>
      <c r="M9" s="156">
        <f t="shared" si="1"/>
        <v>-530</v>
      </c>
      <c r="N9" s="13"/>
      <c r="O9" s="41"/>
      <c r="P9" s="154">
        <f>IF(B9&lt;='11-Viabilidade'!$G$11,(P8+(P8*'11-Viabilidade'!$H$12)),0)</f>
        <v>0</v>
      </c>
      <c r="Q9" s="41">
        <f>IF(B9='11-Viabilidade'!$G$11,'11-Viabilidade'!$G$16,0)*(1+'11-Viabilidade'!$G$12)^((B9-1)/12)</f>
        <v>0</v>
      </c>
      <c r="R9" s="154">
        <f t="shared" si="2"/>
        <v>0</v>
      </c>
      <c r="S9" s="41">
        <f t="shared" ref="S9:S187" si="5">IF(R9&lt;&gt;0,0,S8+1)</f>
        <v>2</v>
      </c>
      <c r="T9" s="155">
        <f>IF($S9&lt;'11-Viabilidade'!$C$24,0,$S9-'11-Viabilidade'!$C$24)</f>
        <v>0</v>
      </c>
      <c r="U9" s="11">
        <f>IF(T9&gt;0,'11-Viabilidade'!$K$10,0)*((1+'11-Viabilidade'!$O$10)^(($T9-1)/12))</f>
        <v>0</v>
      </c>
      <c r="V9" s="11">
        <f>U9*'11-Viabilidade'!$L$12</f>
        <v>0</v>
      </c>
      <c r="W9" s="11">
        <f>U9*'11-Viabilidade'!$K$14</f>
        <v>0</v>
      </c>
      <c r="X9" s="11">
        <f>U9*'11-Viabilidade'!$K$15</f>
        <v>0</v>
      </c>
      <c r="Y9" s="11">
        <f>IF(AND(U9=0,S9=0),0,IF(AND(U9=0,S9&lt;&gt;0),'11-Viabilidade'!$K$16+'11-Viabilidade'!$K$17,('11-Viabilidade'!$L$11)*((1+'11-Viabilidade'!$O$10)^(($C9-1)/12))))</f>
        <v>530</v>
      </c>
      <c r="Z9" s="157">
        <f>IFERROR(VLOOKUP(S9,'12-SAC Viabilidade'!$B$11:$G$430,6,FALSE),0)</f>
        <v>2480.6656226918153</v>
      </c>
      <c r="AA9" s="157">
        <f>IFERROR(VLOOKUP(S9,'12-SAC Viabilidade'!$B$11:$H$430,7,FALSE),0)</f>
        <v>238857.14285714284</v>
      </c>
      <c r="AB9" s="132">
        <f>(U9-W9)*'11-Viabilidade'!$O$16</f>
        <v>0</v>
      </c>
      <c r="AC9" s="11">
        <f t="shared" si="3"/>
        <v>-3010.6656226918153</v>
      </c>
      <c r="AD9" s="156">
        <f t="shared" si="4"/>
        <v>-530</v>
      </c>
      <c r="AE9" s="40"/>
      <c r="AF9" s="40"/>
      <c r="AG9" s="40"/>
      <c r="AH9" s="40"/>
    </row>
    <row r="10" spans="1:34" ht="15.75" customHeight="1">
      <c r="A10" s="37"/>
      <c r="B10" s="38">
        <f>IF(AND(B9&gt;0,B9&lt;'11-Viabilidade'!$P$14),B9+1,0)</f>
        <v>3</v>
      </c>
      <c r="C10" s="155">
        <f>IF($B10&lt;'11-Viabilidade'!$C$24,0,$B10-'11-Viabilidade'!$C$24)</f>
        <v>0</v>
      </c>
      <c r="D10" s="11">
        <f>IF(C10&gt;0,'11-Viabilidade'!$K$10,0)*((1+'11-Viabilidade'!$O$10)^(($C10-1)/12))</f>
        <v>0</v>
      </c>
      <c r="E10" s="11">
        <f>D10*'11-Viabilidade'!$L$12</f>
        <v>0</v>
      </c>
      <c r="F10" s="11">
        <f>D10*'11-Viabilidade'!$K$14</f>
        <v>0</v>
      </c>
      <c r="G10" s="11">
        <f>D10*'11-Viabilidade'!$K$15</f>
        <v>0</v>
      </c>
      <c r="H10" s="11">
        <f>IF(D10=0,'11-Viabilidade'!$K$16+'11-Viabilidade'!$K$17,('11-Viabilidade'!$L$11)*((1+'11-Viabilidade'!$O$10)^(($C10-1)/12)))</f>
        <v>530</v>
      </c>
      <c r="I10" s="11">
        <f>'12-SAC Viabilidade'!G13</f>
        <v>2476.1089710181564</v>
      </c>
      <c r="J10" s="11">
        <f>'12-SAC Viabilidade'!H13</f>
        <v>238285.71428571426</v>
      </c>
      <c r="K10" s="132">
        <f>(D10-F10)*'11-Viabilidade'!$O$16</f>
        <v>0</v>
      </c>
      <c r="L10" s="11">
        <f t="shared" si="0"/>
        <v>-3006.1089710181564</v>
      </c>
      <c r="M10" s="156">
        <f t="shared" si="1"/>
        <v>-530</v>
      </c>
      <c r="N10" s="13"/>
      <c r="O10" s="41"/>
      <c r="P10" s="154">
        <f>IF(B10&lt;='11-Viabilidade'!$G$11,(P9+(P9*'11-Viabilidade'!$H$12)),0)</f>
        <v>0</v>
      </c>
      <c r="Q10" s="41">
        <f>IF(B10='11-Viabilidade'!$G$11,'11-Viabilidade'!$G$16,0)*(1+'11-Viabilidade'!$G$12)^((B10-1)/12)</f>
        <v>0</v>
      </c>
      <c r="R10" s="154">
        <f t="shared" si="2"/>
        <v>0</v>
      </c>
      <c r="S10" s="41">
        <f t="shared" si="5"/>
        <v>3</v>
      </c>
      <c r="T10" s="155">
        <f>IF($S10&lt;'11-Viabilidade'!$C$24,0,$S10-'11-Viabilidade'!$C$24)</f>
        <v>0</v>
      </c>
      <c r="U10" s="11">
        <f>IF(T10&gt;0,'11-Viabilidade'!$K$10,0)*((1+'11-Viabilidade'!$O$10)^(($T10-1)/12))</f>
        <v>0</v>
      </c>
      <c r="V10" s="11">
        <f>U10*'11-Viabilidade'!$L$12</f>
        <v>0</v>
      </c>
      <c r="W10" s="11">
        <f>U10*'11-Viabilidade'!$K$14</f>
        <v>0</v>
      </c>
      <c r="X10" s="11">
        <f>U10*'11-Viabilidade'!$K$15</f>
        <v>0</v>
      </c>
      <c r="Y10" s="11">
        <f>IF(AND(U10=0,S10=0),0,IF(AND(U10=0,S10&lt;&gt;0),'11-Viabilidade'!$K$16+'11-Viabilidade'!$K$17,('11-Viabilidade'!$L$11)*((1+'11-Viabilidade'!$O$10)^(($C10-1)/12))))</f>
        <v>530</v>
      </c>
      <c r="Z10" s="157">
        <f>IFERROR(VLOOKUP(S10,'12-SAC Viabilidade'!$B$11:$G$430,6,FALSE),0)</f>
        <v>2476.1089710181564</v>
      </c>
      <c r="AA10" s="157">
        <f>IFERROR(VLOOKUP(S10,'12-SAC Viabilidade'!$B$11:$H$430,7,FALSE),0)</f>
        <v>238285.71428571426</v>
      </c>
      <c r="AB10" s="132">
        <f>(U10-W10)*'11-Viabilidade'!$O$16</f>
        <v>0</v>
      </c>
      <c r="AC10" s="11">
        <f t="shared" si="3"/>
        <v>-3006.1089710181564</v>
      </c>
      <c r="AD10" s="156">
        <f t="shared" si="4"/>
        <v>-530</v>
      </c>
      <c r="AE10" s="40"/>
      <c r="AF10" s="40"/>
      <c r="AG10" s="40"/>
      <c r="AH10" s="40"/>
    </row>
    <row r="11" spans="1:34" ht="15.75" customHeight="1">
      <c r="A11" s="37"/>
      <c r="B11" s="38">
        <f>IF(AND(B10&gt;0,B10&lt;'11-Viabilidade'!$P$14),B10+1,0)</f>
        <v>4</v>
      </c>
      <c r="C11" s="155">
        <f>IF($B11&lt;'11-Viabilidade'!$C$24,0,$B11-'11-Viabilidade'!$C$24)</f>
        <v>0</v>
      </c>
      <c r="D11" s="11">
        <f>IF(C11&gt;0,'11-Viabilidade'!$K$10,0)*((1+'11-Viabilidade'!$O$10)^(($C11-1)/12))</f>
        <v>0</v>
      </c>
      <c r="E11" s="11">
        <f>D11*'11-Viabilidade'!$L$12</f>
        <v>0</v>
      </c>
      <c r="F11" s="11">
        <f>D11*'11-Viabilidade'!$K$14</f>
        <v>0</v>
      </c>
      <c r="G11" s="11">
        <f>D11*'11-Viabilidade'!$K$15</f>
        <v>0</v>
      </c>
      <c r="H11" s="11">
        <f>IF(D11=0,'11-Viabilidade'!$K$16+'11-Viabilidade'!$K$17,('11-Viabilidade'!$L$11)*((1+'11-Viabilidade'!$O$10)^(($C11-1)/12)))</f>
        <v>530</v>
      </c>
      <c r="I11" s="11">
        <f>'12-SAC Viabilidade'!G14</f>
        <v>2471.5523193444969</v>
      </c>
      <c r="J11" s="11">
        <f>'12-SAC Viabilidade'!H14</f>
        <v>237714.28571428568</v>
      </c>
      <c r="K11" s="132">
        <f>(D11-F11)*'11-Viabilidade'!$O$16</f>
        <v>0</v>
      </c>
      <c r="L11" s="11">
        <f t="shared" si="0"/>
        <v>-3001.5523193444969</v>
      </c>
      <c r="M11" s="156">
        <f t="shared" si="1"/>
        <v>-530</v>
      </c>
      <c r="N11" s="13"/>
      <c r="O11" s="41"/>
      <c r="P11" s="154">
        <f>IF(B11&lt;='11-Viabilidade'!$G$11,(P10+(P10*'11-Viabilidade'!$H$12)),0)</f>
        <v>0</v>
      </c>
      <c r="Q11" s="41">
        <f>IF(B11='11-Viabilidade'!$G$11,'11-Viabilidade'!$G$16,0)*(1+'11-Viabilidade'!$G$12)^((B11-1)/12)</f>
        <v>0</v>
      </c>
      <c r="R11" s="154">
        <f t="shared" si="2"/>
        <v>0</v>
      </c>
      <c r="S11" s="41">
        <f t="shared" si="5"/>
        <v>4</v>
      </c>
      <c r="T11" s="155">
        <f>IF($S11&lt;'11-Viabilidade'!$C$24,0,$S11-'11-Viabilidade'!$C$24)</f>
        <v>0</v>
      </c>
      <c r="U11" s="11">
        <f>IF(T11&gt;0,'11-Viabilidade'!$K$10,0)*((1+'11-Viabilidade'!$O$10)^(($T11-1)/12))</f>
        <v>0</v>
      </c>
      <c r="V11" s="11">
        <f>U11*'11-Viabilidade'!$L$12</f>
        <v>0</v>
      </c>
      <c r="W11" s="11">
        <f>U11*'11-Viabilidade'!$K$14</f>
        <v>0</v>
      </c>
      <c r="X11" s="11">
        <f>U11*'11-Viabilidade'!$K$15</f>
        <v>0</v>
      </c>
      <c r="Y11" s="11">
        <f>IF(AND(U11=0,S11=0),0,IF(AND(U11=0,S11&lt;&gt;0),'11-Viabilidade'!$K$16+'11-Viabilidade'!$K$17,('11-Viabilidade'!$L$11)*((1+'11-Viabilidade'!$O$10)^(($C11-1)/12))))</f>
        <v>530</v>
      </c>
      <c r="Z11" s="157">
        <f>IFERROR(VLOOKUP(S11,'12-SAC Viabilidade'!$B$11:$G$430,6,FALSE),0)</f>
        <v>2471.5523193444969</v>
      </c>
      <c r="AA11" s="157">
        <f>IFERROR(VLOOKUP(S11,'12-SAC Viabilidade'!$B$11:$H$430,7,FALSE),0)</f>
        <v>237714.28571428568</v>
      </c>
      <c r="AB11" s="132">
        <f>(U11-W11)*'11-Viabilidade'!$O$16</f>
        <v>0</v>
      </c>
      <c r="AC11" s="11">
        <f t="shared" si="3"/>
        <v>-3001.5523193444969</v>
      </c>
      <c r="AD11" s="156">
        <f t="shared" si="4"/>
        <v>-530</v>
      </c>
      <c r="AE11" s="40"/>
      <c r="AF11" s="40"/>
      <c r="AG11" s="40"/>
      <c r="AH11" s="40"/>
    </row>
    <row r="12" spans="1:34" ht="15.75" customHeight="1">
      <c r="A12" s="37"/>
      <c r="B12" s="38">
        <f>IF(AND(B11&gt;0,B11&lt;'11-Viabilidade'!$P$14),B11+1,0)</f>
        <v>5</v>
      </c>
      <c r="C12" s="155">
        <f>IF($B12&lt;'11-Viabilidade'!$C$24,0,$B12-'11-Viabilidade'!$C$24)</f>
        <v>0</v>
      </c>
      <c r="D12" s="11">
        <f>IF(C12&gt;0,'11-Viabilidade'!$K$10,0)*((1+'11-Viabilidade'!$O$10)^(($C12-1)/12))</f>
        <v>0</v>
      </c>
      <c r="E12" s="11">
        <f>D12*'11-Viabilidade'!$L$12</f>
        <v>0</v>
      </c>
      <c r="F12" s="11">
        <f>D12*'11-Viabilidade'!$K$14</f>
        <v>0</v>
      </c>
      <c r="G12" s="11">
        <f>D12*'11-Viabilidade'!$K$15</f>
        <v>0</v>
      </c>
      <c r="H12" s="11">
        <f>IF(D12=0,'11-Viabilidade'!$K$16+'11-Viabilidade'!$K$17,('11-Viabilidade'!$L$11)*((1+'11-Viabilidade'!$O$10)^(($C12-1)/12)))</f>
        <v>530</v>
      </c>
      <c r="I12" s="11">
        <f>'12-SAC Viabilidade'!G15</f>
        <v>2466.9956676708375</v>
      </c>
      <c r="J12" s="11">
        <f>'12-SAC Viabilidade'!H15</f>
        <v>237142.85714285713</v>
      </c>
      <c r="K12" s="132">
        <f>(D12-F12)*'11-Viabilidade'!$O$16</f>
        <v>0</v>
      </c>
      <c r="L12" s="11">
        <f t="shared" si="0"/>
        <v>-2996.9956676708375</v>
      </c>
      <c r="M12" s="156">
        <f t="shared" si="1"/>
        <v>-530</v>
      </c>
      <c r="N12" s="13"/>
      <c r="O12" s="41"/>
      <c r="P12" s="154">
        <f>IF(B12&lt;='11-Viabilidade'!$G$11,(P11+(P11*'11-Viabilidade'!$H$12)),0)</f>
        <v>0</v>
      </c>
      <c r="Q12" s="41">
        <f>IF(B12='11-Viabilidade'!$G$11,'11-Viabilidade'!$G$16,0)*(1+'11-Viabilidade'!$G$12)^((B12-1)/12)</f>
        <v>0</v>
      </c>
      <c r="R12" s="154">
        <f t="shared" si="2"/>
        <v>0</v>
      </c>
      <c r="S12" s="41">
        <f t="shared" si="5"/>
        <v>5</v>
      </c>
      <c r="T12" s="155">
        <f>IF($S12&lt;'11-Viabilidade'!$C$24,0,$S12-'11-Viabilidade'!$C$24)</f>
        <v>0</v>
      </c>
      <c r="U12" s="11">
        <f>IF(T12&gt;0,'11-Viabilidade'!$K$10,0)*((1+'11-Viabilidade'!$O$10)^(($T12-1)/12))</f>
        <v>0</v>
      </c>
      <c r="V12" s="11">
        <f>U12*'11-Viabilidade'!$L$12</f>
        <v>0</v>
      </c>
      <c r="W12" s="11">
        <f>U12*'11-Viabilidade'!$K$14</f>
        <v>0</v>
      </c>
      <c r="X12" s="11">
        <f>U12*'11-Viabilidade'!$K$15</f>
        <v>0</v>
      </c>
      <c r="Y12" s="11">
        <f>IF(AND(U12=0,S12=0),0,IF(AND(U12=0,S12&lt;&gt;0),'11-Viabilidade'!$K$16+'11-Viabilidade'!$K$17,('11-Viabilidade'!$L$11)*((1+'11-Viabilidade'!$O$10)^(($C12-1)/12))))</f>
        <v>530</v>
      </c>
      <c r="Z12" s="157">
        <f>IFERROR(VLOOKUP(S12,'12-SAC Viabilidade'!$B$11:$G$430,6,FALSE),0)</f>
        <v>2466.9956676708375</v>
      </c>
      <c r="AA12" s="157">
        <f>IFERROR(VLOOKUP(S12,'12-SAC Viabilidade'!$B$11:$H$430,7,FALSE),0)</f>
        <v>237142.85714285713</v>
      </c>
      <c r="AB12" s="132">
        <f>(U12-W12)*'11-Viabilidade'!$O$16</f>
        <v>0</v>
      </c>
      <c r="AC12" s="11">
        <f t="shared" si="3"/>
        <v>-2996.9956676708375</v>
      </c>
      <c r="AD12" s="156">
        <f t="shared" si="4"/>
        <v>-530</v>
      </c>
      <c r="AE12" s="40"/>
      <c r="AF12" s="40"/>
      <c r="AG12" s="40"/>
      <c r="AH12" s="40"/>
    </row>
    <row r="13" spans="1:34" ht="15.75" customHeight="1">
      <c r="A13" s="37"/>
      <c r="B13" s="38">
        <f>IF(AND(B12&gt;0,B12&lt;'11-Viabilidade'!$P$14),B12+1,0)</f>
        <v>6</v>
      </c>
      <c r="C13" s="155">
        <f>IF($B13&lt;'11-Viabilidade'!$C$24,0,$B13-'11-Viabilidade'!$C$24)</f>
        <v>0</v>
      </c>
      <c r="D13" s="11">
        <f>IF(C13&gt;0,'11-Viabilidade'!$K$10,0)*((1+'11-Viabilidade'!$O$10)^(($C13-1)/12))</f>
        <v>0</v>
      </c>
      <c r="E13" s="11">
        <f>D13*'11-Viabilidade'!$L$12</f>
        <v>0</v>
      </c>
      <c r="F13" s="11">
        <f>D13*'11-Viabilidade'!$K$14</f>
        <v>0</v>
      </c>
      <c r="G13" s="11">
        <f>D13*'11-Viabilidade'!$K$15</f>
        <v>0</v>
      </c>
      <c r="H13" s="11">
        <f>IF(D13=0,'11-Viabilidade'!$K$16+'11-Viabilidade'!$K$17,('11-Viabilidade'!$L$11)*((1+'11-Viabilidade'!$O$10)^(($C13-1)/12)))</f>
        <v>530</v>
      </c>
      <c r="I13" s="11">
        <f>'12-SAC Viabilidade'!G16</f>
        <v>2462.4390159971781</v>
      </c>
      <c r="J13" s="11">
        <f>'12-SAC Viabilidade'!H16</f>
        <v>236571.42857142858</v>
      </c>
      <c r="K13" s="132">
        <f>(D13-F13)*'11-Viabilidade'!$O$16</f>
        <v>0</v>
      </c>
      <c r="L13" s="11">
        <f t="shared" si="0"/>
        <v>-2992.4390159971781</v>
      </c>
      <c r="M13" s="156">
        <f t="shared" si="1"/>
        <v>-530</v>
      </c>
      <c r="N13" s="13"/>
      <c r="O13" s="41"/>
      <c r="P13" s="154">
        <f>IF(B13&lt;='11-Viabilidade'!$G$11,(P12+(P12*'11-Viabilidade'!$H$12)),0)</f>
        <v>0</v>
      </c>
      <c r="Q13" s="41">
        <f>IF(B13='11-Viabilidade'!$G$11,'11-Viabilidade'!$G$16,0)*(1+'11-Viabilidade'!$G$12)^((B13-1)/12)</f>
        <v>0</v>
      </c>
      <c r="R13" s="154">
        <f t="shared" si="2"/>
        <v>0</v>
      </c>
      <c r="S13" s="41">
        <f t="shared" si="5"/>
        <v>6</v>
      </c>
      <c r="T13" s="155">
        <f>IF($S13&lt;'11-Viabilidade'!$C$24,0,$S13-'11-Viabilidade'!$C$24)</f>
        <v>0</v>
      </c>
      <c r="U13" s="11">
        <f>IF(T13&gt;0,'11-Viabilidade'!$K$10,0)*((1+'11-Viabilidade'!$O$10)^(($T13-1)/12))</f>
        <v>0</v>
      </c>
      <c r="V13" s="11">
        <f>U13*'11-Viabilidade'!$L$12</f>
        <v>0</v>
      </c>
      <c r="W13" s="11">
        <f>U13*'11-Viabilidade'!$K$14</f>
        <v>0</v>
      </c>
      <c r="X13" s="11">
        <f>U13*'11-Viabilidade'!$K$15</f>
        <v>0</v>
      </c>
      <c r="Y13" s="11">
        <f>IF(AND(U13=0,S13=0),0,IF(AND(U13=0,S13&lt;&gt;0),'11-Viabilidade'!$K$16+'11-Viabilidade'!$K$17,('11-Viabilidade'!$L$11)*((1+'11-Viabilidade'!$O$10)^(($C13-1)/12))))</f>
        <v>530</v>
      </c>
      <c r="Z13" s="157">
        <f>IFERROR(VLOOKUP(S13,'12-SAC Viabilidade'!$B$11:$G$430,6,FALSE),0)</f>
        <v>2462.4390159971781</v>
      </c>
      <c r="AA13" s="157">
        <f>IFERROR(VLOOKUP(S13,'12-SAC Viabilidade'!$B$11:$H$430,7,FALSE),0)</f>
        <v>236571.42857142858</v>
      </c>
      <c r="AB13" s="132">
        <f>(U13-W13)*'11-Viabilidade'!$O$16</f>
        <v>0</v>
      </c>
      <c r="AC13" s="11">
        <f t="shared" si="3"/>
        <v>-2992.4390159971781</v>
      </c>
      <c r="AD13" s="156">
        <f t="shared" si="4"/>
        <v>-530</v>
      </c>
      <c r="AE13" s="40"/>
      <c r="AF13" s="40"/>
      <c r="AG13" s="40"/>
      <c r="AH13" s="40"/>
    </row>
    <row r="14" spans="1:34" ht="15.75" customHeight="1">
      <c r="A14" s="37"/>
      <c r="B14" s="38">
        <f>IF(AND(B13&gt;0,B13&lt;'11-Viabilidade'!$P$14),B13+1,0)</f>
        <v>7</v>
      </c>
      <c r="C14" s="155">
        <f>IF($B14&lt;'11-Viabilidade'!$C$24,0,$B14-'11-Viabilidade'!$C$24)</f>
        <v>1</v>
      </c>
      <c r="D14" s="11">
        <f>IF(C14&gt;0,'11-Viabilidade'!$K$10,0)*((1+'11-Viabilidade'!$O$10)^(($C14-1)/12))</f>
        <v>3000</v>
      </c>
      <c r="E14" s="11">
        <f>D14*'11-Viabilidade'!$L$12</f>
        <v>166.66666666666666</v>
      </c>
      <c r="F14" s="11">
        <f>D14*'11-Viabilidade'!$K$14</f>
        <v>0</v>
      </c>
      <c r="G14" s="11">
        <f>D14*'11-Viabilidade'!$K$15</f>
        <v>150</v>
      </c>
      <c r="H14" s="11">
        <f>IF(D14=0,'11-Viabilidade'!$K$16+'11-Viabilidade'!$K$17,('11-Viabilidade'!$L$11)*((1+'11-Viabilidade'!$O$10)^(($C14-1)/12)))</f>
        <v>392.22222222222217</v>
      </c>
      <c r="I14" s="11">
        <f>'12-SAC Viabilidade'!G17</f>
        <v>2457.8823643235191</v>
      </c>
      <c r="J14" s="11">
        <f>'12-SAC Viabilidade'!H17</f>
        <v>236000.00000000003</v>
      </c>
      <c r="K14" s="132">
        <f>(D14-F14)*'11-Viabilidade'!$O$16</f>
        <v>450</v>
      </c>
      <c r="L14" s="11">
        <f t="shared" si="0"/>
        <v>-616.77125321240783</v>
      </c>
      <c r="M14" s="156">
        <f t="shared" si="1"/>
        <v>1841.1111111111113</v>
      </c>
      <c r="N14" s="13"/>
      <c r="O14" s="41"/>
      <c r="P14" s="154">
        <f>IF(B14&lt;='11-Viabilidade'!$G$11,(P13+(P13*'11-Viabilidade'!$H$12)),0)</f>
        <v>0</v>
      </c>
      <c r="Q14" s="41">
        <f>IF(B14='11-Viabilidade'!$G$11,'11-Viabilidade'!$G$16,0)*(1+'11-Viabilidade'!$G$12)^((B14-1)/12)</f>
        <v>0</v>
      </c>
      <c r="R14" s="154">
        <f t="shared" si="2"/>
        <v>0</v>
      </c>
      <c r="S14" s="41">
        <f t="shared" si="5"/>
        <v>7</v>
      </c>
      <c r="T14" s="155">
        <f>IF($S14&lt;'11-Viabilidade'!$C$24,0,$S14-'11-Viabilidade'!$C$24)</f>
        <v>1</v>
      </c>
      <c r="U14" s="11">
        <f>IF(T14&gt;0,'11-Viabilidade'!$K$10,0)*((1+'11-Viabilidade'!$O$10)^(($T14-1)/12))</f>
        <v>3000</v>
      </c>
      <c r="V14" s="11">
        <f>U14*'11-Viabilidade'!$L$12</f>
        <v>166.66666666666666</v>
      </c>
      <c r="W14" s="11">
        <f>U14*'11-Viabilidade'!$K$14</f>
        <v>0</v>
      </c>
      <c r="X14" s="11">
        <f>U14*'11-Viabilidade'!$K$15</f>
        <v>150</v>
      </c>
      <c r="Y14" s="11">
        <f>IF(AND(U14=0,S14=0),0,IF(AND(U14=0,S14&lt;&gt;0),'11-Viabilidade'!$K$16+'11-Viabilidade'!$K$17,('11-Viabilidade'!$L$11)*((1+'11-Viabilidade'!$O$10)^(($C14-1)/12))))</f>
        <v>392.22222222222217</v>
      </c>
      <c r="Z14" s="157">
        <f>IFERROR(VLOOKUP(S14,'12-SAC Viabilidade'!$B$11:$G$430,6,FALSE),0)</f>
        <v>2457.8823643235191</v>
      </c>
      <c r="AA14" s="157">
        <f>IFERROR(VLOOKUP(S14,'12-SAC Viabilidade'!$B$11:$H$430,7,FALSE),0)</f>
        <v>236000.00000000003</v>
      </c>
      <c r="AB14" s="132">
        <f>(U14-W14)*'11-Viabilidade'!$O$16</f>
        <v>450</v>
      </c>
      <c r="AC14" s="11">
        <f t="shared" si="3"/>
        <v>-616.77125321240783</v>
      </c>
      <c r="AD14" s="156">
        <f t="shared" si="4"/>
        <v>1841.1111111111113</v>
      </c>
      <c r="AE14" s="40"/>
      <c r="AF14" s="40"/>
      <c r="AG14" s="40"/>
      <c r="AH14" s="40"/>
    </row>
    <row r="15" spans="1:34" ht="15.75" customHeight="1">
      <c r="A15" s="37"/>
      <c r="B15" s="38">
        <f>IF(AND(B14&gt;0,B14&lt;'11-Viabilidade'!$P$14),B14+1,0)</f>
        <v>8</v>
      </c>
      <c r="C15" s="155">
        <f>IF($B15&lt;'11-Viabilidade'!$C$24,0,$B15-'11-Viabilidade'!$C$24)</f>
        <v>2</v>
      </c>
      <c r="D15" s="11">
        <f>IF(C15&gt;0,'11-Viabilidade'!$K$10,0)*((1+'11-Viabilidade'!$O$10)^(($C15-1)/12))</f>
        <v>3012.2223713509452</v>
      </c>
      <c r="E15" s="11">
        <f>D15*'11-Viabilidade'!$L$12</f>
        <v>167.34568729727474</v>
      </c>
      <c r="F15" s="11">
        <f>D15*'11-Viabilidade'!$K$14</f>
        <v>0</v>
      </c>
      <c r="G15" s="11">
        <f>D15*'11-Viabilidade'!$K$15</f>
        <v>150.61111856754727</v>
      </c>
      <c r="H15" s="11">
        <f>IF(D15=0,'11-Viabilidade'!$K$16+'11-Viabilidade'!$K$17,('11-Viabilidade'!$L$11)*((1+'11-Viabilidade'!$O$10)^(($C15-1)/12)))</f>
        <v>393.82018410625312</v>
      </c>
      <c r="I15" s="11">
        <f>'12-SAC Viabilidade'!G18</f>
        <v>2453.3257126498602</v>
      </c>
      <c r="J15" s="11">
        <f>'12-SAC Viabilidade'!H18</f>
        <v>235428.57142857148</v>
      </c>
      <c r="K15" s="132">
        <f>(D15-F15)*'11-Viabilidade'!$O$16</f>
        <v>451.83335570264177</v>
      </c>
      <c r="L15" s="11">
        <f t="shared" si="0"/>
        <v>-604.71368697263188</v>
      </c>
      <c r="M15" s="156">
        <f t="shared" si="1"/>
        <v>1848.6120256772283</v>
      </c>
      <c r="N15" s="13"/>
      <c r="O15" s="41"/>
      <c r="P15" s="154">
        <f>IF(B15&lt;='11-Viabilidade'!$G$11,(P14+(P14*'11-Viabilidade'!$H$12)),0)</f>
        <v>0</v>
      </c>
      <c r="Q15" s="41">
        <f>IF(B15='11-Viabilidade'!$G$11,'11-Viabilidade'!$G$16,0)*(1+'11-Viabilidade'!$G$12)^((B15-1)/12)</f>
        <v>0</v>
      </c>
      <c r="R15" s="154">
        <f t="shared" si="2"/>
        <v>0</v>
      </c>
      <c r="S15" s="41">
        <f t="shared" si="5"/>
        <v>8</v>
      </c>
      <c r="T15" s="155">
        <f>IF($S15&lt;'11-Viabilidade'!$C$24,0,$S15-'11-Viabilidade'!$C$24)</f>
        <v>2</v>
      </c>
      <c r="U15" s="11">
        <f>IF(T15&gt;0,'11-Viabilidade'!$K$10,0)*((1+'11-Viabilidade'!$O$10)^(($T15-1)/12))</f>
        <v>3012.2223713509452</v>
      </c>
      <c r="V15" s="11">
        <f>U15*'11-Viabilidade'!$L$12</f>
        <v>167.34568729727474</v>
      </c>
      <c r="W15" s="11">
        <f>U15*'11-Viabilidade'!$K$14</f>
        <v>0</v>
      </c>
      <c r="X15" s="11">
        <f>U15*'11-Viabilidade'!$K$15</f>
        <v>150.61111856754727</v>
      </c>
      <c r="Y15" s="11">
        <f>IF(AND(U15=0,S15=0),0,IF(AND(U15=0,S15&lt;&gt;0),'11-Viabilidade'!$K$16+'11-Viabilidade'!$K$17,('11-Viabilidade'!$L$11)*((1+'11-Viabilidade'!$O$10)^(($C15-1)/12))))</f>
        <v>393.82018410625312</v>
      </c>
      <c r="Z15" s="157">
        <f>IFERROR(VLOOKUP(S15,'12-SAC Viabilidade'!$B$11:$G$430,6,FALSE),0)</f>
        <v>2453.3257126498602</v>
      </c>
      <c r="AA15" s="157">
        <f>IFERROR(VLOOKUP(S15,'12-SAC Viabilidade'!$B$11:$H$430,7,FALSE),0)</f>
        <v>235428.57142857148</v>
      </c>
      <c r="AB15" s="132">
        <f>(U15-W15)*'11-Viabilidade'!$O$16</f>
        <v>451.83335570264177</v>
      </c>
      <c r="AC15" s="11">
        <f t="shared" si="3"/>
        <v>-604.71368697263188</v>
      </c>
      <c r="AD15" s="156">
        <f t="shared" si="4"/>
        <v>1848.6120256772283</v>
      </c>
      <c r="AE15" s="40"/>
      <c r="AF15" s="40"/>
      <c r="AG15" s="40"/>
      <c r="AH15" s="40"/>
    </row>
    <row r="16" spans="1:34" ht="15.75" customHeight="1">
      <c r="A16" s="37"/>
      <c r="B16" s="38">
        <f>IF(AND(B15&gt;0,B15&lt;'11-Viabilidade'!$P$14),B15+1,0)</f>
        <v>9</v>
      </c>
      <c r="C16" s="155">
        <f>IF($B16&lt;'11-Viabilidade'!$C$24,0,$B16-'11-Viabilidade'!$C$24)</f>
        <v>3</v>
      </c>
      <c r="D16" s="11">
        <f>IF(C16&gt;0,'11-Viabilidade'!$K$10,0)*((1+'11-Viabilidade'!$O$10)^(($C16-1)/12))</f>
        <v>3024.4945381557031</v>
      </c>
      <c r="E16" s="11">
        <f>D16*'11-Viabilidade'!$L$12</f>
        <v>168.02747434198349</v>
      </c>
      <c r="F16" s="11">
        <f>D16*'11-Viabilidade'!$K$14</f>
        <v>0</v>
      </c>
      <c r="G16" s="11">
        <f>D16*'11-Viabilidade'!$K$15</f>
        <v>151.22472690778517</v>
      </c>
      <c r="H16" s="11">
        <f>IF(D16=0,'11-Viabilidade'!$K$16+'11-Viabilidade'!$K$17,('11-Viabilidade'!$L$11)*((1+'11-Viabilidade'!$O$10)^(($C16-1)/12)))</f>
        <v>395.42465628480113</v>
      </c>
      <c r="I16" s="11">
        <f>'12-SAC Viabilidade'!G19</f>
        <v>2448.7690609762008</v>
      </c>
      <c r="J16" s="11">
        <f>'12-SAC Viabilidade'!H19</f>
        <v>234857.14285714293</v>
      </c>
      <c r="K16" s="132">
        <f>(D16-F16)*'11-Viabilidade'!$O$16</f>
        <v>453.67418072335545</v>
      </c>
      <c r="L16" s="11">
        <f t="shared" si="0"/>
        <v>-592.62556107842329</v>
      </c>
      <c r="M16" s="156">
        <f t="shared" si="1"/>
        <v>1856.1434998977779</v>
      </c>
      <c r="N16" s="13"/>
      <c r="O16" s="41"/>
      <c r="P16" s="154">
        <f>IF(B16&lt;='11-Viabilidade'!$G$11,(P15+(P15*'11-Viabilidade'!$H$12)),0)</f>
        <v>0</v>
      </c>
      <c r="Q16" s="41">
        <f>IF(B16='11-Viabilidade'!$G$11,'11-Viabilidade'!$G$16,0)*(1+'11-Viabilidade'!$G$12)^((B16-1)/12)</f>
        <v>0</v>
      </c>
      <c r="R16" s="154">
        <f t="shared" si="2"/>
        <v>0</v>
      </c>
      <c r="S16" s="41">
        <f t="shared" si="5"/>
        <v>9</v>
      </c>
      <c r="T16" s="155">
        <f>IF($S16&lt;'11-Viabilidade'!$C$24,0,$S16-'11-Viabilidade'!$C$24)</f>
        <v>3</v>
      </c>
      <c r="U16" s="11">
        <f>IF(T16&gt;0,'11-Viabilidade'!$K$10,0)*((1+'11-Viabilidade'!$O$10)^(($T16-1)/12))</f>
        <v>3024.4945381557031</v>
      </c>
      <c r="V16" s="11">
        <f>U16*'11-Viabilidade'!$L$12</f>
        <v>168.02747434198349</v>
      </c>
      <c r="W16" s="11">
        <f>U16*'11-Viabilidade'!$K$14</f>
        <v>0</v>
      </c>
      <c r="X16" s="11">
        <f>U16*'11-Viabilidade'!$K$15</f>
        <v>151.22472690778517</v>
      </c>
      <c r="Y16" s="11">
        <f>IF(AND(U16=0,S16=0),0,IF(AND(U16=0,S16&lt;&gt;0),'11-Viabilidade'!$K$16+'11-Viabilidade'!$K$17,('11-Viabilidade'!$L$11)*((1+'11-Viabilidade'!$O$10)^(($C16-1)/12))))</f>
        <v>395.42465628480113</v>
      </c>
      <c r="Z16" s="157">
        <f>IFERROR(VLOOKUP(S16,'12-SAC Viabilidade'!$B$11:$G$430,6,FALSE),0)</f>
        <v>2448.7690609762008</v>
      </c>
      <c r="AA16" s="157">
        <f>IFERROR(VLOOKUP(S16,'12-SAC Viabilidade'!$B$11:$H$430,7,FALSE),0)</f>
        <v>234857.14285714293</v>
      </c>
      <c r="AB16" s="132">
        <f>(U16-W16)*'11-Viabilidade'!$O$16</f>
        <v>453.67418072335545</v>
      </c>
      <c r="AC16" s="11">
        <f t="shared" si="3"/>
        <v>-592.62556107842329</v>
      </c>
      <c r="AD16" s="156">
        <f t="shared" si="4"/>
        <v>1856.1434998977779</v>
      </c>
      <c r="AE16" s="40"/>
      <c r="AF16" s="40"/>
      <c r="AG16" s="40"/>
      <c r="AH16" s="40"/>
    </row>
    <row r="17" spans="1:34" ht="15.75" customHeight="1">
      <c r="A17" s="37"/>
      <c r="B17" s="38">
        <f>IF(AND(B16&gt;0,B16&lt;'11-Viabilidade'!$P$14),B16+1,0)</f>
        <v>10</v>
      </c>
      <c r="C17" s="155">
        <f>IF($B17&lt;'11-Viabilidade'!$C$24,0,$B17-'11-Viabilidade'!$C$24)</f>
        <v>4</v>
      </c>
      <c r="D17" s="11">
        <f>IF(C17&gt;0,'11-Viabilidade'!$K$10,0)*((1+'11-Viabilidade'!$O$10)^(($C17-1)/12))</f>
        <v>3036.8167032871179</v>
      </c>
      <c r="E17" s="11">
        <f>D17*'11-Viabilidade'!$L$12</f>
        <v>168.71203907150655</v>
      </c>
      <c r="F17" s="11">
        <f>D17*'11-Viabilidade'!$K$14</f>
        <v>0</v>
      </c>
      <c r="G17" s="11">
        <f>D17*'11-Viabilidade'!$K$15</f>
        <v>151.84083516435589</v>
      </c>
      <c r="H17" s="11">
        <f>IF(D17=0,'11-Viabilidade'!$K$16+'11-Viabilidade'!$K$17,('11-Viabilidade'!$L$11)*((1+'11-Viabilidade'!$O$10)^(($C17-1)/12)))</f>
        <v>397.03566528161207</v>
      </c>
      <c r="I17" s="11">
        <f>'12-SAC Viabilidade'!G20</f>
        <v>2444.2124093025418</v>
      </c>
      <c r="J17" s="11">
        <f>'12-SAC Viabilidade'!H20</f>
        <v>234285.71428571438</v>
      </c>
      <c r="K17" s="132">
        <f>(D17-F17)*'11-Viabilidade'!$O$16</f>
        <v>455.52250549306768</v>
      </c>
      <c r="L17" s="11">
        <f t="shared" si="0"/>
        <v>-580.50675102596597</v>
      </c>
      <c r="M17" s="156">
        <f t="shared" si="1"/>
        <v>1863.7056582765758</v>
      </c>
      <c r="N17" s="13"/>
      <c r="O17" s="41"/>
      <c r="P17" s="154">
        <f>IF(B17&lt;='11-Viabilidade'!$G$11,(P16+(P16*'11-Viabilidade'!$H$12)),0)</f>
        <v>0</v>
      </c>
      <c r="Q17" s="41">
        <f>IF(B17='11-Viabilidade'!$G$11,'11-Viabilidade'!$G$16,0)*(1+'11-Viabilidade'!$G$12)^((B17-1)/12)</f>
        <v>0</v>
      </c>
      <c r="R17" s="154">
        <f t="shared" si="2"/>
        <v>0</v>
      </c>
      <c r="S17" s="41">
        <f t="shared" si="5"/>
        <v>10</v>
      </c>
      <c r="T17" s="155">
        <f>IF($S17&lt;'11-Viabilidade'!$C$24,0,$S17-'11-Viabilidade'!$C$24)</f>
        <v>4</v>
      </c>
      <c r="U17" s="11">
        <f>IF(T17&gt;0,'11-Viabilidade'!$K$10,0)*((1+'11-Viabilidade'!$O$10)^(($T17-1)/12))</f>
        <v>3036.8167032871179</v>
      </c>
      <c r="V17" s="11">
        <f>U17*'11-Viabilidade'!$L$12</f>
        <v>168.71203907150655</v>
      </c>
      <c r="W17" s="11">
        <f>U17*'11-Viabilidade'!$K$14</f>
        <v>0</v>
      </c>
      <c r="X17" s="11">
        <f>U17*'11-Viabilidade'!$K$15</f>
        <v>151.84083516435589</v>
      </c>
      <c r="Y17" s="11">
        <f>IF(AND(U17=0,S17=0),0,IF(AND(U17=0,S17&lt;&gt;0),'11-Viabilidade'!$K$16+'11-Viabilidade'!$K$17,('11-Viabilidade'!$L$11)*((1+'11-Viabilidade'!$O$10)^(($C17-1)/12))))</f>
        <v>397.03566528161207</v>
      </c>
      <c r="Z17" s="157">
        <f>IFERROR(VLOOKUP(S17,'12-SAC Viabilidade'!$B$11:$G$430,6,FALSE),0)</f>
        <v>2444.2124093025418</v>
      </c>
      <c r="AA17" s="157">
        <f>IFERROR(VLOOKUP(S17,'12-SAC Viabilidade'!$B$11:$H$430,7,FALSE),0)</f>
        <v>234285.71428571438</v>
      </c>
      <c r="AB17" s="132">
        <f>(U17-W17)*'11-Viabilidade'!$O$16</f>
        <v>455.52250549306768</v>
      </c>
      <c r="AC17" s="11">
        <f t="shared" si="3"/>
        <v>-580.50675102596597</v>
      </c>
      <c r="AD17" s="156">
        <f t="shared" si="4"/>
        <v>1863.7056582765758</v>
      </c>
      <c r="AE17" s="40"/>
      <c r="AF17" s="40"/>
      <c r="AG17" s="40"/>
      <c r="AH17" s="40"/>
    </row>
    <row r="18" spans="1:34" ht="15.75" customHeight="1">
      <c r="A18" s="37"/>
      <c r="B18" s="38">
        <f>IF(AND(B17&gt;0,B17&lt;'11-Viabilidade'!$P$14),B17+1,0)</f>
        <v>11</v>
      </c>
      <c r="C18" s="155">
        <f>IF($B18&lt;'11-Viabilidade'!$C$24,0,$B18-'11-Viabilidade'!$C$24)</f>
        <v>5</v>
      </c>
      <c r="D18" s="11">
        <f>IF(C18&gt;0,'11-Viabilidade'!$K$10,0)*((1+'11-Viabilidade'!$O$10)^(($C18-1)/12))</f>
        <v>3049.1890704445605</v>
      </c>
      <c r="E18" s="11">
        <f>D18*'11-Viabilidade'!$L$12</f>
        <v>169.39939280247557</v>
      </c>
      <c r="F18" s="11">
        <f>D18*'11-Viabilidade'!$K$14</f>
        <v>0</v>
      </c>
      <c r="G18" s="11">
        <f>D18*'11-Viabilidade'!$K$15</f>
        <v>152.45945352222802</v>
      </c>
      <c r="H18" s="11">
        <f>IF(D18=0,'11-Viabilidade'!$K$16+'11-Viabilidade'!$K$17,('11-Viabilidade'!$L$11)*((1+'11-Viabilidade'!$O$10)^(($C18-1)/12)))</f>
        <v>398.65323772849251</v>
      </c>
      <c r="I18" s="11">
        <f>'12-SAC Viabilidade'!G21</f>
        <v>2439.6557576288828</v>
      </c>
      <c r="J18" s="11">
        <f>'12-SAC Viabilidade'!H21</f>
        <v>233714.28571428583</v>
      </c>
      <c r="K18" s="132">
        <f>(D18-F18)*'11-Viabilidade'!$O$16</f>
        <v>457.37836056668408</v>
      </c>
      <c r="L18" s="11">
        <f t="shared" si="0"/>
        <v>-568.35713180420225</v>
      </c>
      <c r="M18" s="156">
        <f t="shared" si="1"/>
        <v>1871.2986258246804</v>
      </c>
      <c r="N18" s="13"/>
      <c r="O18" s="41"/>
      <c r="P18" s="154">
        <f>IF(B18&lt;='11-Viabilidade'!$G$11,(P17+(P17*'11-Viabilidade'!$H$12)),0)</f>
        <v>0</v>
      </c>
      <c r="Q18" s="41">
        <f>IF(B18='11-Viabilidade'!$G$11,'11-Viabilidade'!$G$16,0)*(1+'11-Viabilidade'!$G$12)^((B18-1)/12)</f>
        <v>0</v>
      </c>
      <c r="R18" s="154">
        <f t="shared" si="2"/>
        <v>0</v>
      </c>
      <c r="S18" s="41">
        <f t="shared" si="5"/>
        <v>11</v>
      </c>
      <c r="T18" s="155">
        <f>IF($S18&lt;'11-Viabilidade'!$C$24,0,$S18-'11-Viabilidade'!$C$24)</f>
        <v>5</v>
      </c>
      <c r="U18" s="11">
        <f>IF(T18&gt;0,'11-Viabilidade'!$K$10,0)*((1+'11-Viabilidade'!$O$10)^(($T18-1)/12))</f>
        <v>3049.1890704445605</v>
      </c>
      <c r="V18" s="11">
        <f>U18*'11-Viabilidade'!$L$12</f>
        <v>169.39939280247557</v>
      </c>
      <c r="W18" s="11">
        <f>U18*'11-Viabilidade'!$K$14</f>
        <v>0</v>
      </c>
      <c r="X18" s="11">
        <f>U18*'11-Viabilidade'!$K$15</f>
        <v>152.45945352222802</v>
      </c>
      <c r="Y18" s="11">
        <f>IF(AND(U18=0,S18=0),0,IF(AND(U18=0,S18&lt;&gt;0),'11-Viabilidade'!$K$16+'11-Viabilidade'!$K$17,('11-Viabilidade'!$L$11)*((1+'11-Viabilidade'!$O$10)^(($C18-1)/12))))</f>
        <v>398.65323772849251</v>
      </c>
      <c r="Z18" s="157">
        <f>IFERROR(VLOOKUP(S18,'12-SAC Viabilidade'!$B$11:$G$430,6,FALSE),0)</f>
        <v>2439.6557576288828</v>
      </c>
      <c r="AA18" s="157">
        <f>IFERROR(VLOOKUP(S18,'12-SAC Viabilidade'!$B$11:$H$430,7,FALSE),0)</f>
        <v>233714.28571428583</v>
      </c>
      <c r="AB18" s="132">
        <f>(U18-W18)*'11-Viabilidade'!$O$16</f>
        <v>457.37836056668408</v>
      </c>
      <c r="AC18" s="11">
        <f t="shared" si="3"/>
        <v>-568.35713180420225</v>
      </c>
      <c r="AD18" s="156">
        <f t="shared" si="4"/>
        <v>1871.2986258246804</v>
      </c>
      <c r="AE18" s="40"/>
      <c r="AF18" s="40"/>
      <c r="AG18" s="40"/>
      <c r="AH18" s="40"/>
    </row>
    <row r="19" spans="1:34" ht="15.75" customHeight="1">
      <c r="A19" s="158" t="s">
        <v>233</v>
      </c>
      <c r="B19" s="159">
        <f>IF(AND(B18&gt;0,B18&lt;'11-Viabilidade'!$P$14),B18+1,0)</f>
        <v>12</v>
      </c>
      <c r="C19" s="160">
        <f>IF($B19&lt;'11-Viabilidade'!$C$24,0,$B19-'11-Viabilidade'!$C$24)</f>
        <v>6</v>
      </c>
      <c r="D19" s="161">
        <f>IF(C19&gt;0,'11-Viabilidade'!$K$10,0)*((1+'11-Viabilidade'!$O$10)^(($C19-1)/12))</f>
        <v>3061.6118441572989</v>
      </c>
      <c r="E19" s="161">
        <f>D19*'11-Viabilidade'!$L$12</f>
        <v>170.08954689762771</v>
      </c>
      <c r="F19" s="161">
        <f>D19*'11-Viabilidade'!$K$14</f>
        <v>0</v>
      </c>
      <c r="G19" s="161">
        <f>D19*'11-Viabilidade'!$K$15</f>
        <v>153.08059220786495</v>
      </c>
      <c r="H19" s="11">
        <f>IF(D19=0,'11-Viabilidade'!$K$16+'11-Viabilidade'!$K$17,('11-Viabilidade'!$L$11)*((1+'11-Viabilidade'!$O$10)^(($C19-1)/12)))</f>
        <v>400.27740036575051</v>
      </c>
      <c r="I19" s="161">
        <f>'12-SAC Viabilidade'!G22</f>
        <v>2435.0991059552234</v>
      </c>
      <c r="J19" s="161">
        <f>'12-SAC Viabilidade'!H22</f>
        <v>233142.85714285725</v>
      </c>
      <c r="K19" s="162">
        <f>(D19-F19)*'11-Viabilidade'!$O$16</f>
        <v>459.24177662359483</v>
      </c>
      <c r="L19" s="161">
        <f t="shared" si="0"/>
        <v>-556.17657789276245</v>
      </c>
      <c r="M19" s="163">
        <f t="shared" si="1"/>
        <v>1878.922528062461</v>
      </c>
      <c r="N19" s="164"/>
      <c r="O19" s="165"/>
      <c r="P19" s="166">
        <f>IF(B19&lt;='11-Viabilidade'!$G$11,(P18+(P18*'11-Viabilidade'!$H$12)),0)</f>
        <v>0</v>
      </c>
      <c r="Q19" s="167">
        <f>IF(B19='11-Viabilidade'!$G$11,'11-Viabilidade'!$G$16,0)*(1+'11-Viabilidade'!$G$12)^((B19-1)/12)</f>
        <v>0</v>
      </c>
      <c r="R19" s="166">
        <f t="shared" si="2"/>
        <v>0</v>
      </c>
      <c r="S19" s="165">
        <f t="shared" si="5"/>
        <v>12</v>
      </c>
      <c r="T19" s="160">
        <f>IF($S19&lt;'11-Viabilidade'!$C$24,0,$S19-'11-Viabilidade'!$C$24)</f>
        <v>6</v>
      </c>
      <c r="U19" s="161">
        <f>IF(T19&gt;0,'11-Viabilidade'!$K$10,0)*((1+'11-Viabilidade'!$O$10)^(($T19-1)/12))</f>
        <v>3061.6118441572989</v>
      </c>
      <c r="V19" s="161">
        <f>U19*'11-Viabilidade'!$L$12</f>
        <v>170.08954689762771</v>
      </c>
      <c r="W19" s="161">
        <f>U19*'11-Viabilidade'!$K$14</f>
        <v>0</v>
      </c>
      <c r="X19" s="161">
        <f>U19*'11-Viabilidade'!$K$15</f>
        <v>153.08059220786495</v>
      </c>
      <c r="Y19" s="11">
        <f>IF(AND(U19=0,S19=0),0,IF(AND(U19=0,S19&lt;&gt;0),'11-Viabilidade'!$K$16+'11-Viabilidade'!$K$17,('11-Viabilidade'!$L$11)*((1+'11-Viabilidade'!$O$10)^(($C19-1)/12))))</f>
        <v>400.27740036575051</v>
      </c>
      <c r="Z19" s="168">
        <f>IFERROR(VLOOKUP(S19,'12-SAC Viabilidade'!$B$11:$G$430,6,FALSE),0)</f>
        <v>2435.0991059552234</v>
      </c>
      <c r="AA19" s="168">
        <f>IFERROR(VLOOKUP(S19,'12-SAC Viabilidade'!$B$11:$H$430,7,FALSE),0)</f>
        <v>233142.85714285725</v>
      </c>
      <c r="AB19" s="162">
        <f>(U19-W19)*'11-Viabilidade'!$O$16</f>
        <v>459.24177662359483</v>
      </c>
      <c r="AC19" s="161">
        <f t="shared" si="3"/>
        <v>-556.17657789276245</v>
      </c>
      <c r="AD19" s="163">
        <f t="shared" si="4"/>
        <v>1878.922528062461</v>
      </c>
      <c r="AE19" s="169"/>
      <c r="AF19" s="169"/>
      <c r="AG19" s="169"/>
      <c r="AH19" s="169"/>
    </row>
    <row r="20" spans="1:34" ht="15.75" customHeight="1">
      <c r="A20" s="37"/>
      <c r="B20" s="38">
        <f>IF(AND(B19&gt;0,B19&lt;'11-Viabilidade'!$P$14),B19+1,0)</f>
        <v>13</v>
      </c>
      <c r="C20" s="155">
        <f>IF($B20&lt;'11-Viabilidade'!$C$24,0,$B20-'11-Viabilidade'!$C$24)</f>
        <v>7</v>
      </c>
      <c r="D20" s="11">
        <f>IF(C20&gt;0,'11-Viabilidade'!$K$10,0)*((1+'11-Viabilidade'!$O$10)^(($C20-1)/12))</f>
        <v>3074.0852297878796</v>
      </c>
      <c r="E20" s="11">
        <f>D20*'11-Viabilidade'!$L$12</f>
        <v>170.78251276599329</v>
      </c>
      <c r="F20" s="11">
        <f>D20*'11-Viabilidade'!$K$14</f>
        <v>0</v>
      </c>
      <c r="G20" s="11">
        <f>D20*'11-Viabilidade'!$K$15</f>
        <v>153.70426148939399</v>
      </c>
      <c r="H20" s="11">
        <f>IF(D20=0,'11-Viabilidade'!$K$16+'11-Viabilidade'!$K$17,('11-Viabilidade'!$L$11)*((1+'11-Viabilidade'!$O$10)^(($C20-1)/12)))</f>
        <v>401.90818004263758</v>
      </c>
      <c r="I20" s="11">
        <f>'12-SAC Viabilidade'!G23</f>
        <v>2430.542454281564</v>
      </c>
      <c r="J20" s="11">
        <f>'12-SAC Viabilidade'!H23</f>
        <v>232571.42857142867</v>
      </c>
      <c r="K20" s="132">
        <f>(D20-F20)*'11-Viabilidade'!$O$16</f>
        <v>461.11278446818193</v>
      </c>
      <c r="L20" s="11">
        <f t="shared" si="0"/>
        <v>-543.96496325989119</v>
      </c>
      <c r="M20" s="156">
        <f t="shared" si="1"/>
        <v>1886.5774910216728</v>
      </c>
      <c r="N20" s="13"/>
      <c r="O20" s="41"/>
      <c r="P20" s="154">
        <f>IF(B20&lt;='11-Viabilidade'!$G$11,(P19+(P19*'11-Viabilidade'!$H$12)),0)</f>
        <v>0</v>
      </c>
      <c r="Q20" s="41">
        <f>IF(B20='11-Viabilidade'!$G$11,'11-Viabilidade'!$G$16,0)*(1+'11-Viabilidade'!$G$12)^((B20-1)/12)</f>
        <v>0</v>
      </c>
      <c r="R20" s="154">
        <f t="shared" si="2"/>
        <v>0</v>
      </c>
      <c r="S20" s="41">
        <f t="shared" si="5"/>
        <v>13</v>
      </c>
      <c r="T20" s="155">
        <f>IF($S20&lt;'11-Viabilidade'!$C$24,0,$S20-'11-Viabilidade'!$C$24)</f>
        <v>7</v>
      </c>
      <c r="U20" s="11">
        <f>IF(T20&gt;0,'11-Viabilidade'!$K$10,0)*((1+'11-Viabilidade'!$O$10)^(($T20-1)/12))</f>
        <v>3074.0852297878796</v>
      </c>
      <c r="V20" s="11">
        <f>U20*'11-Viabilidade'!$L$12</f>
        <v>170.78251276599329</v>
      </c>
      <c r="W20" s="11">
        <f>U20*'11-Viabilidade'!$K$14</f>
        <v>0</v>
      </c>
      <c r="X20" s="11">
        <f>U20*'11-Viabilidade'!$K$15</f>
        <v>153.70426148939399</v>
      </c>
      <c r="Y20" s="11">
        <f>IF(AND(U20=0,S20=0),0,IF(AND(U20=0,S20&lt;&gt;0),'11-Viabilidade'!$K$16+'11-Viabilidade'!$K$17,('11-Viabilidade'!$L$11)*((1+'11-Viabilidade'!$O$10)^(($C20-1)/12))))</f>
        <v>401.90818004263758</v>
      </c>
      <c r="Z20" s="157">
        <f>IFERROR(VLOOKUP(S20,'12-SAC Viabilidade'!$B$11:$G$430,6,FALSE),0)</f>
        <v>2430.542454281564</v>
      </c>
      <c r="AA20" s="157">
        <f>IFERROR(VLOOKUP(S20,'12-SAC Viabilidade'!$B$11:$H$430,7,FALSE),0)</f>
        <v>232571.42857142867</v>
      </c>
      <c r="AB20" s="132">
        <f>(U20-W20)*'11-Viabilidade'!$O$16</f>
        <v>461.11278446818193</v>
      </c>
      <c r="AC20" s="11">
        <f t="shared" si="3"/>
        <v>-543.96496325989119</v>
      </c>
      <c r="AD20" s="156">
        <f t="shared" si="4"/>
        <v>1886.5774910216728</v>
      </c>
      <c r="AE20" s="40"/>
      <c r="AF20" s="40"/>
      <c r="AG20" s="40"/>
      <c r="AH20" s="40"/>
    </row>
    <row r="21" spans="1:34" ht="15.75" customHeight="1">
      <c r="A21" s="37"/>
      <c r="B21" s="38">
        <f>IF(AND(B20&gt;0,B20&lt;'11-Viabilidade'!$P$14),B20+1,0)</f>
        <v>14</v>
      </c>
      <c r="C21" s="155">
        <f>IF($B21&lt;'11-Viabilidade'!$C$24,0,$B21-'11-Viabilidade'!$C$24)</f>
        <v>8</v>
      </c>
      <c r="D21" s="11">
        <f>IF(C21&gt;0,'11-Viabilidade'!$K$10,0)*((1+'11-Viabilidade'!$O$10)^(($C21-1)/12))</f>
        <v>3086.6094335355206</v>
      </c>
      <c r="E21" s="11">
        <f>D21*'11-Viabilidade'!$L$12</f>
        <v>171.47830186308445</v>
      </c>
      <c r="F21" s="11">
        <f>D21*'11-Viabilidade'!$K$14</f>
        <v>0</v>
      </c>
      <c r="G21" s="11">
        <f>D21*'11-Viabilidade'!$K$15</f>
        <v>154.33047167677603</v>
      </c>
      <c r="H21" s="11">
        <f>IF(D21=0,'11-Viabilidade'!$K$16+'11-Viabilidade'!$K$17,('11-Viabilidade'!$L$11)*((1+'11-Viabilidade'!$O$10)^(($C21-1)/12)))</f>
        <v>403.54560371779206</v>
      </c>
      <c r="I21" s="11">
        <f>'12-SAC Viabilidade'!G24</f>
        <v>2425.985802607905</v>
      </c>
      <c r="J21" s="11">
        <f>'12-SAC Viabilidade'!H24</f>
        <v>232000.00000000009</v>
      </c>
      <c r="K21" s="132">
        <f>(D21-F21)*'11-Viabilidade'!$O$16</f>
        <v>462.99141503032808</v>
      </c>
      <c r="L21" s="11">
        <f t="shared" si="0"/>
        <v>-531.72216136036513</v>
      </c>
      <c r="M21" s="156">
        <f t="shared" si="1"/>
        <v>1894.2636412475399</v>
      </c>
      <c r="N21" s="13"/>
      <c r="O21" s="41"/>
      <c r="P21" s="154">
        <f>IF(B21&lt;='11-Viabilidade'!$G$11,(P20+(P20*'11-Viabilidade'!$H$12)),0)</f>
        <v>0</v>
      </c>
      <c r="Q21" s="41">
        <f>IF(B21='11-Viabilidade'!$G$11,'11-Viabilidade'!$G$16,0)*(1+'11-Viabilidade'!$G$12)^((B21-1)/12)</f>
        <v>0</v>
      </c>
      <c r="R21" s="154">
        <f t="shared" si="2"/>
        <v>0</v>
      </c>
      <c r="S21" s="41">
        <f t="shared" si="5"/>
        <v>14</v>
      </c>
      <c r="T21" s="155">
        <f>IF($S21&lt;'11-Viabilidade'!$C$24,0,$S21-'11-Viabilidade'!$C$24)</f>
        <v>8</v>
      </c>
      <c r="U21" s="11">
        <f>IF(T21&gt;0,'11-Viabilidade'!$K$10,0)*((1+'11-Viabilidade'!$O$10)^(($T21-1)/12))</f>
        <v>3086.6094335355206</v>
      </c>
      <c r="V21" s="11">
        <f>U21*'11-Viabilidade'!$L$12</f>
        <v>171.47830186308445</v>
      </c>
      <c r="W21" s="11">
        <f>U21*'11-Viabilidade'!$K$14</f>
        <v>0</v>
      </c>
      <c r="X21" s="11">
        <f>U21*'11-Viabilidade'!$K$15</f>
        <v>154.33047167677603</v>
      </c>
      <c r="Y21" s="11">
        <f>IF(AND(U21=0,S21=0),0,IF(AND(U21=0,S21&lt;&gt;0),'11-Viabilidade'!$K$16+'11-Viabilidade'!$K$17,('11-Viabilidade'!$L$11)*((1+'11-Viabilidade'!$O$10)^(($C21-1)/12))))</f>
        <v>403.54560371779206</v>
      </c>
      <c r="Z21" s="157">
        <f>IFERROR(VLOOKUP(S21,'12-SAC Viabilidade'!$B$11:$G$430,6,FALSE),0)</f>
        <v>2425.985802607905</v>
      </c>
      <c r="AA21" s="157">
        <f>IFERROR(VLOOKUP(S21,'12-SAC Viabilidade'!$B$11:$H$430,7,FALSE),0)</f>
        <v>232000.00000000009</v>
      </c>
      <c r="AB21" s="132">
        <f>(U21-W21)*'11-Viabilidade'!$O$16</f>
        <v>462.99141503032808</v>
      </c>
      <c r="AC21" s="11">
        <f t="shared" si="3"/>
        <v>-531.72216136036513</v>
      </c>
      <c r="AD21" s="156">
        <f t="shared" si="4"/>
        <v>1894.2636412475399</v>
      </c>
      <c r="AE21" s="40"/>
      <c r="AF21" s="40"/>
      <c r="AG21" s="40"/>
      <c r="AH21" s="40"/>
    </row>
    <row r="22" spans="1:34" ht="15.75" customHeight="1">
      <c r="A22" s="37"/>
      <c r="B22" s="38">
        <f>IF(AND(B21&gt;0,B21&lt;'11-Viabilidade'!$P$14),B21+1,0)</f>
        <v>15</v>
      </c>
      <c r="C22" s="155">
        <f>IF($B22&lt;'11-Viabilidade'!$C$24,0,$B22-'11-Viabilidade'!$C$24)</f>
        <v>9</v>
      </c>
      <c r="D22" s="11">
        <f>IF(C22&gt;0,'11-Viabilidade'!$K$10,0)*((1+'11-Viabilidade'!$O$10)^(($C22-1)/12))</f>
        <v>3099.1846624395207</v>
      </c>
      <c r="E22" s="11">
        <f>D22*'11-Viabilidade'!$L$12</f>
        <v>172.17692569108448</v>
      </c>
      <c r="F22" s="11">
        <f>D22*'11-Viabilidade'!$K$14</f>
        <v>0</v>
      </c>
      <c r="G22" s="11">
        <f>D22*'11-Viabilidade'!$K$15</f>
        <v>154.95923312197604</v>
      </c>
      <c r="H22" s="11">
        <f>IF(D22=0,'11-Viabilidade'!$K$16+'11-Viabilidade'!$K$17,('11-Viabilidade'!$L$11)*((1+'11-Viabilidade'!$O$10)^(($C22-1)/12)))</f>
        <v>405.18969845968542</v>
      </c>
      <c r="I22" s="11">
        <f>'12-SAC Viabilidade'!G25</f>
        <v>2421.4291509342456</v>
      </c>
      <c r="J22" s="11">
        <f>'12-SAC Viabilidade'!H25</f>
        <v>231428.57142857151</v>
      </c>
      <c r="K22" s="132">
        <f>(D22-F22)*'11-Viabilidade'!$O$16</f>
        <v>464.87769936592809</v>
      </c>
      <c r="L22" s="11">
        <f t="shared" si="0"/>
        <v>-519.44804513339886</v>
      </c>
      <c r="M22" s="156">
        <f t="shared" si="1"/>
        <v>1901.9811058008468</v>
      </c>
      <c r="N22" s="13"/>
      <c r="O22" s="41"/>
      <c r="P22" s="154">
        <f>IF(B22&lt;='11-Viabilidade'!$G$11,(P21+(P21*'11-Viabilidade'!$H$12)),0)</f>
        <v>0</v>
      </c>
      <c r="Q22" s="41">
        <f>IF(B22='11-Viabilidade'!$G$11,'11-Viabilidade'!$G$16,0)*(1+'11-Viabilidade'!$G$12)^((B22-1)/12)</f>
        <v>0</v>
      </c>
      <c r="R22" s="154">
        <f t="shared" si="2"/>
        <v>0</v>
      </c>
      <c r="S22" s="41">
        <f t="shared" si="5"/>
        <v>15</v>
      </c>
      <c r="T22" s="155">
        <f>IF($S22&lt;'11-Viabilidade'!$C$24,0,$S22-'11-Viabilidade'!$C$24)</f>
        <v>9</v>
      </c>
      <c r="U22" s="11">
        <f>IF(T22&gt;0,'11-Viabilidade'!$K$10,0)*((1+'11-Viabilidade'!$O$10)^(($T22-1)/12))</f>
        <v>3099.1846624395207</v>
      </c>
      <c r="V22" s="11">
        <f>U22*'11-Viabilidade'!$L$12</f>
        <v>172.17692569108448</v>
      </c>
      <c r="W22" s="11">
        <f>U22*'11-Viabilidade'!$K$14</f>
        <v>0</v>
      </c>
      <c r="X22" s="11">
        <f>U22*'11-Viabilidade'!$K$15</f>
        <v>154.95923312197604</v>
      </c>
      <c r="Y22" s="11">
        <f>IF(AND(U22=0,S22=0),0,IF(AND(U22=0,S22&lt;&gt;0),'11-Viabilidade'!$K$16+'11-Viabilidade'!$K$17,('11-Viabilidade'!$L$11)*((1+'11-Viabilidade'!$O$10)^(($C22-1)/12))))</f>
        <v>405.18969845968542</v>
      </c>
      <c r="Z22" s="157">
        <f>IFERROR(VLOOKUP(S22,'12-SAC Viabilidade'!$B$11:$G$430,6,FALSE),0)</f>
        <v>2421.4291509342456</v>
      </c>
      <c r="AA22" s="157">
        <f>IFERROR(VLOOKUP(S22,'12-SAC Viabilidade'!$B$11:$H$430,7,FALSE),0)</f>
        <v>231428.57142857151</v>
      </c>
      <c r="AB22" s="132">
        <f>(U22-W22)*'11-Viabilidade'!$O$16</f>
        <v>464.87769936592809</v>
      </c>
      <c r="AC22" s="11">
        <f t="shared" si="3"/>
        <v>-519.44804513339886</v>
      </c>
      <c r="AD22" s="156">
        <f t="shared" si="4"/>
        <v>1901.9811058008468</v>
      </c>
      <c r="AE22" s="40"/>
      <c r="AF22" s="40"/>
      <c r="AG22" s="40"/>
      <c r="AH22" s="40"/>
    </row>
    <row r="23" spans="1:34" ht="15.75" customHeight="1">
      <c r="A23" s="37"/>
      <c r="B23" s="38">
        <f>IF(AND(B22&gt;0,B22&lt;'11-Viabilidade'!$P$14),B22+1,0)</f>
        <v>16</v>
      </c>
      <c r="C23" s="155">
        <f>IF($B23&lt;'11-Viabilidade'!$C$24,0,$B23-'11-Viabilidade'!$C$24)</f>
        <v>10</v>
      </c>
      <c r="D23" s="11">
        <f>IF(C23&gt;0,'11-Viabilidade'!$K$10,0)*((1+'11-Viabilidade'!$O$10)^(($C23-1)/12))</f>
        <v>3111.8111243826834</v>
      </c>
      <c r="E23" s="11">
        <f>D23*'11-Viabilidade'!$L$12</f>
        <v>172.87839579903795</v>
      </c>
      <c r="F23" s="11">
        <f>D23*'11-Viabilidade'!$K$14</f>
        <v>0</v>
      </c>
      <c r="G23" s="11">
        <f>D23*'11-Viabilidade'!$K$15</f>
        <v>155.59055621913419</v>
      </c>
      <c r="H23" s="11">
        <f>IF(D23=0,'11-Viabilidade'!$K$16+'11-Viabilidade'!$K$17,('11-Viabilidade'!$L$11)*((1+'11-Viabilidade'!$O$10)^(($C23-1)/12)))</f>
        <v>406.84049144706927</v>
      </c>
      <c r="I23" s="11">
        <f>'12-SAC Viabilidade'!G26</f>
        <v>2416.8724992605862</v>
      </c>
      <c r="J23" s="11">
        <f>'12-SAC Viabilidade'!H26</f>
        <v>230857.14285714293</v>
      </c>
      <c r="K23" s="132">
        <f>(D23-F23)*'11-Viabilidade'!$O$16</f>
        <v>466.77166865740247</v>
      </c>
      <c r="L23" s="11">
        <f t="shared" si="0"/>
        <v>-507.14248700054713</v>
      </c>
      <c r="M23" s="156">
        <f t="shared" si="1"/>
        <v>1909.7300122600395</v>
      </c>
      <c r="N23" s="13"/>
      <c r="O23" s="41"/>
      <c r="P23" s="154">
        <f>IF(B23&lt;='11-Viabilidade'!$G$11,(P22+(P22*'11-Viabilidade'!$H$12)),0)</f>
        <v>0</v>
      </c>
      <c r="Q23" s="41">
        <f>IF(B23='11-Viabilidade'!$G$11,'11-Viabilidade'!$G$16,0)*(1+'11-Viabilidade'!$G$12)^((B23-1)/12)</f>
        <v>0</v>
      </c>
      <c r="R23" s="154">
        <f t="shared" si="2"/>
        <v>0</v>
      </c>
      <c r="S23" s="41">
        <f t="shared" si="5"/>
        <v>16</v>
      </c>
      <c r="T23" s="155">
        <f>IF($S23&lt;'11-Viabilidade'!$C$24,0,$S23-'11-Viabilidade'!$C$24)</f>
        <v>10</v>
      </c>
      <c r="U23" s="11">
        <f>IF(T23&gt;0,'11-Viabilidade'!$K$10,0)*((1+'11-Viabilidade'!$O$10)^(($T23-1)/12))</f>
        <v>3111.8111243826834</v>
      </c>
      <c r="V23" s="11">
        <f>U23*'11-Viabilidade'!$L$12</f>
        <v>172.87839579903795</v>
      </c>
      <c r="W23" s="11">
        <f>U23*'11-Viabilidade'!$K$14</f>
        <v>0</v>
      </c>
      <c r="X23" s="11">
        <f>U23*'11-Viabilidade'!$K$15</f>
        <v>155.59055621913419</v>
      </c>
      <c r="Y23" s="11">
        <f>IF(AND(U23=0,S23=0),0,IF(AND(U23=0,S23&lt;&gt;0),'11-Viabilidade'!$K$16+'11-Viabilidade'!$K$17,('11-Viabilidade'!$L$11)*((1+'11-Viabilidade'!$O$10)^(($C23-1)/12))))</f>
        <v>406.84049144706927</v>
      </c>
      <c r="Z23" s="157">
        <f>IFERROR(VLOOKUP(S23,'12-SAC Viabilidade'!$B$11:$G$430,6,FALSE),0)</f>
        <v>2416.8724992605862</v>
      </c>
      <c r="AA23" s="157">
        <f>IFERROR(VLOOKUP(S23,'12-SAC Viabilidade'!$B$11:$H$430,7,FALSE),0)</f>
        <v>230857.14285714293</v>
      </c>
      <c r="AB23" s="132">
        <f>(U23-W23)*'11-Viabilidade'!$O$16</f>
        <v>466.77166865740247</v>
      </c>
      <c r="AC23" s="11">
        <f t="shared" si="3"/>
        <v>-507.14248700054713</v>
      </c>
      <c r="AD23" s="156">
        <f t="shared" si="4"/>
        <v>1909.7300122600395</v>
      </c>
      <c r="AE23" s="40"/>
      <c r="AF23" s="40"/>
      <c r="AG23" s="40"/>
      <c r="AH23" s="40"/>
    </row>
    <row r="24" spans="1:34" ht="15.75" customHeight="1">
      <c r="A24" s="37"/>
      <c r="B24" s="38">
        <f>IF(AND(B23&gt;0,B23&lt;'11-Viabilidade'!$P$14),B23+1,0)</f>
        <v>17</v>
      </c>
      <c r="C24" s="155">
        <f>IF($B24&lt;'11-Viabilidade'!$C$24,0,$B24-'11-Viabilidade'!$C$24)</f>
        <v>11</v>
      </c>
      <c r="D24" s="11">
        <f>IF(C24&gt;0,'11-Viabilidade'!$K$10,0)*((1+'11-Viabilidade'!$O$10)^(($C24-1)/12))</f>
        <v>3124.4890280947525</v>
      </c>
      <c r="E24" s="11">
        <f>D24*'11-Viabilidade'!$L$12</f>
        <v>173.58272378304179</v>
      </c>
      <c r="F24" s="11">
        <f>D24*'11-Viabilidade'!$K$14</f>
        <v>0</v>
      </c>
      <c r="G24" s="11">
        <f>D24*'11-Viabilidade'!$K$15</f>
        <v>156.22445140473764</v>
      </c>
      <c r="H24" s="11">
        <f>IF(D24=0,'11-Viabilidade'!$K$16+'11-Viabilidade'!$K$17,('11-Viabilidade'!$L$11)*((1+'11-Viabilidade'!$O$10)^(($C24-1)/12)))</f>
        <v>408.49800996942503</v>
      </c>
      <c r="I24" s="11">
        <f>'12-SAC Viabilidade'!G27</f>
        <v>2412.3158475869268</v>
      </c>
      <c r="J24" s="11">
        <f>'12-SAC Viabilidade'!H27</f>
        <v>230285.71428571435</v>
      </c>
      <c r="K24" s="132">
        <f>(D24-F24)*'11-Viabilidade'!$O$16</f>
        <v>468.67335421421285</v>
      </c>
      <c r="L24" s="11">
        <f t="shared" si="0"/>
        <v>-494.80535886359166</v>
      </c>
      <c r="M24" s="156">
        <f t="shared" si="1"/>
        <v>1917.5104887233351</v>
      </c>
      <c r="N24" s="13"/>
      <c r="O24" s="41"/>
      <c r="P24" s="154">
        <f>IF(B24&lt;='11-Viabilidade'!$G$11,(P23+(P23*'11-Viabilidade'!$H$12)),0)</f>
        <v>0</v>
      </c>
      <c r="Q24" s="41">
        <f>IF(B24='11-Viabilidade'!$G$11,'11-Viabilidade'!$G$16,0)*(1+'11-Viabilidade'!$G$12)^((B24-1)/12)</f>
        <v>0</v>
      </c>
      <c r="R24" s="154">
        <f t="shared" si="2"/>
        <v>0</v>
      </c>
      <c r="S24" s="41">
        <f t="shared" si="5"/>
        <v>17</v>
      </c>
      <c r="T24" s="155">
        <f>IF($S24&lt;'11-Viabilidade'!$C$24,0,$S24-'11-Viabilidade'!$C$24)</f>
        <v>11</v>
      </c>
      <c r="U24" s="11">
        <f>IF(T24&gt;0,'11-Viabilidade'!$K$10,0)*((1+'11-Viabilidade'!$O$10)^(($T24-1)/12))</f>
        <v>3124.4890280947525</v>
      </c>
      <c r="V24" s="11">
        <f>U24*'11-Viabilidade'!$L$12</f>
        <v>173.58272378304179</v>
      </c>
      <c r="W24" s="11">
        <f>U24*'11-Viabilidade'!$K$14</f>
        <v>0</v>
      </c>
      <c r="X24" s="11">
        <f>U24*'11-Viabilidade'!$K$15</f>
        <v>156.22445140473764</v>
      </c>
      <c r="Y24" s="11">
        <f>IF(AND(U24=0,S24=0),0,IF(AND(U24=0,S24&lt;&gt;0),'11-Viabilidade'!$K$16+'11-Viabilidade'!$K$17,('11-Viabilidade'!$L$11)*((1+'11-Viabilidade'!$O$10)^(($C24-1)/12))))</f>
        <v>408.49800996942503</v>
      </c>
      <c r="Z24" s="157">
        <f>IFERROR(VLOOKUP(S24,'12-SAC Viabilidade'!$B$11:$G$430,6,FALSE),0)</f>
        <v>2412.3158475869268</v>
      </c>
      <c r="AA24" s="157">
        <f>IFERROR(VLOOKUP(S24,'12-SAC Viabilidade'!$B$11:$H$430,7,FALSE),0)</f>
        <v>230285.71428571435</v>
      </c>
      <c r="AB24" s="132">
        <f>(U24-W24)*'11-Viabilidade'!$O$16</f>
        <v>468.67335421421285</v>
      </c>
      <c r="AC24" s="11">
        <f t="shared" si="3"/>
        <v>-494.80535886359166</v>
      </c>
      <c r="AD24" s="156">
        <f t="shared" si="4"/>
        <v>1917.5104887233351</v>
      </c>
      <c r="AE24" s="40"/>
      <c r="AF24" s="40"/>
      <c r="AG24" s="40"/>
      <c r="AH24" s="40"/>
    </row>
    <row r="25" spans="1:34" ht="15.75" customHeight="1">
      <c r="A25" s="37"/>
      <c r="B25" s="38">
        <f>IF(AND(B24&gt;0,B24&lt;'11-Viabilidade'!$P$14),B24+1,0)</f>
        <v>18</v>
      </c>
      <c r="C25" s="155">
        <f>IF($B25&lt;'11-Viabilidade'!$C$24,0,$B25-'11-Viabilidade'!$C$24)</f>
        <v>12</v>
      </c>
      <c r="D25" s="11">
        <f>IF(C25&gt;0,'11-Viabilidade'!$K$10,0)*((1+'11-Viabilidade'!$O$10)^(($C25-1)/12))</f>
        <v>3137.2185831558618</v>
      </c>
      <c r="E25" s="11">
        <f>D25*'11-Viabilidade'!$L$12</f>
        <v>174.28992128643677</v>
      </c>
      <c r="F25" s="11">
        <f>D25*'11-Viabilidade'!$K$14</f>
        <v>0</v>
      </c>
      <c r="G25" s="11">
        <f>D25*'11-Viabilidade'!$K$15</f>
        <v>156.86092915779309</v>
      </c>
      <c r="H25" s="11">
        <f>IF(D25=0,'11-Viabilidade'!$K$16+'11-Viabilidade'!$K$17,('11-Viabilidade'!$L$11)*((1+'11-Viabilidade'!$O$10)^(($C25-1)/12)))</f>
        <v>410.16228142741443</v>
      </c>
      <c r="I25" s="11">
        <f>'12-SAC Viabilidade'!G28</f>
        <v>2407.7591959132674</v>
      </c>
      <c r="J25" s="11">
        <f>'12-SAC Viabilidade'!H28</f>
        <v>229714.28571428577</v>
      </c>
      <c r="K25" s="132">
        <f>(D25-F25)*'11-Viabilidade'!$O$16</f>
        <v>470.58278747337926</v>
      </c>
      <c r="L25" s="11">
        <f t="shared" si="0"/>
        <v>-482.43653210242883</v>
      </c>
      <c r="M25" s="156">
        <f t="shared" si="1"/>
        <v>1925.3226638108383</v>
      </c>
      <c r="N25" s="13"/>
      <c r="O25" s="41"/>
      <c r="P25" s="154">
        <f>IF(B25&lt;='11-Viabilidade'!$G$11,(P24+(P24*'11-Viabilidade'!$H$12)),0)</f>
        <v>0</v>
      </c>
      <c r="Q25" s="41">
        <f>IF(B25='11-Viabilidade'!$G$11,'11-Viabilidade'!$G$16,0)*(1+'11-Viabilidade'!$G$12)^((B25-1)/12)</f>
        <v>0</v>
      </c>
      <c r="R25" s="154">
        <f t="shared" si="2"/>
        <v>0</v>
      </c>
      <c r="S25" s="41">
        <f t="shared" si="5"/>
        <v>18</v>
      </c>
      <c r="T25" s="155">
        <f>IF($S25&lt;'11-Viabilidade'!$C$24,0,$S25-'11-Viabilidade'!$C$24)</f>
        <v>12</v>
      </c>
      <c r="U25" s="11">
        <f>IF(T25&gt;0,'11-Viabilidade'!$K$10,0)*((1+'11-Viabilidade'!$O$10)^(($T25-1)/12))</f>
        <v>3137.2185831558618</v>
      </c>
      <c r="V25" s="11">
        <f>U25*'11-Viabilidade'!$L$12</f>
        <v>174.28992128643677</v>
      </c>
      <c r="W25" s="11">
        <f>U25*'11-Viabilidade'!$K$14</f>
        <v>0</v>
      </c>
      <c r="X25" s="11">
        <f>U25*'11-Viabilidade'!$K$15</f>
        <v>156.86092915779309</v>
      </c>
      <c r="Y25" s="11">
        <f>IF(AND(U25=0,S25=0),0,IF(AND(U25=0,S25&lt;&gt;0),'11-Viabilidade'!$K$16+'11-Viabilidade'!$K$17,('11-Viabilidade'!$L$11)*((1+'11-Viabilidade'!$O$10)^(($C25-1)/12))))</f>
        <v>410.16228142741443</v>
      </c>
      <c r="Z25" s="157">
        <f>IFERROR(VLOOKUP(S25,'12-SAC Viabilidade'!$B$11:$G$430,6,FALSE),0)</f>
        <v>2407.7591959132674</v>
      </c>
      <c r="AA25" s="157">
        <f>IFERROR(VLOOKUP(S25,'12-SAC Viabilidade'!$B$11:$H$430,7,FALSE),0)</f>
        <v>229714.28571428577</v>
      </c>
      <c r="AB25" s="132">
        <f>(U25-W25)*'11-Viabilidade'!$O$16</f>
        <v>470.58278747337926</v>
      </c>
      <c r="AC25" s="11">
        <f t="shared" si="3"/>
        <v>-482.43653210242883</v>
      </c>
      <c r="AD25" s="156">
        <f t="shared" si="4"/>
        <v>1925.3226638108383</v>
      </c>
      <c r="AE25" s="40"/>
      <c r="AF25" s="40"/>
      <c r="AG25" s="40"/>
      <c r="AH25" s="40"/>
    </row>
    <row r="26" spans="1:34" ht="15.75" customHeight="1">
      <c r="A26" s="37"/>
      <c r="B26" s="38">
        <f>IF(AND(B25&gt;0,B25&lt;'11-Viabilidade'!$P$14),B25+1,0)</f>
        <v>19</v>
      </c>
      <c r="C26" s="155">
        <f>IF($B26&lt;'11-Viabilidade'!$C$24,0,$B26-'11-Viabilidade'!$C$24)</f>
        <v>13</v>
      </c>
      <c r="D26" s="11">
        <f>IF(C26&gt;0,'11-Viabilidade'!$K$10,0)*((1+'11-Viabilidade'!$O$10)^(($C26-1)/12))</f>
        <v>3150</v>
      </c>
      <c r="E26" s="11">
        <f>D26*'11-Viabilidade'!$L$12</f>
        <v>175</v>
      </c>
      <c r="F26" s="11">
        <f>D26*'11-Viabilidade'!$K$14</f>
        <v>0</v>
      </c>
      <c r="G26" s="11">
        <f>D26*'11-Viabilidade'!$K$15</f>
        <v>157.5</v>
      </c>
      <c r="H26" s="11">
        <f>IF(D26=0,'11-Viabilidade'!$K$16+'11-Viabilidade'!$K$17,('11-Viabilidade'!$L$11)*((1+'11-Viabilidade'!$O$10)^(($C26-1)/12)))</f>
        <v>411.83333333333331</v>
      </c>
      <c r="I26" s="11">
        <f>'12-SAC Viabilidade'!G29</f>
        <v>2403.202544239608</v>
      </c>
      <c r="J26" s="11">
        <f>'12-SAC Viabilidade'!H29</f>
        <v>229142.85714285719</v>
      </c>
      <c r="K26" s="132">
        <f>(D26-F26)*'11-Viabilidade'!$O$16</f>
        <v>472.5</v>
      </c>
      <c r="L26" s="11">
        <f t="shared" si="0"/>
        <v>-470.03587757294099</v>
      </c>
      <c r="M26" s="156">
        <f t="shared" si="1"/>
        <v>1933.1666666666667</v>
      </c>
      <c r="N26" s="13"/>
      <c r="O26" s="41"/>
      <c r="P26" s="154">
        <f>IF(B26&lt;='11-Viabilidade'!$G$11,(P25+(P25*'11-Viabilidade'!$H$12)),0)</f>
        <v>0</v>
      </c>
      <c r="Q26" s="41">
        <f>IF(B26='11-Viabilidade'!$G$11,'11-Viabilidade'!$G$16,0)*(1+'11-Viabilidade'!$G$12)^((B26-1)/12)</f>
        <v>0</v>
      </c>
      <c r="R26" s="154">
        <f t="shared" si="2"/>
        <v>0</v>
      </c>
      <c r="S26" s="41">
        <f t="shared" si="5"/>
        <v>19</v>
      </c>
      <c r="T26" s="155">
        <f>IF($S26&lt;'11-Viabilidade'!$C$24,0,$S26-'11-Viabilidade'!$C$24)</f>
        <v>13</v>
      </c>
      <c r="U26" s="11">
        <f>IF(T26&gt;0,'11-Viabilidade'!$K$10,0)*((1+'11-Viabilidade'!$O$10)^(($T26-1)/12))</f>
        <v>3150</v>
      </c>
      <c r="V26" s="11">
        <f>U26*'11-Viabilidade'!$L$12</f>
        <v>175</v>
      </c>
      <c r="W26" s="11">
        <f>U26*'11-Viabilidade'!$K$14</f>
        <v>0</v>
      </c>
      <c r="X26" s="11">
        <f>U26*'11-Viabilidade'!$K$15</f>
        <v>157.5</v>
      </c>
      <c r="Y26" s="11">
        <f>IF(AND(U26=0,S26=0),0,IF(AND(U26=0,S26&lt;&gt;0),'11-Viabilidade'!$K$16+'11-Viabilidade'!$K$17,('11-Viabilidade'!$L$11)*((1+'11-Viabilidade'!$O$10)^(($C26-1)/12))))</f>
        <v>411.83333333333331</v>
      </c>
      <c r="Z26" s="157">
        <f>IFERROR(VLOOKUP(S26,'12-SAC Viabilidade'!$B$11:$G$430,6,FALSE),0)</f>
        <v>2403.202544239608</v>
      </c>
      <c r="AA26" s="157">
        <f>IFERROR(VLOOKUP(S26,'12-SAC Viabilidade'!$B$11:$H$430,7,FALSE),0)</f>
        <v>229142.85714285719</v>
      </c>
      <c r="AB26" s="132">
        <f>(U26-W26)*'11-Viabilidade'!$O$16</f>
        <v>472.5</v>
      </c>
      <c r="AC26" s="11">
        <f t="shared" si="3"/>
        <v>-470.03587757294099</v>
      </c>
      <c r="AD26" s="156">
        <f t="shared" si="4"/>
        <v>1933.1666666666667</v>
      </c>
      <c r="AE26" s="40"/>
      <c r="AF26" s="40"/>
      <c r="AG26" s="40"/>
      <c r="AH26" s="40"/>
    </row>
    <row r="27" spans="1:34" ht="15.75" customHeight="1">
      <c r="A27" s="37"/>
      <c r="B27" s="38">
        <f>IF(AND(B26&gt;0,B26&lt;'11-Viabilidade'!$P$14),B26+1,0)</f>
        <v>20</v>
      </c>
      <c r="C27" s="155">
        <f>IF($B27&lt;'11-Viabilidade'!$C$24,0,$B27-'11-Viabilidade'!$C$24)</f>
        <v>14</v>
      </c>
      <c r="D27" s="11">
        <f>IF(C27&gt;0,'11-Viabilidade'!$K$10,0)*((1+'11-Viabilidade'!$O$10)^(($C27-1)/12))</f>
        <v>3162.8334899184924</v>
      </c>
      <c r="E27" s="11">
        <f>D27*'11-Viabilidade'!$L$12</f>
        <v>175.71297166213847</v>
      </c>
      <c r="F27" s="11">
        <f>D27*'11-Viabilidade'!$K$14</f>
        <v>0</v>
      </c>
      <c r="G27" s="11">
        <f>D27*'11-Viabilidade'!$K$15</f>
        <v>158.14167449592463</v>
      </c>
      <c r="H27" s="11">
        <f>IF(D27=0,'11-Viabilidade'!$K$16+'11-Viabilidade'!$K$17,('11-Viabilidade'!$L$11)*((1+'11-Viabilidade'!$O$10)^(($C27-1)/12)))</f>
        <v>413.51119331156582</v>
      </c>
      <c r="I27" s="11">
        <f>'12-SAC Viabilidade'!G30</f>
        <v>2398.6458925659485</v>
      </c>
      <c r="J27" s="11">
        <f>'12-SAC Viabilidade'!H30</f>
        <v>228571.42857142861</v>
      </c>
      <c r="K27" s="132">
        <f>(D27-F27)*'11-Viabilidade'!$O$16</f>
        <v>474.42502348777384</v>
      </c>
      <c r="L27" s="11">
        <f t="shared" si="0"/>
        <v>-457.60326560485873</v>
      </c>
      <c r="M27" s="156">
        <f t="shared" si="1"/>
        <v>1941.0426269610896</v>
      </c>
      <c r="N27" s="13"/>
      <c r="O27" s="41"/>
      <c r="P27" s="154">
        <f>IF(B27&lt;='11-Viabilidade'!$G$11,(P26+(P26*'11-Viabilidade'!$H$12)),0)</f>
        <v>0</v>
      </c>
      <c r="Q27" s="41">
        <f>IF(B27='11-Viabilidade'!$G$11,'11-Viabilidade'!$G$16,0)*(1+'11-Viabilidade'!$G$12)^((B27-1)/12)</f>
        <v>0</v>
      </c>
      <c r="R27" s="154">
        <f t="shared" si="2"/>
        <v>0</v>
      </c>
      <c r="S27" s="41">
        <f t="shared" si="5"/>
        <v>20</v>
      </c>
      <c r="T27" s="155">
        <f>IF($S27&lt;'11-Viabilidade'!$C$24,0,$S27-'11-Viabilidade'!$C$24)</f>
        <v>14</v>
      </c>
      <c r="U27" s="11">
        <f>IF(T27&gt;0,'11-Viabilidade'!$K$10,0)*((1+'11-Viabilidade'!$O$10)^(($T27-1)/12))</f>
        <v>3162.8334899184924</v>
      </c>
      <c r="V27" s="11">
        <f>U27*'11-Viabilidade'!$L$12</f>
        <v>175.71297166213847</v>
      </c>
      <c r="W27" s="11">
        <f>U27*'11-Viabilidade'!$K$14</f>
        <v>0</v>
      </c>
      <c r="X27" s="11">
        <f>U27*'11-Viabilidade'!$K$15</f>
        <v>158.14167449592463</v>
      </c>
      <c r="Y27" s="11">
        <f>IF(AND(U27=0,S27=0),0,IF(AND(U27=0,S27&lt;&gt;0),'11-Viabilidade'!$K$16+'11-Viabilidade'!$K$17,('11-Viabilidade'!$L$11)*((1+'11-Viabilidade'!$O$10)^(($C27-1)/12))))</f>
        <v>413.51119331156582</v>
      </c>
      <c r="Z27" s="157">
        <f>IFERROR(VLOOKUP(S27,'12-SAC Viabilidade'!$B$11:$G$430,6,FALSE),0)</f>
        <v>2398.6458925659485</v>
      </c>
      <c r="AA27" s="157">
        <f>IFERROR(VLOOKUP(S27,'12-SAC Viabilidade'!$B$11:$H$430,7,FALSE),0)</f>
        <v>228571.42857142861</v>
      </c>
      <c r="AB27" s="132">
        <f>(U27-W27)*'11-Viabilidade'!$O$16</f>
        <v>474.42502348777384</v>
      </c>
      <c r="AC27" s="11">
        <f t="shared" si="3"/>
        <v>-457.60326560485873</v>
      </c>
      <c r="AD27" s="156">
        <f t="shared" si="4"/>
        <v>1941.0426269610896</v>
      </c>
      <c r="AE27" s="40"/>
      <c r="AF27" s="40"/>
      <c r="AG27" s="40"/>
      <c r="AH27" s="40"/>
    </row>
    <row r="28" spans="1:34" ht="15.75" customHeight="1">
      <c r="A28" s="37"/>
      <c r="B28" s="38">
        <f>IF(AND(B27&gt;0,B27&lt;'11-Viabilidade'!$P$14),B27+1,0)</f>
        <v>21</v>
      </c>
      <c r="C28" s="155">
        <f>IF($B28&lt;'11-Viabilidade'!$C$24,0,$B28-'11-Viabilidade'!$C$24)</f>
        <v>15</v>
      </c>
      <c r="D28" s="11">
        <f>IF(C28&gt;0,'11-Viabilidade'!$K$10,0)*((1+'11-Viabilidade'!$O$10)^(($C28-1)/12))</f>
        <v>3175.7192650634884</v>
      </c>
      <c r="E28" s="11">
        <f>D28*'11-Viabilidade'!$L$12</f>
        <v>176.42884805908267</v>
      </c>
      <c r="F28" s="11">
        <f>D28*'11-Viabilidade'!$K$14</f>
        <v>0</v>
      </c>
      <c r="G28" s="11">
        <f>D28*'11-Viabilidade'!$K$15</f>
        <v>158.78596325317443</v>
      </c>
      <c r="H28" s="11">
        <f>IF(D28=0,'11-Viabilidade'!$K$16+'11-Viabilidade'!$K$17,('11-Viabilidade'!$L$11)*((1+'11-Viabilidade'!$O$10)^(($C28-1)/12)))</f>
        <v>415.19588909904121</v>
      </c>
      <c r="I28" s="11">
        <f>'12-SAC Viabilidade'!G31</f>
        <v>2394.0892408922891</v>
      </c>
      <c r="J28" s="11">
        <f>'12-SAC Viabilidade'!H31</f>
        <v>228000.00000000003</v>
      </c>
      <c r="K28" s="132">
        <f>(D28-F28)*'11-Viabilidade'!$O$16</f>
        <v>476.35788975952323</v>
      </c>
      <c r="L28" s="11">
        <f t="shared" si="0"/>
        <v>-445.13856599962264</v>
      </c>
      <c r="M28" s="156">
        <f t="shared" si="1"/>
        <v>1948.9506748926669</v>
      </c>
      <c r="N28" s="13"/>
      <c r="O28" s="41"/>
      <c r="P28" s="154">
        <f>IF(B28&lt;='11-Viabilidade'!$G$11,(P27+(P27*'11-Viabilidade'!$H$12)),0)</f>
        <v>0</v>
      </c>
      <c r="Q28" s="41">
        <f>IF(B28='11-Viabilidade'!$G$11,'11-Viabilidade'!$G$16,0)*(1+'11-Viabilidade'!$G$12)^((B28-1)/12)</f>
        <v>0</v>
      </c>
      <c r="R28" s="154">
        <f t="shared" si="2"/>
        <v>0</v>
      </c>
      <c r="S28" s="41">
        <f t="shared" si="5"/>
        <v>21</v>
      </c>
      <c r="T28" s="155">
        <f>IF($S28&lt;'11-Viabilidade'!$C$24,0,$S28-'11-Viabilidade'!$C$24)</f>
        <v>15</v>
      </c>
      <c r="U28" s="11">
        <f>IF(T28&gt;0,'11-Viabilidade'!$K$10,0)*((1+'11-Viabilidade'!$O$10)^(($T28-1)/12))</f>
        <v>3175.7192650634884</v>
      </c>
      <c r="V28" s="11">
        <f>U28*'11-Viabilidade'!$L$12</f>
        <v>176.42884805908267</v>
      </c>
      <c r="W28" s="11">
        <f>U28*'11-Viabilidade'!$K$14</f>
        <v>0</v>
      </c>
      <c r="X28" s="11">
        <f>U28*'11-Viabilidade'!$K$15</f>
        <v>158.78596325317443</v>
      </c>
      <c r="Y28" s="11">
        <f>IF(AND(U28=0,S28=0),0,IF(AND(U28=0,S28&lt;&gt;0),'11-Viabilidade'!$K$16+'11-Viabilidade'!$K$17,('11-Viabilidade'!$L$11)*((1+'11-Viabilidade'!$O$10)^(($C28-1)/12))))</f>
        <v>415.19588909904121</v>
      </c>
      <c r="Z28" s="157">
        <f>IFERROR(VLOOKUP(S28,'12-SAC Viabilidade'!$B$11:$G$430,6,FALSE),0)</f>
        <v>2394.0892408922891</v>
      </c>
      <c r="AA28" s="157">
        <f>IFERROR(VLOOKUP(S28,'12-SAC Viabilidade'!$B$11:$H$430,7,FALSE),0)</f>
        <v>228000.00000000003</v>
      </c>
      <c r="AB28" s="132">
        <f>(U28-W28)*'11-Viabilidade'!$O$16</f>
        <v>476.35788975952323</v>
      </c>
      <c r="AC28" s="11">
        <f t="shared" si="3"/>
        <v>-445.13856599962264</v>
      </c>
      <c r="AD28" s="156">
        <f t="shared" si="4"/>
        <v>1948.9506748926669</v>
      </c>
      <c r="AE28" s="40"/>
      <c r="AF28" s="40"/>
      <c r="AG28" s="40"/>
      <c r="AH28" s="40"/>
    </row>
    <row r="29" spans="1:34" ht="15.75" customHeight="1">
      <c r="A29" s="37"/>
      <c r="B29" s="38">
        <f>IF(AND(B28&gt;0,B28&lt;'11-Viabilidade'!$P$14),B28+1,0)</f>
        <v>22</v>
      </c>
      <c r="C29" s="155">
        <f>IF($B29&lt;'11-Viabilidade'!$C$24,0,$B29-'11-Viabilidade'!$C$24)</f>
        <v>16</v>
      </c>
      <c r="D29" s="11">
        <f>IF(C29&gt;0,'11-Viabilidade'!$K$10,0)*((1+'11-Viabilidade'!$O$10)^(($C29-1)/12))</f>
        <v>3188.657538451474</v>
      </c>
      <c r="E29" s="11">
        <f>D29*'11-Viabilidade'!$L$12</f>
        <v>177.14764102508187</v>
      </c>
      <c r="F29" s="11">
        <f>D29*'11-Viabilidade'!$K$14</f>
        <v>0</v>
      </c>
      <c r="G29" s="11">
        <f>D29*'11-Viabilidade'!$K$15</f>
        <v>159.43287692257371</v>
      </c>
      <c r="H29" s="11">
        <f>IF(D29=0,'11-Viabilidade'!$K$16+'11-Viabilidade'!$K$17,('11-Viabilidade'!$L$11)*((1+'11-Viabilidade'!$O$10)^(($C29-1)/12)))</f>
        <v>416.88744854569262</v>
      </c>
      <c r="I29" s="11">
        <f>'12-SAC Viabilidade'!G32</f>
        <v>2389.5325892186297</v>
      </c>
      <c r="J29" s="11">
        <f>'12-SAC Viabilidade'!H32</f>
        <v>227428.57142857145</v>
      </c>
      <c r="K29" s="132">
        <f>(D29-F29)*'11-Viabilidade'!$O$16</f>
        <v>478.29863076772108</v>
      </c>
      <c r="L29" s="11">
        <f t="shared" si="0"/>
        <v>-432.64164802822506</v>
      </c>
      <c r="M29" s="156">
        <f t="shared" si="1"/>
        <v>1956.8909411904046</v>
      </c>
      <c r="N29" s="13"/>
      <c r="O29" s="41"/>
      <c r="P29" s="154">
        <f>IF(B29&lt;='11-Viabilidade'!$G$11,(P28+(P28*'11-Viabilidade'!$H$12)),0)</f>
        <v>0</v>
      </c>
      <c r="Q29" s="41">
        <f>IF(B29='11-Viabilidade'!$G$11,'11-Viabilidade'!$G$16,0)*(1+'11-Viabilidade'!$G$12)^((B29-1)/12)</f>
        <v>0</v>
      </c>
      <c r="R29" s="154">
        <f t="shared" si="2"/>
        <v>0</v>
      </c>
      <c r="S29" s="41">
        <f t="shared" si="5"/>
        <v>22</v>
      </c>
      <c r="T29" s="155">
        <f>IF($S29&lt;'11-Viabilidade'!$C$24,0,$S29-'11-Viabilidade'!$C$24)</f>
        <v>16</v>
      </c>
      <c r="U29" s="11">
        <f>IF(T29&gt;0,'11-Viabilidade'!$K$10,0)*((1+'11-Viabilidade'!$O$10)^(($T29-1)/12))</f>
        <v>3188.657538451474</v>
      </c>
      <c r="V29" s="11">
        <f>U29*'11-Viabilidade'!$L$12</f>
        <v>177.14764102508187</v>
      </c>
      <c r="W29" s="11">
        <f>U29*'11-Viabilidade'!$K$14</f>
        <v>0</v>
      </c>
      <c r="X29" s="11">
        <f>U29*'11-Viabilidade'!$K$15</f>
        <v>159.43287692257371</v>
      </c>
      <c r="Y29" s="11">
        <f>IF(AND(U29=0,S29=0),0,IF(AND(U29=0,S29&lt;&gt;0),'11-Viabilidade'!$K$16+'11-Viabilidade'!$K$17,('11-Viabilidade'!$L$11)*((1+'11-Viabilidade'!$O$10)^(($C29-1)/12))))</f>
        <v>416.88744854569262</v>
      </c>
      <c r="Z29" s="157">
        <f>IFERROR(VLOOKUP(S29,'12-SAC Viabilidade'!$B$11:$G$430,6,FALSE),0)</f>
        <v>2389.5325892186297</v>
      </c>
      <c r="AA29" s="157">
        <f>IFERROR(VLOOKUP(S29,'12-SAC Viabilidade'!$B$11:$H$430,7,FALSE),0)</f>
        <v>227428.57142857145</v>
      </c>
      <c r="AB29" s="132">
        <f>(U29-W29)*'11-Viabilidade'!$O$16</f>
        <v>478.29863076772108</v>
      </c>
      <c r="AC29" s="11">
        <f t="shared" si="3"/>
        <v>-432.64164802822506</v>
      </c>
      <c r="AD29" s="156">
        <f t="shared" si="4"/>
        <v>1956.8909411904046</v>
      </c>
      <c r="AE29" s="40"/>
      <c r="AF29" s="40"/>
      <c r="AG29" s="40"/>
      <c r="AH29" s="40"/>
    </row>
    <row r="30" spans="1:34" ht="15.75" customHeight="1">
      <c r="A30" s="37"/>
      <c r="B30" s="38">
        <f>IF(AND(B29&gt;0,B29&lt;'11-Viabilidade'!$P$14),B29+1,0)</f>
        <v>23</v>
      </c>
      <c r="C30" s="155">
        <f>IF($B30&lt;'11-Viabilidade'!$C$24,0,$B30-'11-Viabilidade'!$C$24)</f>
        <v>17</v>
      </c>
      <c r="D30" s="11">
        <f>IF(C30&gt;0,'11-Viabilidade'!$K$10,0)*((1+'11-Viabilidade'!$O$10)^(($C30-1)/12))</f>
        <v>3201.6485239667886</v>
      </c>
      <c r="E30" s="11">
        <f>D30*'11-Viabilidade'!$L$12</f>
        <v>177.86936244259937</v>
      </c>
      <c r="F30" s="11">
        <f>D30*'11-Viabilidade'!$K$14</f>
        <v>0</v>
      </c>
      <c r="G30" s="11">
        <f>D30*'11-Viabilidade'!$K$15</f>
        <v>160.08242619833945</v>
      </c>
      <c r="H30" s="11">
        <f>IF(D30=0,'11-Viabilidade'!$K$16+'11-Viabilidade'!$K$17,('11-Viabilidade'!$L$11)*((1+'11-Viabilidade'!$O$10)^(($C30-1)/12)))</f>
        <v>418.58589961491708</v>
      </c>
      <c r="I30" s="11">
        <f>'12-SAC Viabilidade'!G33</f>
        <v>2384.9759375449707</v>
      </c>
      <c r="J30" s="11">
        <f>'12-SAC Viabilidade'!H33</f>
        <v>226857.14285714287</v>
      </c>
      <c r="K30" s="132">
        <f>(D30-F30)*'11-Viabilidade'!$O$16</f>
        <v>480.24727859501826</v>
      </c>
      <c r="L30" s="11">
        <f t="shared" si="0"/>
        <v>-420.11238042905643</v>
      </c>
      <c r="M30" s="156">
        <f t="shared" si="1"/>
        <v>1964.8635571159143</v>
      </c>
      <c r="N30" s="13"/>
      <c r="O30" s="41"/>
      <c r="P30" s="154">
        <f>IF(B30&lt;='11-Viabilidade'!$G$11,(P29+(P29*'11-Viabilidade'!$H$12)),0)</f>
        <v>0</v>
      </c>
      <c r="Q30" s="41">
        <f>IF(B30='11-Viabilidade'!$G$11,'11-Viabilidade'!$G$16,0)*(1+'11-Viabilidade'!$G$12)^((B30-1)/12)</f>
        <v>0</v>
      </c>
      <c r="R30" s="154">
        <f t="shared" si="2"/>
        <v>0</v>
      </c>
      <c r="S30" s="41">
        <f t="shared" si="5"/>
        <v>23</v>
      </c>
      <c r="T30" s="155">
        <f>IF($S30&lt;'11-Viabilidade'!$C$24,0,$S30-'11-Viabilidade'!$C$24)</f>
        <v>17</v>
      </c>
      <c r="U30" s="11">
        <f>IF(T30&gt;0,'11-Viabilidade'!$K$10,0)*((1+'11-Viabilidade'!$O$10)^(($T30-1)/12))</f>
        <v>3201.6485239667886</v>
      </c>
      <c r="V30" s="11">
        <f>U30*'11-Viabilidade'!$L$12</f>
        <v>177.86936244259937</v>
      </c>
      <c r="W30" s="11">
        <f>U30*'11-Viabilidade'!$K$14</f>
        <v>0</v>
      </c>
      <c r="X30" s="11">
        <f>U30*'11-Viabilidade'!$K$15</f>
        <v>160.08242619833945</v>
      </c>
      <c r="Y30" s="11">
        <f>IF(AND(U30=0,S30=0),0,IF(AND(U30=0,S30&lt;&gt;0),'11-Viabilidade'!$K$16+'11-Viabilidade'!$K$17,('11-Viabilidade'!$L$11)*((1+'11-Viabilidade'!$O$10)^(($C30-1)/12))))</f>
        <v>418.58589961491708</v>
      </c>
      <c r="Z30" s="157">
        <f>IFERROR(VLOOKUP(S30,'12-SAC Viabilidade'!$B$11:$G$430,6,FALSE),0)</f>
        <v>2384.9759375449707</v>
      </c>
      <c r="AA30" s="157">
        <f>IFERROR(VLOOKUP(S30,'12-SAC Viabilidade'!$B$11:$H$430,7,FALSE),0)</f>
        <v>226857.14285714287</v>
      </c>
      <c r="AB30" s="132">
        <f>(U30-W30)*'11-Viabilidade'!$O$16</f>
        <v>480.24727859501826</v>
      </c>
      <c r="AC30" s="11">
        <f t="shared" si="3"/>
        <v>-420.11238042905643</v>
      </c>
      <c r="AD30" s="156">
        <f t="shared" si="4"/>
        <v>1964.8635571159143</v>
      </c>
      <c r="AE30" s="40"/>
      <c r="AF30" s="40"/>
      <c r="AG30" s="40"/>
      <c r="AH30" s="40"/>
    </row>
    <row r="31" spans="1:34" ht="15.75" customHeight="1">
      <c r="A31" s="158" t="s">
        <v>234</v>
      </c>
      <c r="B31" s="159">
        <f>IF(AND(B30&gt;0,B30&lt;'11-Viabilidade'!$P$14),B30+1,0)</f>
        <v>24</v>
      </c>
      <c r="C31" s="160">
        <f>IF($B31&lt;'11-Viabilidade'!$C$24,0,$B31-'11-Viabilidade'!$C$24)</f>
        <v>18</v>
      </c>
      <c r="D31" s="161">
        <f>IF(C31&gt;0,'11-Viabilidade'!$K$10,0)*((1+'11-Viabilidade'!$O$10)^(($C31-1)/12))</f>
        <v>3214.6924363651638</v>
      </c>
      <c r="E31" s="161">
        <f>D31*'11-Viabilidade'!$L$12</f>
        <v>178.59402424250908</v>
      </c>
      <c r="F31" s="161">
        <f>D31*'11-Viabilidade'!$K$14</f>
        <v>0</v>
      </c>
      <c r="G31" s="161">
        <f>D31*'11-Viabilidade'!$K$15</f>
        <v>160.7346218182582</v>
      </c>
      <c r="H31" s="11">
        <f>IF(D31=0,'11-Viabilidade'!$K$16+'11-Viabilidade'!$K$17,('11-Viabilidade'!$L$11)*((1+'11-Viabilidade'!$O$10)^(($C31-1)/12)))</f>
        <v>420.29127038403806</v>
      </c>
      <c r="I31" s="161">
        <f>'12-SAC Viabilidade'!G34</f>
        <v>2380.4192858713113</v>
      </c>
      <c r="J31" s="161">
        <f>'12-SAC Viabilidade'!H34</f>
        <v>226285.71428571429</v>
      </c>
      <c r="K31" s="162">
        <f>(D31-F31)*'11-Viabilidade'!$O$16</f>
        <v>482.20386545477453</v>
      </c>
      <c r="L31" s="161">
        <f t="shared" si="0"/>
        <v>-407.55063140572747</v>
      </c>
      <c r="M31" s="163">
        <f t="shared" si="1"/>
        <v>1972.8686544655839</v>
      </c>
      <c r="N31" s="164"/>
      <c r="O31" s="165"/>
      <c r="P31" s="166">
        <f>IF(B31&lt;='11-Viabilidade'!$G$11,(P30+(P30*'11-Viabilidade'!$H$12)),0)</f>
        <v>0</v>
      </c>
      <c r="Q31" s="166">
        <f>IF(B31='11-Viabilidade'!$G$11,'11-Viabilidade'!$G$16,0)*(1+'11-Viabilidade'!$G$12)^((B31-1)/12)</f>
        <v>0</v>
      </c>
      <c r="R31" s="166">
        <f t="shared" si="2"/>
        <v>0</v>
      </c>
      <c r="S31" s="165">
        <f t="shared" si="5"/>
        <v>24</v>
      </c>
      <c r="T31" s="160">
        <f>IF($S31&lt;'11-Viabilidade'!$C$24,0,$S31-'11-Viabilidade'!$C$24)</f>
        <v>18</v>
      </c>
      <c r="U31" s="161">
        <f>IF(T31&gt;0,'11-Viabilidade'!$K$10,0)*((1+'11-Viabilidade'!$O$10)^(($T31-1)/12))</f>
        <v>3214.6924363651638</v>
      </c>
      <c r="V31" s="161">
        <f>U31*'11-Viabilidade'!$L$12</f>
        <v>178.59402424250908</v>
      </c>
      <c r="W31" s="161">
        <f>U31*'11-Viabilidade'!$K$14</f>
        <v>0</v>
      </c>
      <c r="X31" s="161">
        <f>U31*'11-Viabilidade'!$K$15</f>
        <v>160.7346218182582</v>
      </c>
      <c r="Y31" s="11">
        <f>IF(AND(U31=0,S31=0),0,IF(AND(U31=0,S31&lt;&gt;0),'11-Viabilidade'!$K$16+'11-Viabilidade'!$K$17,('11-Viabilidade'!$L$11)*((1+'11-Viabilidade'!$O$10)^(($C31-1)/12))))</f>
        <v>420.29127038403806</v>
      </c>
      <c r="Z31" s="168">
        <f>IFERROR(VLOOKUP(S31,'12-SAC Viabilidade'!$B$11:$G$430,6,FALSE),0)</f>
        <v>2380.4192858713113</v>
      </c>
      <c r="AA31" s="168">
        <f>IFERROR(VLOOKUP(S31,'12-SAC Viabilidade'!$B$11:$H$430,7,FALSE),0)</f>
        <v>226285.71428571429</v>
      </c>
      <c r="AB31" s="162">
        <f>(U31-W31)*'11-Viabilidade'!$O$16</f>
        <v>482.20386545477453</v>
      </c>
      <c r="AC31" s="161">
        <f t="shared" si="3"/>
        <v>-407.55063140572747</v>
      </c>
      <c r="AD31" s="163">
        <f t="shared" si="4"/>
        <v>1972.8686544655839</v>
      </c>
      <c r="AE31" s="169"/>
      <c r="AF31" s="169"/>
      <c r="AG31" s="169"/>
      <c r="AH31" s="169"/>
    </row>
    <row r="32" spans="1:34" ht="15.75" customHeight="1">
      <c r="A32" s="37"/>
      <c r="B32" s="38">
        <f>IF(AND(B31&gt;0,B31&lt;'11-Viabilidade'!$P$14),B31+1,0)</f>
        <v>25</v>
      </c>
      <c r="C32" s="155">
        <f>IF($B32&lt;'11-Viabilidade'!$C$24,0,$B32-'11-Viabilidade'!$C$24)</f>
        <v>19</v>
      </c>
      <c r="D32" s="11">
        <f>IF(C32&gt;0,'11-Viabilidade'!$K$10,0)*((1+'11-Viabilidade'!$O$10)^(($C32-1)/12))</f>
        <v>3227.7894912772736</v>
      </c>
      <c r="E32" s="11">
        <f>D32*'11-Viabilidade'!$L$12</f>
        <v>179.32163840429297</v>
      </c>
      <c r="F32" s="11">
        <f>D32*'11-Viabilidade'!$K$14</f>
        <v>0</v>
      </c>
      <c r="G32" s="11">
        <f>D32*'11-Viabilidade'!$K$15</f>
        <v>161.3894745638637</v>
      </c>
      <c r="H32" s="11">
        <f>IF(D32=0,'11-Viabilidade'!$K$16+'11-Viabilidade'!$K$17,('11-Viabilidade'!$L$11)*((1+'11-Viabilidade'!$O$10)^(($C32-1)/12)))</f>
        <v>422.0035890447694</v>
      </c>
      <c r="I32" s="11">
        <f>'12-SAC Viabilidade'!G35</f>
        <v>2375.8626341976519</v>
      </c>
      <c r="J32" s="11">
        <f>'12-SAC Viabilidade'!H35</f>
        <v>225714.28571428571</v>
      </c>
      <c r="K32" s="132">
        <f>(D32-F32)*'11-Viabilidade'!$O$16</f>
        <v>484.16842369159099</v>
      </c>
      <c r="L32" s="11">
        <f t="shared" si="0"/>
        <v>-394.95626862489553</v>
      </c>
      <c r="M32" s="156">
        <f t="shared" si="1"/>
        <v>1980.9063655727564</v>
      </c>
      <c r="N32" s="13"/>
      <c r="O32" s="41"/>
      <c r="P32" s="41">
        <f>IF(B32&lt;='11-Viabilidade'!$G$11,(P31+(P31*'11-Viabilidade'!$H$12)),0)</f>
        <v>0</v>
      </c>
      <c r="Q32" s="41">
        <f>IF(B32='11-Viabilidade'!$G$11,'11-Viabilidade'!$G$16,0)*(1+'11-Viabilidade'!$G$12)^((B32-1)/12)</f>
        <v>0</v>
      </c>
      <c r="R32" s="154">
        <f t="shared" si="2"/>
        <v>0</v>
      </c>
      <c r="S32" s="41">
        <f t="shared" si="5"/>
        <v>25</v>
      </c>
      <c r="T32" s="155">
        <f>IF($S32&lt;'11-Viabilidade'!$C$24,0,$S32-'11-Viabilidade'!$C$24)</f>
        <v>19</v>
      </c>
      <c r="U32" s="11">
        <f>IF(T32&gt;0,'11-Viabilidade'!$K$10,0)*((1+'11-Viabilidade'!$O$10)^(($T32-1)/12))</f>
        <v>3227.7894912772736</v>
      </c>
      <c r="V32" s="11">
        <f>U32*'11-Viabilidade'!$L$12</f>
        <v>179.32163840429297</v>
      </c>
      <c r="W32" s="11">
        <f>U32*'11-Viabilidade'!$K$14</f>
        <v>0</v>
      </c>
      <c r="X32" s="11">
        <f>U32*'11-Viabilidade'!$K$15</f>
        <v>161.3894745638637</v>
      </c>
      <c r="Y32" s="11">
        <f>IF(AND(U32=0,S32=0),0,IF(AND(U32=0,S32&lt;&gt;0),'11-Viabilidade'!$K$16+'11-Viabilidade'!$K$17,('11-Viabilidade'!$L$11)*((1+'11-Viabilidade'!$O$10)^(($C32-1)/12))))</f>
        <v>422.0035890447694</v>
      </c>
      <c r="Z32" s="157">
        <f>IFERROR(VLOOKUP(S32,'12-SAC Viabilidade'!$B$11:$G$430,6,FALSE),0)</f>
        <v>2375.8626341976519</v>
      </c>
      <c r="AA32" s="157">
        <f>IFERROR(VLOOKUP(S32,'12-SAC Viabilidade'!$B$11:$H$430,7,FALSE),0)</f>
        <v>225714.28571428571</v>
      </c>
      <c r="AB32" s="132">
        <f>(U32-W32)*'11-Viabilidade'!$O$16</f>
        <v>484.16842369159099</v>
      </c>
      <c r="AC32" s="11">
        <f t="shared" si="3"/>
        <v>-394.95626862489553</v>
      </c>
      <c r="AD32" s="156">
        <f t="shared" si="4"/>
        <v>1980.9063655727564</v>
      </c>
      <c r="AE32" s="40"/>
      <c r="AF32" s="40"/>
      <c r="AG32" s="40"/>
      <c r="AH32" s="40"/>
    </row>
    <row r="33" spans="1:34" ht="15.75" customHeight="1">
      <c r="A33" s="37"/>
      <c r="B33" s="38">
        <f>IF(AND(B32&gt;0,B32&lt;'11-Viabilidade'!$P$14),B32+1,0)</f>
        <v>26</v>
      </c>
      <c r="C33" s="155">
        <f>IF($B33&lt;'11-Viabilidade'!$C$24,0,$B33-'11-Viabilidade'!$C$24)</f>
        <v>20</v>
      </c>
      <c r="D33" s="11">
        <f>IF(C33&gt;0,'11-Viabilidade'!$K$10,0)*((1+'11-Viabilidade'!$O$10)^(($C33-1)/12))</f>
        <v>3240.9399052122967</v>
      </c>
      <c r="E33" s="11">
        <f>D33*'11-Viabilidade'!$L$12</f>
        <v>180.05221695623871</v>
      </c>
      <c r="F33" s="11">
        <f>D33*'11-Viabilidade'!$K$14</f>
        <v>0</v>
      </c>
      <c r="G33" s="11">
        <f>D33*'11-Viabilidade'!$K$15</f>
        <v>162.04699526061484</v>
      </c>
      <c r="H33" s="11">
        <f>IF(D33=0,'11-Viabilidade'!$K$16+'11-Viabilidade'!$K$17,('11-Viabilidade'!$L$11)*((1+'11-Viabilidade'!$O$10)^(($C33-1)/12)))</f>
        <v>423.72288390368169</v>
      </c>
      <c r="I33" s="11">
        <f>'12-SAC Viabilidade'!G36</f>
        <v>2371.3059825239925</v>
      </c>
      <c r="J33" s="11">
        <f>'12-SAC Viabilidade'!H36</f>
        <v>225142.85714285713</v>
      </c>
      <c r="K33" s="132">
        <f>(D33-F33)*'11-Viabilidade'!$O$16</f>
        <v>486.14098578184451</v>
      </c>
      <c r="L33" s="11">
        <f t="shared" si="0"/>
        <v>-382.32915921407539</v>
      </c>
      <c r="M33" s="156">
        <f t="shared" si="1"/>
        <v>1988.9768233099171</v>
      </c>
      <c r="N33" s="13"/>
      <c r="O33" s="41"/>
      <c r="P33" s="41">
        <f>IF(B33&lt;='11-Viabilidade'!$G$11,(P32+(P32*'11-Viabilidade'!$H$12)),0)</f>
        <v>0</v>
      </c>
      <c r="Q33" s="41">
        <f>IF(B33='11-Viabilidade'!$G$11,'11-Viabilidade'!$G$16,0)*(1+'11-Viabilidade'!$G$12)^((B33-1)/12)</f>
        <v>0</v>
      </c>
      <c r="R33" s="154">
        <f t="shared" si="2"/>
        <v>0</v>
      </c>
      <c r="S33" s="41">
        <f t="shared" si="5"/>
        <v>26</v>
      </c>
      <c r="T33" s="155">
        <f>IF($S33&lt;'11-Viabilidade'!$C$24,0,$S33-'11-Viabilidade'!$C$24)</f>
        <v>20</v>
      </c>
      <c r="U33" s="11">
        <f>IF(T33&gt;0,'11-Viabilidade'!$K$10,0)*((1+'11-Viabilidade'!$O$10)^(($T33-1)/12))</f>
        <v>3240.9399052122967</v>
      </c>
      <c r="V33" s="11">
        <f>U33*'11-Viabilidade'!$L$12</f>
        <v>180.05221695623871</v>
      </c>
      <c r="W33" s="11">
        <f>U33*'11-Viabilidade'!$K$14</f>
        <v>0</v>
      </c>
      <c r="X33" s="11">
        <f>U33*'11-Viabilidade'!$K$15</f>
        <v>162.04699526061484</v>
      </c>
      <c r="Y33" s="11">
        <f>IF(AND(U33=0,S33=0),0,IF(AND(U33=0,S33&lt;&gt;0),'11-Viabilidade'!$K$16+'11-Viabilidade'!$K$17,('11-Viabilidade'!$L$11)*((1+'11-Viabilidade'!$O$10)^(($C33-1)/12))))</f>
        <v>423.72288390368169</v>
      </c>
      <c r="Z33" s="157">
        <f>IFERROR(VLOOKUP(S33,'12-SAC Viabilidade'!$B$11:$G$430,6,FALSE),0)</f>
        <v>2371.3059825239925</v>
      </c>
      <c r="AA33" s="157">
        <f>IFERROR(VLOOKUP(S33,'12-SAC Viabilidade'!$B$11:$H$430,7,FALSE),0)</f>
        <v>225142.85714285713</v>
      </c>
      <c r="AB33" s="132">
        <f>(U33-W33)*'11-Viabilidade'!$O$16</f>
        <v>486.14098578184451</v>
      </c>
      <c r="AC33" s="11">
        <f t="shared" si="3"/>
        <v>-382.32915921407539</v>
      </c>
      <c r="AD33" s="156">
        <f t="shared" si="4"/>
        <v>1988.9768233099171</v>
      </c>
      <c r="AE33" s="40"/>
      <c r="AF33" s="40"/>
      <c r="AG33" s="40"/>
      <c r="AH33" s="40"/>
    </row>
    <row r="34" spans="1:34" ht="15.75" customHeight="1">
      <c r="A34" s="37"/>
      <c r="B34" s="38">
        <f>IF(AND(B33&gt;0,B33&lt;'11-Viabilidade'!$P$14),B33+1,0)</f>
        <v>27</v>
      </c>
      <c r="C34" s="155">
        <f>IF($B34&lt;'11-Viabilidade'!$C$24,0,$B34-'11-Viabilidade'!$C$24)</f>
        <v>21</v>
      </c>
      <c r="D34" s="11">
        <f>IF(C34&gt;0,'11-Viabilidade'!$K$10,0)*((1+'11-Viabilidade'!$O$10)^(($C34-1)/12))</f>
        <v>3254.1438955614972</v>
      </c>
      <c r="E34" s="11">
        <f>D34*'11-Viabilidade'!$L$12</f>
        <v>180.78577197563871</v>
      </c>
      <c r="F34" s="11">
        <f>D34*'11-Viabilidade'!$K$14</f>
        <v>0</v>
      </c>
      <c r="G34" s="11">
        <f>D34*'11-Viabilidade'!$K$15</f>
        <v>162.70719477807486</v>
      </c>
      <c r="H34" s="11">
        <f>IF(D34=0,'11-Viabilidade'!$K$16+'11-Viabilidade'!$K$17,('11-Viabilidade'!$L$11)*((1+'11-Viabilidade'!$O$10)^(($C34-1)/12)))</f>
        <v>425.44918338266973</v>
      </c>
      <c r="I34" s="11">
        <f>'12-SAC Viabilidade'!G37</f>
        <v>2366.7493308503331</v>
      </c>
      <c r="J34" s="11">
        <f>'12-SAC Viabilidade'!H37</f>
        <v>224571.42857142855</v>
      </c>
      <c r="K34" s="132">
        <f>(D34-F34)*'11-Viabilidade'!$O$16</f>
        <v>488.12158433422456</v>
      </c>
      <c r="L34" s="11">
        <f t="shared" si="0"/>
        <v>-369.66916975944423</v>
      </c>
      <c r="M34" s="156">
        <f t="shared" si="1"/>
        <v>1997.0801610908893</v>
      </c>
      <c r="N34" s="13"/>
      <c r="O34" s="41"/>
      <c r="P34" s="41">
        <f>IF(B34&lt;='11-Viabilidade'!$G$11,(P33+(P33*'11-Viabilidade'!$H$12)),0)</f>
        <v>0</v>
      </c>
      <c r="Q34" s="41">
        <f>IF(B34='11-Viabilidade'!$G$11,'11-Viabilidade'!$G$16,0)*(1+'11-Viabilidade'!$G$12)^((B34-1)/12)</f>
        <v>0</v>
      </c>
      <c r="R34" s="154">
        <f t="shared" si="2"/>
        <v>0</v>
      </c>
      <c r="S34" s="41">
        <f t="shared" si="5"/>
        <v>27</v>
      </c>
      <c r="T34" s="155">
        <f>IF($S34&lt;'11-Viabilidade'!$C$24,0,$S34-'11-Viabilidade'!$C$24)</f>
        <v>21</v>
      </c>
      <c r="U34" s="11">
        <f>IF(T34&gt;0,'11-Viabilidade'!$K$10,0)*((1+'11-Viabilidade'!$O$10)^(($T34-1)/12))</f>
        <v>3254.1438955614972</v>
      </c>
      <c r="V34" s="11">
        <f>U34*'11-Viabilidade'!$L$12</f>
        <v>180.78577197563871</v>
      </c>
      <c r="W34" s="11">
        <f>U34*'11-Viabilidade'!$K$14</f>
        <v>0</v>
      </c>
      <c r="X34" s="11">
        <f>U34*'11-Viabilidade'!$K$15</f>
        <v>162.70719477807486</v>
      </c>
      <c r="Y34" s="11">
        <f>IF(AND(U34=0,S34=0),0,IF(AND(U34=0,S34&lt;&gt;0),'11-Viabilidade'!$K$16+'11-Viabilidade'!$K$17,('11-Viabilidade'!$L$11)*((1+'11-Viabilidade'!$O$10)^(($C34-1)/12))))</f>
        <v>425.44918338266973</v>
      </c>
      <c r="Z34" s="157">
        <f>IFERROR(VLOOKUP(S34,'12-SAC Viabilidade'!$B$11:$G$430,6,FALSE),0)</f>
        <v>2366.7493308503331</v>
      </c>
      <c r="AA34" s="157">
        <f>IFERROR(VLOOKUP(S34,'12-SAC Viabilidade'!$B$11:$H$430,7,FALSE),0)</f>
        <v>224571.42857142855</v>
      </c>
      <c r="AB34" s="132">
        <f>(U34-W34)*'11-Viabilidade'!$O$16</f>
        <v>488.12158433422456</v>
      </c>
      <c r="AC34" s="11">
        <f t="shared" si="3"/>
        <v>-369.66916975944423</v>
      </c>
      <c r="AD34" s="156">
        <f t="shared" si="4"/>
        <v>1997.0801610908893</v>
      </c>
      <c r="AE34" s="40"/>
      <c r="AF34" s="40"/>
      <c r="AG34" s="40"/>
      <c r="AH34" s="40"/>
    </row>
    <row r="35" spans="1:34" ht="15.75" customHeight="1">
      <c r="A35" s="37"/>
      <c r="B35" s="38">
        <f>IF(AND(B34&gt;0,B34&lt;'11-Viabilidade'!$P$14),B34+1,0)</f>
        <v>28</v>
      </c>
      <c r="C35" s="155">
        <f>IF($B35&lt;'11-Viabilidade'!$C$24,0,$B35-'11-Viabilidade'!$C$24)</f>
        <v>22</v>
      </c>
      <c r="D35" s="11">
        <f>IF(C35&gt;0,'11-Viabilidade'!$K$10,0)*((1+'11-Viabilidade'!$O$10)^(($C35-1)/12))</f>
        <v>3267.4016806018176</v>
      </c>
      <c r="E35" s="11">
        <f>D35*'11-Viabilidade'!$L$12</f>
        <v>181.52231558898987</v>
      </c>
      <c r="F35" s="11">
        <f>D35*'11-Viabilidade'!$K$14</f>
        <v>0</v>
      </c>
      <c r="G35" s="11">
        <f>D35*'11-Viabilidade'!$K$15</f>
        <v>163.37008403009088</v>
      </c>
      <c r="H35" s="11">
        <f>IF(D35=0,'11-Viabilidade'!$K$16+'11-Viabilidade'!$K$17,('11-Viabilidade'!$L$11)*((1+'11-Viabilidade'!$O$10)^(($C35-1)/12)))</f>
        <v>427.18251601942274</v>
      </c>
      <c r="I35" s="11">
        <f>'12-SAC Viabilidade'!G38</f>
        <v>2362.1926791766737</v>
      </c>
      <c r="J35" s="11">
        <f>'12-SAC Viabilidade'!H38</f>
        <v>224000</v>
      </c>
      <c r="K35" s="132">
        <f>(D35-F35)*'11-Viabilidade'!$O$16</f>
        <v>490.11025209027264</v>
      </c>
      <c r="L35" s="11">
        <f t="shared" si="0"/>
        <v>-356.97616630363245</v>
      </c>
      <c r="M35" s="156">
        <f t="shared" si="1"/>
        <v>2005.2165128730417</v>
      </c>
      <c r="N35" s="13"/>
      <c r="O35" s="41"/>
      <c r="P35" s="41">
        <f>IF(B35&lt;='11-Viabilidade'!$G$11,(P34+(P34*'11-Viabilidade'!$H$12)),0)</f>
        <v>0</v>
      </c>
      <c r="Q35" s="41">
        <f>IF(B35='11-Viabilidade'!$G$11,'11-Viabilidade'!$G$16,0)*(1+'11-Viabilidade'!$G$12)^((B35-1)/12)</f>
        <v>0</v>
      </c>
      <c r="R35" s="154">
        <f t="shared" si="2"/>
        <v>0</v>
      </c>
      <c r="S35" s="41">
        <f t="shared" si="5"/>
        <v>28</v>
      </c>
      <c r="T35" s="155">
        <f>IF($S35&lt;'11-Viabilidade'!$C$24,0,$S35-'11-Viabilidade'!$C$24)</f>
        <v>22</v>
      </c>
      <c r="U35" s="11">
        <f>IF(T35&gt;0,'11-Viabilidade'!$K$10,0)*((1+'11-Viabilidade'!$O$10)^(($T35-1)/12))</f>
        <v>3267.4016806018176</v>
      </c>
      <c r="V35" s="11">
        <f>U35*'11-Viabilidade'!$L$12</f>
        <v>181.52231558898987</v>
      </c>
      <c r="W35" s="11">
        <f>U35*'11-Viabilidade'!$K$14</f>
        <v>0</v>
      </c>
      <c r="X35" s="11">
        <f>U35*'11-Viabilidade'!$K$15</f>
        <v>163.37008403009088</v>
      </c>
      <c r="Y35" s="11">
        <f>IF(AND(U35=0,S35=0),0,IF(AND(U35=0,S35&lt;&gt;0),'11-Viabilidade'!$K$16+'11-Viabilidade'!$K$17,('11-Viabilidade'!$L$11)*((1+'11-Viabilidade'!$O$10)^(($C35-1)/12))))</f>
        <v>427.18251601942274</v>
      </c>
      <c r="Z35" s="157">
        <f>IFERROR(VLOOKUP(S35,'12-SAC Viabilidade'!$B$11:$G$430,6,FALSE),0)</f>
        <v>2362.1926791766737</v>
      </c>
      <c r="AA35" s="157">
        <f>IFERROR(VLOOKUP(S35,'12-SAC Viabilidade'!$B$11:$H$430,7,FALSE),0)</f>
        <v>224000</v>
      </c>
      <c r="AB35" s="132">
        <f>(U35-W35)*'11-Viabilidade'!$O$16</f>
        <v>490.11025209027264</v>
      </c>
      <c r="AC35" s="11">
        <f t="shared" si="3"/>
        <v>-356.97616630363245</v>
      </c>
      <c r="AD35" s="156">
        <f t="shared" si="4"/>
        <v>2005.2165128730417</v>
      </c>
      <c r="AE35" s="40"/>
      <c r="AF35" s="40"/>
      <c r="AG35" s="40"/>
      <c r="AH35" s="40"/>
    </row>
    <row r="36" spans="1:34" ht="15.75" customHeight="1">
      <c r="A36" s="37"/>
      <c r="B36" s="38">
        <f>IF(AND(B35&gt;0,B35&lt;'11-Viabilidade'!$P$14),B35+1,0)</f>
        <v>29</v>
      </c>
      <c r="C36" s="155">
        <f>IF($B36&lt;'11-Viabilidade'!$C$24,0,$B36-'11-Viabilidade'!$C$24)</f>
        <v>23</v>
      </c>
      <c r="D36" s="11">
        <f>IF(C36&gt;0,'11-Viabilidade'!$K$10,0)*((1+'11-Viabilidade'!$O$10)^(($C36-1)/12))</f>
        <v>3280.7134794994904</v>
      </c>
      <c r="E36" s="11">
        <f>D36*'11-Viabilidade'!$L$12</f>
        <v>182.26185997219389</v>
      </c>
      <c r="F36" s="11">
        <f>D36*'11-Viabilidade'!$K$14</f>
        <v>0</v>
      </c>
      <c r="G36" s="11">
        <f>D36*'11-Viabilidade'!$K$15</f>
        <v>164.03567397497454</v>
      </c>
      <c r="H36" s="11">
        <f>IF(D36=0,'11-Viabilidade'!$K$16+'11-Viabilidade'!$K$17,('11-Viabilidade'!$L$11)*((1+'11-Viabilidade'!$O$10)^(($C36-1)/12)))</f>
        <v>428.92291046789626</v>
      </c>
      <c r="I36" s="11">
        <f>'12-SAC Viabilidade'!G39</f>
        <v>2357.6360275030147</v>
      </c>
      <c r="J36" s="11">
        <f>'12-SAC Viabilidade'!H39</f>
        <v>223428.57142857145</v>
      </c>
      <c r="K36" s="132">
        <f>(D36-F36)*'11-Viabilidade'!$O$16</f>
        <v>492.10702192492352</v>
      </c>
      <c r="L36" s="11">
        <f t="shared" si="0"/>
        <v>-344.2500143435127</v>
      </c>
      <c r="M36" s="156">
        <f t="shared" si="1"/>
        <v>2013.3860131595022</v>
      </c>
      <c r="N36" s="13"/>
      <c r="O36" s="41"/>
      <c r="P36" s="41">
        <f>IF(B36&lt;='11-Viabilidade'!$G$11,(P35+(P35*'11-Viabilidade'!$H$12)),0)</f>
        <v>0</v>
      </c>
      <c r="Q36" s="41">
        <f>IF(B36='11-Viabilidade'!$G$11,'11-Viabilidade'!$G$16,0)*(1+'11-Viabilidade'!$G$12)^((B36-1)/12)</f>
        <v>0</v>
      </c>
      <c r="R36" s="154">
        <f t="shared" si="2"/>
        <v>0</v>
      </c>
      <c r="S36" s="41">
        <f t="shared" si="5"/>
        <v>29</v>
      </c>
      <c r="T36" s="155">
        <f>IF($S36&lt;'11-Viabilidade'!$C$24,0,$S36-'11-Viabilidade'!$C$24)</f>
        <v>23</v>
      </c>
      <c r="U36" s="11">
        <f>IF(T36&gt;0,'11-Viabilidade'!$K$10,0)*((1+'11-Viabilidade'!$O$10)^(($T36-1)/12))</f>
        <v>3280.7134794994904</v>
      </c>
      <c r="V36" s="11">
        <f>U36*'11-Viabilidade'!$L$12</f>
        <v>182.26185997219389</v>
      </c>
      <c r="W36" s="11">
        <f>U36*'11-Viabilidade'!$K$14</f>
        <v>0</v>
      </c>
      <c r="X36" s="11">
        <f>U36*'11-Viabilidade'!$K$15</f>
        <v>164.03567397497454</v>
      </c>
      <c r="Y36" s="11">
        <f>IF(AND(U36=0,S36=0),0,IF(AND(U36=0,S36&lt;&gt;0),'11-Viabilidade'!$K$16+'11-Viabilidade'!$K$17,('11-Viabilidade'!$L$11)*((1+'11-Viabilidade'!$O$10)^(($C36-1)/12))))</f>
        <v>428.92291046789626</v>
      </c>
      <c r="Z36" s="157">
        <f>IFERROR(VLOOKUP(S36,'12-SAC Viabilidade'!$B$11:$G$430,6,FALSE),0)</f>
        <v>2357.6360275030147</v>
      </c>
      <c r="AA36" s="157">
        <f>IFERROR(VLOOKUP(S36,'12-SAC Viabilidade'!$B$11:$H$430,7,FALSE),0)</f>
        <v>223428.57142857145</v>
      </c>
      <c r="AB36" s="132">
        <f>(U36-W36)*'11-Viabilidade'!$O$16</f>
        <v>492.10702192492352</v>
      </c>
      <c r="AC36" s="11">
        <f t="shared" si="3"/>
        <v>-344.2500143435127</v>
      </c>
      <c r="AD36" s="156">
        <f t="shared" si="4"/>
        <v>2013.3860131595022</v>
      </c>
      <c r="AE36" s="40"/>
      <c r="AF36" s="40"/>
      <c r="AG36" s="40"/>
      <c r="AH36" s="40"/>
    </row>
    <row r="37" spans="1:34" ht="15.75" customHeight="1">
      <c r="A37" s="37"/>
      <c r="B37" s="38">
        <f>IF(AND(B36&gt;0,B36&lt;'11-Viabilidade'!$P$14),B36+1,0)</f>
        <v>30</v>
      </c>
      <c r="C37" s="155">
        <f>IF($B37&lt;'11-Viabilidade'!$C$24,0,$B37-'11-Viabilidade'!$C$24)</f>
        <v>24</v>
      </c>
      <c r="D37" s="11">
        <f>IF(C37&gt;0,'11-Viabilidade'!$K$10,0)*((1+'11-Viabilidade'!$O$10)^(($C37-1)/12))</f>
        <v>3294.079512313655</v>
      </c>
      <c r="E37" s="11">
        <f>D37*'11-Viabilidade'!$L$12</f>
        <v>183.00441735075859</v>
      </c>
      <c r="F37" s="11">
        <f>D37*'11-Viabilidade'!$K$14</f>
        <v>0</v>
      </c>
      <c r="G37" s="11">
        <f>D37*'11-Viabilidade'!$K$15</f>
        <v>164.70397561568277</v>
      </c>
      <c r="H37" s="11">
        <f>IF(D37=0,'11-Viabilidade'!$K$16+'11-Viabilidade'!$K$17,('11-Viabilidade'!$L$11)*((1+'11-Viabilidade'!$O$10)^(($C37-1)/12)))</f>
        <v>430.67039549878518</v>
      </c>
      <c r="I37" s="11">
        <f>'12-SAC Viabilidade'!G40</f>
        <v>2353.0793758293557</v>
      </c>
      <c r="J37" s="11">
        <f>'12-SAC Viabilidade'!H40</f>
        <v>222857.1428571429</v>
      </c>
      <c r="K37" s="132">
        <f>(D37-F37)*'11-Viabilidade'!$O$16</f>
        <v>494.11192684704821</v>
      </c>
      <c r="L37" s="11">
        <f t="shared" si="0"/>
        <v>-331.4905788279757</v>
      </c>
      <c r="M37" s="156">
        <f t="shared" si="1"/>
        <v>2021.5887970013803</v>
      </c>
      <c r="N37" s="13"/>
      <c r="O37" s="41"/>
      <c r="P37" s="41">
        <f>IF(B37&lt;='11-Viabilidade'!$G$11,(P36+(P36*'11-Viabilidade'!$H$12)),0)</f>
        <v>0</v>
      </c>
      <c r="Q37" s="41">
        <f>IF(B37='11-Viabilidade'!$G$11,'11-Viabilidade'!$G$16,0)*(1+'11-Viabilidade'!$G$12)^((B37-1)/12)</f>
        <v>0</v>
      </c>
      <c r="R37" s="154">
        <f t="shared" si="2"/>
        <v>0</v>
      </c>
      <c r="S37" s="41">
        <f t="shared" si="5"/>
        <v>30</v>
      </c>
      <c r="T37" s="155">
        <f>IF($S37&lt;'11-Viabilidade'!$C$24,0,$S37-'11-Viabilidade'!$C$24)</f>
        <v>24</v>
      </c>
      <c r="U37" s="11">
        <f>IF(T37&gt;0,'11-Viabilidade'!$K$10,0)*((1+'11-Viabilidade'!$O$10)^(($T37-1)/12))</f>
        <v>3294.079512313655</v>
      </c>
      <c r="V37" s="11">
        <f>U37*'11-Viabilidade'!$L$12</f>
        <v>183.00441735075859</v>
      </c>
      <c r="W37" s="11">
        <f>U37*'11-Viabilidade'!$K$14</f>
        <v>0</v>
      </c>
      <c r="X37" s="11">
        <f>U37*'11-Viabilidade'!$K$15</f>
        <v>164.70397561568277</v>
      </c>
      <c r="Y37" s="11">
        <f>IF(AND(U37=0,S37=0),0,IF(AND(U37=0,S37&lt;&gt;0),'11-Viabilidade'!$K$16+'11-Viabilidade'!$K$17,('11-Viabilidade'!$L$11)*((1+'11-Viabilidade'!$O$10)^(($C37-1)/12))))</f>
        <v>430.67039549878518</v>
      </c>
      <c r="Z37" s="157">
        <f>IFERROR(VLOOKUP(S37,'12-SAC Viabilidade'!$B$11:$G$430,6,FALSE),0)</f>
        <v>2353.0793758293557</v>
      </c>
      <c r="AA37" s="157">
        <f>IFERROR(VLOOKUP(S37,'12-SAC Viabilidade'!$B$11:$H$430,7,FALSE),0)</f>
        <v>222857.1428571429</v>
      </c>
      <c r="AB37" s="132">
        <f>(U37-W37)*'11-Viabilidade'!$O$16</f>
        <v>494.11192684704821</v>
      </c>
      <c r="AC37" s="11">
        <f t="shared" si="3"/>
        <v>-331.4905788279757</v>
      </c>
      <c r="AD37" s="156">
        <f t="shared" si="4"/>
        <v>2021.5887970013803</v>
      </c>
      <c r="AE37" s="40"/>
      <c r="AF37" s="40"/>
      <c r="AG37" s="40"/>
      <c r="AH37" s="40"/>
    </row>
    <row r="38" spans="1:34" ht="15.75" customHeight="1">
      <c r="A38" s="37"/>
      <c r="B38" s="38">
        <f>IF(AND(B37&gt;0,B37&lt;'11-Viabilidade'!$P$14),B37+1,0)</f>
        <v>31</v>
      </c>
      <c r="C38" s="155">
        <f>IF($B38&lt;'11-Viabilidade'!$C$24,0,$B38-'11-Viabilidade'!$C$24)</f>
        <v>25</v>
      </c>
      <c r="D38" s="11">
        <f>IF(C38&gt;0,'11-Viabilidade'!$K$10,0)*((1+'11-Viabilidade'!$O$10)^(($C38-1)/12))</f>
        <v>3307.5</v>
      </c>
      <c r="E38" s="11">
        <f>D38*'11-Viabilidade'!$L$12</f>
        <v>183.75</v>
      </c>
      <c r="F38" s="11">
        <f>D38*'11-Viabilidade'!$K$14</f>
        <v>0</v>
      </c>
      <c r="G38" s="11">
        <f>D38*'11-Viabilidade'!$K$15</f>
        <v>165.375</v>
      </c>
      <c r="H38" s="11">
        <f>IF(D38=0,'11-Viabilidade'!$K$16+'11-Viabilidade'!$K$17,('11-Viabilidade'!$L$11)*((1+'11-Viabilidade'!$O$10)^(($C38-1)/12)))</f>
        <v>432.42499999999995</v>
      </c>
      <c r="I38" s="11">
        <f>'12-SAC Viabilidade'!G41</f>
        <v>2348.5227241556963</v>
      </c>
      <c r="J38" s="11">
        <f>'12-SAC Viabilidade'!H41</f>
        <v>222285.71428571435</v>
      </c>
      <c r="K38" s="132">
        <f>(D38-F38)*'11-Viabilidade'!$O$16</f>
        <v>496.125</v>
      </c>
      <c r="L38" s="11">
        <f t="shared" si="0"/>
        <v>-318.69772415569605</v>
      </c>
      <c r="M38" s="156">
        <f t="shared" si="1"/>
        <v>2029.825</v>
      </c>
      <c r="N38" s="13"/>
      <c r="O38" s="41"/>
      <c r="P38" s="41">
        <f>IF(B38&lt;='11-Viabilidade'!$G$11,(P37+(P37*'11-Viabilidade'!$H$12)),0)</f>
        <v>0</v>
      </c>
      <c r="Q38" s="41">
        <f>IF(B38='11-Viabilidade'!$G$11,'11-Viabilidade'!$G$16,0)*(1+'11-Viabilidade'!$G$12)^((B38-1)/12)</f>
        <v>0</v>
      </c>
      <c r="R38" s="154">
        <f t="shared" si="2"/>
        <v>0</v>
      </c>
      <c r="S38" s="41">
        <f t="shared" si="5"/>
        <v>31</v>
      </c>
      <c r="T38" s="155">
        <f>IF($S38&lt;'11-Viabilidade'!$C$24,0,$S38-'11-Viabilidade'!$C$24)</f>
        <v>25</v>
      </c>
      <c r="U38" s="11">
        <f>IF(T38&gt;0,'11-Viabilidade'!$K$10,0)*((1+'11-Viabilidade'!$O$10)^(($T38-1)/12))</f>
        <v>3307.5</v>
      </c>
      <c r="V38" s="11">
        <f>U38*'11-Viabilidade'!$L$12</f>
        <v>183.75</v>
      </c>
      <c r="W38" s="11">
        <f>U38*'11-Viabilidade'!$K$14</f>
        <v>0</v>
      </c>
      <c r="X38" s="11">
        <f>U38*'11-Viabilidade'!$K$15</f>
        <v>165.375</v>
      </c>
      <c r="Y38" s="11">
        <f>IF(AND(U38=0,S38=0),0,IF(AND(U38=0,S38&lt;&gt;0),'11-Viabilidade'!$K$16+'11-Viabilidade'!$K$17,('11-Viabilidade'!$L$11)*((1+'11-Viabilidade'!$O$10)^(($C38-1)/12))))</f>
        <v>432.42499999999995</v>
      </c>
      <c r="Z38" s="157">
        <f>IFERROR(VLOOKUP(S38,'12-SAC Viabilidade'!$B$11:$G$430,6,FALSE),0)</f>
        <v>2348.5227241556963</v>
      </c>
      <c r="AA38" s="157">
        <f>IFERROR(VLOOKUP(S38,'12-SAC Viabilidade'!$B$11:$H$430,7,FALSE),0)</f>
        <v>222285.71428571435</v>
      </c>
      <c r="AB38" s="132">
        <f>(U38-W38)*'11-Viabilidade'!$O$16</f>
        <v>496.125</v>
      </c>
      <c r="AC38" s="11">
        <f t="shared" si="3"/>
        <v>-318.69772415569605</v>
      </c>
      <c r="AD38" s="156">
        <f t="shared" si="4"/>
        <v>2029.825</v>
      </c>
      <c r="AE38" s="40"/>
      <c r="AF38" s="40"/>
      <c r="AG38" s="40"/>
      <c r="AH38" s="40"/>
    </row>
    <row r="39" spans="1:34" ht="15.75" customHeight="1">
      <c r="A39" s="37"/>
      <c r="B39" s="38">
        <f>IF(AND(B38&gt;0,B38&lt;'11-Viabilidade'!$P$14),B38+1,0)</f>
        <v>32</v>
      </c>
      <c r="C39" s="155">
        <f>IF($B39&lt;'11-Viabilidade'!$C$24,0,$B39-'11-Viabilidade'!$C$24)</f>
        <v>26</v>
      </c>
      <c r="D39" s="11">
        <f>IF(C39&gt;0,'11-Viabilidade'!$K$10,0)*((1+'11-Viabilidade'!$O$10)^(($C39-1)/12))</f>
        <v>3320.9751644144171</v>
      </c>
      <c r="E39" s="11">
        <f>D39*'11-Viabilidade'!$L$12</f>
        <v>184.49862024524538</v>
      </c>
      <c r="F39" s="11">
        <f>D39*'11-Viabilidade'!$K$14</f>
        <v>0</v>
      </c>
      <c r="G39" s="11">
        <f>D39*'11-Viabilidade'!$K$15</f>
        <v>166.04875822072086</v>
      </c>
      <c r="H39" s="11">
        <f>IF(D39=0,'11-Viabilidade'!$K$16+'11-Viabilidade'!$K$17,('11-Viabilidade'!$L$11)*((1+'11-Viabilidade'!$O$10)^(($C39-1)/12)))</f>
        <v>434.18675297714412</v>
      </c>
      <c r="I39" s="11">
        <f>'12-SAC Viabilidade'!G42</f>
        <v>2343.9660724820374</v>
      </c>
      <c r="J39" s="11">
        <f>'12-SAC Viabilidade'!H42</f>
        <v>221714.2857142858</v>
      </c>
      <c r="K39" s="132">
        <f>(D39-F39)*'11-Viabilidade'!$O$16</f>
        <v>498.14627466216257</v>
      </c>
      <c r="L39" s="11">
        <f t="shared" si="0"/>
        <v>-305.87131417289311</v>
      </c>
      <c r="M39" s="156">
        <f t="shared" si="1"/>
        <v>2038.0947583091443</v>
      </c>
      <c r="N39" s="13"/>
      <c r="O39" s="41"/>
      <c r="P39" s="41">
        <f>IF(B39&lt;='11-Viabilidade'!$G$11,(P38+(P38*'11-Viabilidade'!$H$12)),0)</f>
        <v>0</v>
      </c>
      <c r="Q39" s="41">
        <f>IF(B39='11-Viabilidade'!$G$11,'11-Viabilidade'!$G$16,0)*(1+'11-Viabilidade'!$G$12)^((B39-1)/12)</f>
        <v>0</v>
      </c>
      <c r="R39" s="154">
        <f t="shared" si="2"/>
        <v>0</v>
      </c>
      <c r="S39" s="41">
        <f t="shared" si="5"/>
        <v>32</v>
      </c>
      <c r="T39" s="155">
        <f>IF($S39&lt;'11-Viabilidade'!$C$24,0,$S39-'11-Viabilidade'!$C$24)</f>
        <v>26</v>
      </c>
      <c r="U39" s="11">
        <f>IF(T39&gt;0,'11-Viabilidade'!$K$10,0)*((1+'11-Viabilidade'!$O$10)^(($T39-1)/12))</f>
        <v>3320.9751644144171</v>
      </c>
      <c r="V39" s="11">
        <f>U39*'11-Viabilidade'!$L$12</f>
        <v>184.49862024524538</v>
      </c>
      <c r="W39" s="11">
        <f>U39*'11-Viabilidade'!$K$14</f>
        <v>0</v>
      </c>
      <c r="X39" s="11">
        <f>U39*'11-Viabilidade'!$K$15</f>
        <v>166.04875822072086</v>
      </c>
      <c r="Y39" s="11">
        <f>IF(AND(U39=0,S39=0),0,IF(AND(U39=0,S39&lt;&gt;0),'11-Viabilidade'!$K$16+'11-Viabilidade'!$K$17,('11-Viabilidade'!$L$11)*((1+'11-Viabilidade'!$O$10)^(($C39-1)/12))))</f>
        <v>434.18675297714412</v>
      </c>
      <c r="Z39" s="157">
        <f>IFERROR(VLOOKUP(S39,'12-SAC Viabilidade'!$B$11:$G$430,6,FALSE),0)</f>
        <v>2343.9660724820374</v>
      </c>
      <c r="AA39" s="157">
        <f>IFERROR(VLOOKUP(S39,'12-SAC Viabilidade'!$B$11:$H$430,7,FALSE),0)</f>
        <v>221714.2857142858</v>
      </c>
      <c r="AB39" s="132">
        <f>(U39-W39)*'11-Viabilidade'!$O$16</f>
        <v>498.14627466216257</v>
      </c>
      <c r="AC39" s="11">
        <f t="shared" si="3"/>
        <v>-305.87131417289311</v>
      </c>
      <c r="AD39" s="156">
        <f t="shared" si="4"/>
        <v>2038.0947583091443</v>
      </c>
      <c r="AE39" s="40"/>
      <c r="AF39" s="40"/>
      <c r="AG39" s="40"/>
      <c r="AH39" s="40"/>
    </row>
    <row r="40" spans="1:34" ht="15.75" customHeight="1">
      <c r="A40" s="37"/>
      <c r="B40" s="38">
        <f>IF(AND(B39&gt;0,B39&lt;'11-Viabilidade'!$P$14),B39+1,0)</f>
        <v>33</v>
      </c>
      <c r="C40" s="155">
        <f>IF($B40&lt;'11-Viabilidade'!$C$24,0,$B40-'11-Viabilidade'!$C$24)</f>
        <v>27</v>
      </c>
      <c r="D40" s="11">
        <f>IF(C40&gt;0,'11-Viabilidade'!$K$10,0)*((1+'11-Viabilidade'!$O$10)^(($C40-1)/12))</f>
        <v>3334.5052283166633</v>
      </c>
      <c r="E40" s="11">
        <f>D40*'11-Viabilidade'!$L$12</f>
        <v>185.25029046203684</v>
      </c>
      <c r="F40" s="11">
        <f>D40*'11-Viabilidade'!$K$14</f>
        <v>0</v>
      </c>
      <c r="G40" s="11">
        <f>D40*'11-Viabilidade'!$K$15</f>
        <v>166.72526141583319</v>
      </c>
      <c r="H40" s="11">
        <f>IF(D40=0,'11-Viabilidade'!$K$16+'11-Viabilidade'!$K$17,('11-Viabilidade'!$L$11)*((1+'11-Viabilidade'!$O$10)^(($C40-1)/12)))</f>
        <v>435.95568355399337</v>
      </c>
      <c r="I40" s="11">
        <f>'12-SAC Viabilidade'!G43</f>
        <v>2339.4094208083779</v>
      </c>
      <c r="J40" s="11">
        <f>'12-SAC Viabilidade'!H43</f>
        <v>221142.85714285725</v>
      </c>
      <c r="K40" s="132">
        <f>(D40-F40)*'11-Viabilidade'!$O$16</f>
        <v>500.17578424749945</v>
      </c>
      <c r="L40" s="11">
        <f t="shared" si="0"/>
        <v>-293.01121217107766</v>
      </c>
      <c r="M40" s="156">
        <f t="shared" si="1"/>
        <v>2046.3982086373005</v>
      </c>
      <c r="N40" s="13"/>
      <c r="O40" s="41"/>
      <c r="P40" s="41">
        <f>IF(B40&lt;='11-Viabilidade'!$G$11,(P39+(P39*'11-Viabilidade'!$H$12)),0)</f>
        <v>0</v>
      </c>
      <c r="Q40" s="41">
        <f>IF(B40='11-Viabilidade'!$G$11,'11-Viabilidade'!$G$16,0)*(1+'11-Viabilidade'!$G$12)^((B40-1)/12)</f>
        <v>0</v>
      </c>
      <c r="R40" s="154">
        <f t="shared" si="2"/>
        <v>0</v>
      </c>
      <c r="S40" s="41">
        <f t="shared" si="5"/>
        <v>33</v>
      </c>
      <c r="T40" s="155">
        <f>IF($S40&lt;'11-Viabilidade'!$C$24,0,$S40-'11-Viabilidade'!$C$24)</f>
        <v>27</v>
      </c>
      <c r="U40" s="11">
        <f>IF(T40&gt;0,'11-Viabilidade'!$K$10,0)*((1+'11-Viabilidade'!$O$10)^(($T40-1)/12))</f>
        <v>3334.5052283166633</v>
      </c>
      <c r="V40" s="11">
        <f>U40*'11-Viabilidade'!$L$12</f>
        <v>185.25029046203684</v>
      </c>
      <c r="W40" s="11">
        <f>U40*'11-Viabilidade'!$K$14</f>
        <v>0</v>
      </c>
      <c r="X40" s="11">
        <f>U40*'11-Viabilidade'!$K$15</f>
        <v>166.72526141583319</v>
      </c>
      <c r="Y40" s="11">
        <f>IF(AND(U40=0,S40=0),0,IF(AND(U40=0,S40&lt;&gt;0),'11-Viabilidade'!$K$16+'11-Viabilidade'!$K$17,('11-Viabilidade'!$L$11)*((1+'11-Viabilidade'!$O$10)^(($C40-1)/12))))</f>
        <v>435.95568355399337</v>
      </c>
      <c r="Z40" s="157">
        <f>IFERROR(VLOOKUP(S40,'12-SAC Viabilidade'!$B$11:$G$430,6,FALSE),0)</f>
        <v>2339.4094208083779</v>
      </c>
      <c r="AA40" s="157">
        <f>IFERROR(VLOOKUP(S40,'12-SAC Viabilidade'!$B$11:$H$430,7,FALSE),0)</f>
        <v>221142.85714285725</v>
      </c>
      <c r="AB40" s="132">
        <f>(U40-W40)*'11-Viabilidade'!$O$16</f>
        <v>500.17578424749945</v>
      </c>
      <c r="AC40" s="11">
        <f t="shared" si="3"/>
        <v>-293.01121217107766</v>
      </c>
      <c r="AD40" s="156">
        <f t="shared" si="4"/>
        <v>2046.3982086373005</v>
      </c>
      <c r="AE40" s="40"/>
      <c r="AF40" s="40"/>
      <c r="AG40" s="40"/>
      <c r="AH40" s="40"/>
    </row>
    <row r="41" spans="1:34" ht="15.75" customHeight="1">
      <c r="A41" s="37"/>
      <c r="B41" s="38">
        <f>IF(AND(B40&gt;0,B40&lt;'11-Viabilidade'!$P$14),B40+1,0)</f>
        <v>34</v>
      </c>
      <c r="C41" s="155">
        <f>IF($B41&lt;'11-Viabilidade'!$C$24,0,$B41-'11-Viabilidade'!$C$24)</f>
        <v>28</v>
      </c>
      <c r="D41" s="11">
        <f>IF(C41&gt;0,'11-Viabilidade'!$K$10,0)*((1+'11-Viabilidade'!$O$10)^(($C41-1)/12))</f>
        <v>3348.090415374048</v>
      </c>
      <c r="E41" s="11">
        <f>D41*'11-Viabilidade'!$L$12</f>
        <v>186.00502307633599</v>
      </c>
      <c r="F41" s="11">
        <f>D41*'11-Viabilidade'!$K$14</f>
        <v>0</v>
      </c>
      <c r="G41" s="11">
        <f>D41*'11-Viabilidade'!$K$15</f>
        <v>167.40452076870241</v>
      </c>
      <c r="H41" s="11">
        <f>IF(D41=0,'11-Viabilidade'!$K$16+'11-Viabilidade'!$K$17,('11-Viabilidade'!$L$11)*((1+'11-Viabilidade'!$O$10)^(($C41-1)/12)))</f>
        <v>437.73182097297735</v>
      </c>
      <c r="I41" s="11">
        <f>'12-SAC Viabilidade'!G44</f>
        <v>2334.852769134719</v>
      </c>
      <c r="J41" s="11">
        <f>'12-SAC Viabilidade'!H44</f>
        <v>220571.4285714287</v>
      </c>
      <c r="K41" s="132">
        <f>(D41-F41)*'11-Viabilidade'!$O$16</f>
        <v>502.21356230610718</v>
      </c>
      <c r="L41" s="11">
        <f t="shared" si="0"/>
        <v>-280.11728088479413</v>
      </c>
      <c r="M41" s="156">
        <f t="shared" si="1"/>
        <v>2054.7354882499249</v>
      </c>
      <c r="N41" s="13"/>
      <c r="O41" s="41"/>
      <c r="P41" s="41">
        <f>IF(B41&lt;='11-Viabilidade'!$G$11,(P40+(P40*'11-Viabilidade'!$H$12)),0)</f>
        <v>0</v>
      </c>
      <c r="Q41" s="41">
        <f>IF(B41='11-Viabilidade'!$G$11,'11-Viabilidade'!$G$16,0)*(1+'11-Viabilidade'!$G$12)^((B41-1)/12)</f>
        <v>0</v>
      </c>
      <c r="R41" s="154">
        <f t="shared" si="2"/>
        <v>0</v>
      </c>
      <c r="S41" s="41">
        <f t="shared" si="5"/>
        <v>34</v>
      </c>
      <c r="T41" s="155">
        <f>IF($S41&lt;'11-Viabilidade'!$C$24,0,$S41-'11-Viabilidade'!$C$24)</f>
        <v>28</v>
      </c>
      <c r="U41" s="11">
        <f>IF(T41&gt;0,'11-Viabilidade'!$K$10,0)*((1+'11-Viabilidade'!$O$10)^(($T41-1)/12))</f>
        <v>3348.090415374048</v>
      </c>
      <c r="V41" s="11">
        <f>U41*'11-Viabilidade'!$L$12</f>
        <v>186.00502307633599</v>
      </c>
      <c r="W41" s="11">
        <f>U41*'11-Viabilidade'!$K$14</f>
        <v>0</v>
      </c>
      <c r="X41" s="11">
        <f>U41*'11-Viabilidade'!$K$15</f>
        <v>167.40452076870241</v>
      </c>
      <c r="Y41" s="11">
        <f>IF(AND(U41=0,S41=0),0,IF(AND(U41=0,S41&lt;&gt;0),'11-Viabilidade'!$K$16+'11-Viabilidade'!$K$17,('11-Viabilidade'!$L$11)*((1+'11-Viabilidade'!$O$10)^(($C41-1)/12))))</f>
        <v>437.73182097297735</v>
      </c>
      <c r="Z41" s="157">
        <f>IFERROR(VLOOKUP(S41,'12-SAC Viabilidade'!$B$11:$G$430,6,FALSE),0)</f>
        <v>2334.852769134719</v>
      </c>
      <c r="AA41" s="157">
        <f>IFERROR(VLOOKUP(S41,'12-SAC Viabilidade'!$B$11:$H$430,7,FALSE),0)</f>
        <v>220571.4285714287</v>
      </c>
      <c r="AB41" s="132">
        <f>(U41-W41)*'11-Viabilidade'!$O$16</f>
        <v>502.21356230610718</v>
      </c>
      <c r="AC41" s="11">
        <f t="shared" si="3"/>
        <v>-280.11728088479413</v>
      </c>
      <c r="AD41" s="156">
        <f t="shared" si="4"/>
        <v>2054.7354882499249</v>
      </c>
      <c r="AE41" s="40"/>
      <c r="AF41" s="40"/>
      <c r="AG41" s="40"/>
      <c r="AH41" s="40"/>
    </row>
    <row r="42" spans="1:34" ht="15.75" customHeight="1">
      <c r="A42" s="37"/>
      <c r="B42" s="38">
        <f>IF(AND(B41&gt;0,B41&lt;'11-Viabilidade'!$P$14),B41+1,0)</f>
        <v>35</v>
      </c>
      <c r="C42" s="155">
        <f>IF($B42&lt;'11-Viabilidade'!$C$24,0,$B42-'11-Viabilidade'!$C$24)</f>
        <v>29</v>
      </c>
      <c r="D42" s="11">
        <f>IF(C42&gt;0,'11-Viabilidade'!$K$10,0)*((1+'11-Viabilidade'!$O$10)^(($C42-1)/12))</f>
        <v>3361.7309501651284</v>
      </c>
      <c r="E42" s="11">
        <f>D42*'11-Viabilidade'!$L$12</f>
        <v>186.76283056472934</v>
      </c>
      <c r="F42" s="11">
        <f>D42*'11-Viabilidade'!$K$14</f>
        <v>0</v>
      </c>
      <c r="G42" s="11">
        <f>D42*'11-Viabilidade'!$K$15</f>
        <v>168.08654750825644</v>
      </c>
      <c r="H42" s="11">
        <f>IF(D42=0,'11-Viabilidade'!$K$16+'11-Viabilidade'!$K$17,('11-Viabilidade'!$L$11)*((1+'11-Viabilidade'!$O$10)^(($C42-1)/12)))</f>
        <v>439.51519459566299</v>
      </c>
      <c r="I42" s="11">
        <f>'12-SAC Viabilidade'!G45</f>
        <v>2330.29611746106</v>
      </c>
      <c r="J42" s="11">
        <f>'12-SAC Viabilidade'!H45</f>
        <v>220000.00000000012</v>
      </c>
      <c r="K42" s="132">
        <f>(D42-F42)*'11-Viabilidade'!$O$16</f>
        <v>504.25964252476922</v>
      </c>
      <c r="L42" s="11">
        <f t="shared" si="0"/>
        <v>-267.18938248935001</v>
      </c>
      <c r="M42" s="156">
        <f t="shared" si="1"/>
        <v>2063.1067349717105</v>
      </c>
      <c r="N42" s="13"/>
      <c r="O42" s="41"/>
      <c r="P42" s="41">
        <f>IF(B42&lt;='11-Viabilidade'!$G$11,(P41+(P41*'11-Viabilidade'!$H$12)),0)</f>
        <v>0</v>
      </c>
      <c r="Q42" s="41">
        <f>IF(B42='11-Viabilidade'!$G$11,'11-Viabilidade'!$G$16,0)*(1+'11-Viabilidade'!$G$12)^((B42-1)/12)</f>
        <v>0</v>
      </c>
      <c r="R42" s="154">
        <f t="shared" si="2"/>
        <v>0</v>
      </c>
      <c r="S42" s="41">
        <f t="shared" si="5"/>
        <v>35</v>
      </c>
      <c r="T42" s="155">
        <f>IF($S42&lt;'11-Viabilidade'!$C$24,0,$S42-'11-Viabilidade'!$C$24)</f>
        <v>29</v>
      </c>
      <c r="U42" s="11">
        <f>IF(T42&gt;0,'11-Viabilidade'!$K$10,0)*((1+'11-Viabilidade'!$O$10)^(($T42-1)/12))</f>
        <v>3361.7309501651284</v>
      </c>
      <c r="V42" s="11">
        <f>U42*'11-Viabilidade'!$L$12</f>
        <v>186.76283056472934</v>
      </c>
      <c r="W42" s="11">
        <f>U42*'11-Viabilidade'!$K$14</f>
        <v>0</v>
      </c>
      <c r="X42" s="11">
        <f>U42*'11-Viabilidade'!$K$15</f>
        <v>168.08654750825644</v>
      </c>
      <c r="Y42" s="11">
        <f>IF(AND(U42=0,S42=0),0,IF(AND(U42=0,S42&lt;&gt;0),'11-Viabilidade'!$K$16+'11-Viabilidade'!$K$17,('11-Viabilidade'!$L$11)*((1+'11-Viabilidade'!$O$10)^(($C42-1)/12))))</f>
        <v>439.51519459566299</v>
      </c>
      <c r="Z42" s="157">
        <f>IFERROR(VLOOKUP(S42,'12-SAC Viabilidade'!$B$11:$G$430,6,FALSE),0)</f>
        <v>2330.29611746106</v>
      </c>
      <c r="AA42" s="157">
        <f>IFERROR(VLOOKUP(S42,'12-SAC Viabilidade'!$B$11:$H$430,7,FALSE),0)</f>
        <v>220000.00000000012</v>
      </c>
      <c r="AB42" s="132">
        <f>(U42-W42)*'11-Viabilidade'!$O$16</f>
        <v>504.25964252476922</v>
      </c>
      <c r="AC42" s="11">
        <f t="shared" si="3"/>
        <v>-267.18938248935001</v>
      </c>
      <c r="AD42" s="156">
        <f t="shared" si="4"/>
        <v>2063.1067349717105</v>
      </c>
      <c r="AE42" s="40"/>
      <c r="AF42" s="40"/>
      <c r="AG42" s="40"/>
      <c r="AH42" s="40"/>
    </row>
    <row r="43" spans="1:34" ht="15.75" customHeight="1">
      <c r="A43" s="158" t="s">
        <v>235</v>
      </c>
      <c r="B43" s="159">
        <f>IF(AND(B42&gt;0,B42&lt;'11-Viabilidade'!$P$14),B42+1,0)</f>
        <v>36</v>
      </c>
      <c r="C43" s="160">
        <f>IF($B43&lt;'11-Viabilidade'!$C$24,0,$B43-'11-Viabilidade'!$C$24)</f>
        <v>30</v>
      </c>
      <c r="D43" s="161">
        <f>IF(C43&gt;0,'11-Viabilidade'!$K$10,0)*((1+'11-Viabilidade'!$O$10)^(($C43-1)/12))</f>
        <v>3375.4270581834226</v>
      </c>
      <c r="E43" s="161">
        <f>D43*'11-Viabilidade'!$L$12</f>
        <v>187.52372545463459</v>
      </c>
      <c r="F43" s="161">
        <f>D43*'11-Viabilidade'!$K$14</f>
        <v>0</v>
      </c>
      <c r="G43" s="161">
        <f>D43*'11-Viabilidade'!$K$15</f>
        <v>168.77135290917113</v>
      </c>
      <c r="H43" s="11">
        <f>IF(D43=0,'11-Viabilidade'!$K$16+'11-Viabilidade'!$K$17,('11-Viabilidade'!$L$11)*((1+'11-Viabilidade'!$O$10)^(($C43-1)/12)))</f>
        <v>441.30583390324</v>
      </c>
      <c r="I43" s="161">
        <f>'12-SAC Viabilidade'!G46</f>
        <v>2325.7394657874006</v>
      </c>
      <c r="J43" s="161">
        <f>'12-SAC Viabilidade'!H46</f>
        <v>219428.57142857154</v>
      </c>
      <c r="K43" s="162">
        <f>(D43-F43)*'11-Viabilidade'!$O$16</f>
        <v>506.31405872751338</v>
      </c>
      <c r="L43" s="161">
        <f t="shared" si="0"/>
        <v>-254.22737859853714</v>
      </c>
      <c r="M43" s="163">
        <f t="shared" si="1"/>
        <v>2071.5120871888635</v>
      </c>
      <c r="N43" s="164"/>
      <c r="O43" s="165"/>
      <c r="P43" s="165">
        <f>IF(B43&lt;='11-Viabilidade'!$G$11,(P42+(P42*'11-Viabilidade'!$H$12)),0)</f>
        <v>0</v>
      </c>
      <c r="Q43" s="165">
        <f>IF(B43='11-Viabilidade'!$G$11,'11-Viabilidade'!$G$16,0)*(1+'11-Viabilidade'!$G$12)^((B43-1)/12)</f>
        <v>0</v>
      </c>
      <c r="R43" s="166">
        <f t="shared" si="2"/>
        <v>0</v>
      </c>
      <c r="S43" s="165">
        <f t="shared" si="5"/>
        <v>36</v>
      </c>
      <c r="T43" s="160">
        <f>IF($S43&lt;'11-Viabilidade'!$C$24,0,$S43-'11-Viabilidade'!$C$24)</f>
        <v>30</v>
      </c>
      <c r="U43" s="161">
        <f>IF(T43&gt;0,'11-Viabilidade'!$K$10,0)*((1+'11-Viabilidade'!$O$10)^(($T43-1)/12))</f>
        <v>3375.4270581834226</v>
      </c>
      <c r="V43" s="161">
        <f>U43*'11-Viabilidade'!$L$12</f>
        <v>187.52372545463459</v>
      </c>
      <c r="W43" s="161">
        <f>U43*'11-Viabilidade'!$K$14</f>
        <v>0</v>
      </c>
      <c r="X43" s="161">
        <f>U43*'11-Viabilidade'!$K$15</f>
        <v>168.77135290917113</v>
      </c>
      <c r="Y43" s="11">
        <f>IF(AND(U43=0,S43=0),0,IF(AND(U43=0,S43&lt;&gt;0),'11-Viabilidade'!$K$16+'11-Viabilidade'!$K$17,('11-Viabilidade'!$L$11)*((1+'11-Viabilidade'!$O$10)^(($C43-1)/12))))</f>
        <v>441.30583390324</v>
      </c>
      <c r="Z43" s="168">
        <f>IFERROR(VLOOKUP(S43,'12-SAC Viabilidade'!$B$11:$G$430,6,FALSE),0)</f>
        <v>2325.7394657874006</v>
      </c>
      <c r="AA43" s="168">
        <f>IFERROR(VLOOKUP(S43,'12-SAC Viabilidade'!$B$11:$H$430,7,FALSE),0)</f>
        <v>219428.57142857154</v>
      </c>
      <c r="AB43" s="162">
        <f>(U43-W43)*'11-Viabilidade'!$O$16</f>
        <v>506.31405872751338</v>
      </c>
      <c r="AC43" s="161">
        <f t="shared" si="3"/>
        <v>-254.22737859853714</v>
      </c>
      <c r="AD43" s="163">
        <f t="shared" si="4"/>
        <v>2071.5120871888635</v>
      </c>
      <c r="AE43" s="169"/>
      <c r="AF43" s="169"/>
      <c r="AG43" s="169"/>
      <c r="AH43" s="169"/>
    </row>
    <row r="44" spans="1:34" ht="15.75" customHeight="1">
      <c r="A44" s="37"/>
      <c r="B44" s="38">
        <f>IF(AND(B43&gt;0,B43&lt;'11-Viabilidade'!$P$14),B43+1,0)</f>
        <v>37</v>
      </c>
      <c r="C44" s="155">
        <f>IF($B44&lt;'11-Viabilidade'!$C$24,0,$B44-'11-Viabilidade'!$C$24)</f>
        <v>31</v>
      </c>
      <c r="D44" s="11">
        <f>IF(C44&gt;0,'11-Viabilidade'!$K$10,0)*((1+'11-Viabilidade'!$O$10)^(($C44-1)/12))</f>
        <v>3389.1789658411376</v>
      </c>
      <c r="E44" s="11">
        <f>D44*'11-Viabilidade'!$L$12</f>
        <v>188.28772032450763</v>
      </c>
      <c r="F44" s="11">
        <f>D44*'11-Viabilidade'!$K$14</f>
        <v>0</v>
      </c>
      <c r="G44" s="11">
        <f>D44*'11-Viabilidade'!$K$15</f>
        <v>169.4589482920569</v>
      </c>
      <c r="H44" s="11">
        <f>IF(D44=0,'11-Viabilidade'!$K$16+'11-Viabilidade'!$K$17,('11-Viabilidade'!$L$11)*((1+'11-Viabilidade'!$O$10)^(($C44-1)/12)))</f>
        <v>443.10376849700793</v>
      </c>
      <c r="I44" s="11">
        <f>'12-SAC Viabilidade'!G47</f>
        <v>2321.1828141137412</v>
      </c>
      <c r="J44" s="11">
        <f>'12-SAC Viabilidade'!H47</f>
        <v>218857.14285714296</v>
      </c>
      <c r="K44" s="132">
        <f>(D44-F44)*'11-Viabilidade'!$O$16</f>
        <v>508.37684487617059</v>
      </c>
      <c r="L44" s="11">
        <f t="shared" si="0"/>
        <v>-241.2311302623466</v>
      </c>
      <c r="M44" s="156">
        <f t="shared" si="1"/>
        <v>2079.9516838513946</v>
      </c>
      <c r="N44" s="13"/>
      <c r="O44" s="41"/>
      <c r="P44" s="41">
        <f>IF(B44&lt;='11-Viabilidade'!$G$11,(P43+(P43*'11-Viabilidade'!$H$12)),0)</f>
        <v>0</v>
      </c>
      <c r="Q44" s="41">
        <f>IF(B44='11-Viabilidade'!$G$11,'11-Viabilidade'!$G$16,0)*(1+'11-Viabilidade'!$G$12)^((B44-1)/12)</f>
        <v>0</v>
      </c>
      <c r="R44" s="154">
        <f t="shared" si="2"/>
        <v>0</v>
      </c>
      <c r="S44" s="41">
        <f t="shared" si="5"/>
        <v>37</v>
      </c>
      <c r="T44" s="155">
        <f>IF($S44&lt;'11-Viabilidade'!$C$24,0,$S44-'11-Viabilidade'!$C$24)</f>
        <v>31</v>
      </c>
      <c r="U44" s="11">
        <f>IF(T44&gt;0,'11-Viabilidade'!$K$10,0)*((1+'11-Viabilidade'!$O$10)^(($T44-1)/12))</f>
        <v>3389.1789658411376</v>
      </c>
      <c r="V44" s="11">
        <f>U44*'11-Viabilidade'!$L$12</f>
        <v>188.28772032450763</v>
      </c>
      <c r="W44" s="11">
        <f>U44*'11-Viabilidade'!$K$14</f>
        <v>0</v>
      </c>
      <c r="X44" s="11">
        <f>U44*'11-Viabilidade'!$K$15</f>
        <v>169.4589482920569</v>
      </c>
      <c r="Y44" s="11">
        <f>IF(AND(U44=0,S44=0),0,IF(AND(U44=0,S44&lt;&gt;0),'11-Viabilidade'!$K$16+'11-Viabilidade'!$K$17,('11-Viabilidade'!$L$11)*((1+'11-Viabilidade'!$O$10)^(($C44-1)/12))))</f>
        <v>443.10376849700793</v>
      </c>
      <c r="Z44" s="157">
        <f>IFERROR(VLOOKUP(S44,'12-SAC Viabilidade'!$B$11:$G$430,6,FALSE),0)</f>
        <v>2321.1828141137412</v>
      </c>
      <c r="AA44" s="157">
        <f>IFERROR(VLOOKUP(S44,'12-SAC Viabilidade'!$B$11:$H$430,7,FALSE),0)</f>
        <v>218857.14285714296</v>
      </c>
      <c r="AB44" s="132">
        <f>(U44-W44)*'11-Viabilidade'!$O$16</f>
        <v>508.37684487617059</v>
      </c>
      <c r="AC44" s="11">
        <f t="shared" si="3"/>
        <v>-241.2311302623466</v>
      </c>
      <c r="AD44" s="156">
        <f t="shared" si="4"/>
        <v>2079.9516838513946</v>
      </c>
      <c r="AE44" s="40"/>
      <c r="AF44" s="40"/>
      <c r="AG44" s="40"/>
      <c r="AH44" s="40"/>
    </row>
    <row r="45" spans="1:34" ht="15.75" customHeight="1">
      <c r="A45" s="37"/>
      <c r="B45" s="38">
        <f>IF(AND(B44&gt;0,B44&lt;'11-Viabilidade'!$P$14),B44+1,0)</f>
        <v>38</v>
      </c>
      <c r="C45" s="155">
        <f>IF($B45&lt;'11-Viabilidade'!$C$24,0,$B45-'11-Viabilidade'!$C$24)</f>
        <v>32</v>
      </c>
      <c r="D45" s="11">
        <f>IF(C45&gt;0,'11-Viabilidade'!$K$10,0)*((1+'11-Viabilidade'!$O$10)^(($C45-1)/12))</f>
        <v>3402.9869004729117</v>
      </c>
      <c r="E45" s="11">
        <f>D45*'11-Viabilidade'!$L$12</f>
        <v>189.05482780405063</v>
      </c>
      <c r="F45" s="11">
        <f>D45*'11-Viabilidade'!$K$14</f>
        <v>0</v>
      </c>
      <c r="G45" s="11">
        <f>D45*'11-Viabilidade'!$K$15</f>
        <v>170.14934502364559</v>
      </c>
      <c r="H45" s="11">
        <f>IF(D45=0,'11-Viabilidade'!$K$16+'11-Viabilidade'!$K$17,('11-Viabilidade'!$L$11)*((1+'11-Viabilidade'!$O$10)^(($C45-1)/12)))</f>
        <v>444.9090280988658</v>
      </c>
      <c r="I45" s="11">
        <f>'12-SAC Viabilidade'!G48</f>
        <v>2316.6261624400818</v>
      </c>
      <c r="J45" s="11">
        <f>'12-SAC Viabilidade'!H48</f>
        <v>218285.71428571438</v>
      </c>
      <c r="K45" s="132">
        <f>(D45-F45)*'11-Viabilidade'!$O$16</f>
        <v>510.44803507093673</v>
      </c>
      <c r="L45" s="11">
        <f t="shared" si="0"/>
        <v>-228.20049796466901</v>
      </c>
      <c r="M45" s="156">
        <f t="shared" si="1"/>
        <v>2088.4256644754128</v>
      </c>
      <c r="N45" s="13"/>
      <c r="O45" s="41"/>
      <c r="P45" s="41">
        <f>IF(B45&lt;='11-Viabilidade'!$G$11,(P44+(P44*'11-Viabilidade'!$H$12)),0)</f>
        <v>0</v>
      </c>
      <c r="Q45" s="41">
        <f>IF(B45='11-Viabilidade'!$G$11,'11-Viabilidade'!$G$16,0)*(1+'11-Viabilidade'!$G$12)^((B45-1)/12)</f>
        <v>0</v>
      </c>
      <c r="R45" s="154">
        <f t="shared" si="2"/>
        <v>0</v>
      </c>
      <c r="S45" s="41">
        <f t="shared" si="5"/>
        <v>38</v>
      </c>
      <c r="T45" s="155">
        <f>IF($S45&lt;'11-Viabilidade'!$C$24,0,$S45-'11-Viabilidade'!$C$24)</f>
        <v>32</v>
      </c>
      <c r="U45" s="11">
        <f>IF(T45&gt;0,'11-Viabilidade'!$K$10,0)*((1+'11-Viabilidade'!$O$10)^(($T45-1)/12))</f>
        <v>3402.9869004729117</v>
      </c>
      <c r="V45" s="11">
        <f>U45*'11-Viabilidade'!$L$12</f>
        <v>189.05482780405063</v>
      </c>
      <c r="W45" s="11">
        <f>U45*'11-Viabilidade'!$K$14</f>
        <v>0</v>
      </c>
      <c r="X45" s="11">
        <f>U45*'11-Viabilidade'!$K$15</f>
        <v>170.14934502364559</v>
      </c>
      <c r="Y45" s="11">
        <f>IF(AND(U45=0,S45=0),0,IF(AND(U45=0,S45&lt;&gt;0),'11-Viabilidade'!$K$16+'11-Viabilidade'!$K$17,('11-Viabilidade'!$L$11)*((1+'11-Viabilidade'!$O$10)^(($C45-1)/12))))</f>
        <v>444.9090280988658</v>
      </c>
      <c r="Z45" s="157">
        <f>IFERROR(VLOOKUP(S45,'12-SAC Viabilidade'!$B$11:$G$430,6,FALSE),0)</f>
        <v>2316.6261624400818</v>
      </c>
      <c r="AA45" s="157">
        <f>IFERROR(VLOOKUP(S45,'12-SAC Viabilidade'!$B$11:$H$430,7,FALSE),0)</f>
        <v>218285.71428571438</v>
      </c>
      <c r="AB45" s="132">
        <f>(U45-W45)*'11-Viabilidade'!$O$16</f>
        <v>510.44803507093673</v>
      </c>
      <c r="AC45" s="11">
        <f t="shared" si="3"/>
        <v>-228.20049796466901</v>
      </c>
      <c r="AD45" s="156">
        <f t="shared" si="4"/>
        <v>2088.4256644754128</v>
      </c>
      <c r="AE45" s="40"/>
      <c r="AF45" s="40"/>
      <c r="AG45" s="40"/>
      <c r="AH45" s="40"/>
    </row>
    <row r="46" spans="1:34" ht="15.75" customHeight="1">
      <c r="A46" s="37"/>
      <c r="B46" s="38">
        <f>IF(AND(B45&gt;0,B45&lt;'11-Viabilidade'!$P$14),B45+1,0)</f>
        <v>39</v>
      </c>
      <c r="C46" s="155">
        <f>IF($B46&lt;'11-Viabilidade'!$C$24,0,$B46-'11-Viabilidade'!$C$24)</f>
        <v>33</v>
      </c>
      <c r="D46" s="11">
        <f>IF(C46&gt;0,'11-Viabilidade'!$K$10,0)*((1+'11-Viabilidade'!$O$10)^(($C46-1)/12))</f>
        <v>3416.8510903395718</v>
      </c>
      <c r="E46" s="11">
        <f>D46*'11-Viabilidade'!$L$12</f>
        <v>189.82506057442063</v>
      </c>
      <c r="F46" s="11">
        <f>D46*'11-Viabilidade'!$K$14</f>
        <v>0</v>
      </c>
      <c r="G46" s="11">
        <f>D46*'11-Viabilidade'!$K$15</f>
        <v>170.84255451697859</v>
      </c>
      <c r="H46" s="11">
        <f>IF(D46=0,'11-Viabilidade'!$K$16+'11-Viabilidade'!$K$17,('11-Viabilidade'!$L$11)*((1+'11-Viabilidade'!$O$10)^(($C46-1)/12)))</f>
        <v>446.7216425518032</v>
      </c>
      <c r="I46" s="11">
        <f>'12-SAC Viabilidade'!G49</f>
        <v>2312.0695107664224</v>
      </c>
      <c r="J46" s="11">
        <f>'12-SAC Viabilidade'!H49</f>
        <v>217714.2857142858</v>
      </c>
      <c r="K46" s="132">
        <f>(D46-F46)*'11-Viabilidade'!$O$16</f>
        <v>512.5276635509357</v>
      </c>
      <c r="L46" s="11">
        <f t="shared" si="0"/>
        <v>-215.13534162098904</v>
      </c>
      <c r="M46" s="156">
        <f t="shared" si="1"/>
        <v>2096.9341691454338</v>
      </c>
      <c r="N46" s="13"/>
      <c r="O46" s="41"/>
      <c r="P46" s="41">
        <f>IF(B46&lt;='11-Viabilidade'!$G$11,(P45+(P45*'11-Viabilidade'!$H$12)),0)</f>
        <v>0</v>
      </c>
      <c r="Q46" s="41">
        <f>IF(B46='11-Viabilidade'!$G$11,'11-Viabilidade'!$G$16,0)*(1+'11-Viabilidade'!$G$12)^((B46-1)/12)</f>
        <v>0</v>
      </c>
      <c r="R46" s="154">
        <f t="shared" si="2"/>
        <v>0</v>
      </c>
      <c r="S46" s="41">
        <f t="shared" si="5"/>
        <v>39</v>
      </c>
      <c r="T46" s="155">
        <f>IF($S46&lt;'11-Viabilidade'!$C$24,0,$S46-'11-Viabilidade'!$C$24)</f>
        <v>33</v>
      </c>
      <c r="U46" s="11">
        <f>IF(T46&gt;0,'11-Viabilidade'!$K$10,0)*((1+'11-Viabilidade'!$O$10)^(($T46-1)/12))</f>
        <v>3416.8510903395718</v>
      </c>
      <c r="V46" s="11">
        <f>U46*'11-Viabilidade'!$L$12</f>
        <v>189.82506057442063</v>
      </c>
      <c r="W46" s="11">
        <f>U46*'11-Viabilidade'!$K$14</f>
        <v>0</v>
      </c>
      <c r="X46" s="11">
        <f>U46*'11-Viabilidade'!$K$15</f>
        <v>170.84255451697859</v>
      </c>
      <c r="Y46" s="11">
        <f>IF(AND(U46=0,S46=0),0,IF(AND(U46=0,S46&lt;&gt;0),'11-Viabilidade'!$K$16+'11-Viabilidade'!$K$17,('11-Viabilidade'!$L$11)*((1+'11-Viabilidade'!$O$10)^(($C46-1)/12))))</f>
        <v>446.7216425518032</v>
      </c>
      <c r="Z46" s="157">
        <f>IFERROR(VLOOKUP(S46,'12-SAC Viabilidade'!$B$11:$G$430,6,FALSE),0)</f>
        <v>2312.0695107664224</v>
      </c>
      <c r="AA46" s="157">
        <f>IFERROR(VLOOKUP(S46,'12-SAC Viabilidade'!$B$11:$H$430,7,FALSE),0)</f>
        <v>217714.2857142858</v>
      </c>
      <c r="AB46" s="132">
        <f>(U46-W46)*'11-Viabilidade'!$O$16</f>
        <v>512.5276635509357</v>
      </c>
      <c r="AC46" s="11">
        <f t="shared" si="3"/>
        <v>-215.13534162098904</v>
      </c>
      <c r="AD46" s="156">
        <f t="shared" si="4"/>
        <v>2096.9341691454338</v>
      </c>
      <c r="AE46" s="40"/>
      <c r="AF46" s="40"/>
      <c r="AG46" s="40"/>
      <c r="AH46" s="40"/>
    </row>
    <row r="47" spans="1:34" ht="15.75" customHeight="1">
      <c r="A47" s="37"/>
      <c r="B47" s="38">
        <f>IF(AND(B46&gt;0,B46&lt;'11-Viabilidade'!$P$14),B46+1,0)</f>
        <v>40</v>
      </c>
      <c r="C47" s="155">
        <f>IF($B47&lt;'11-Viabilidade'!$C$24,0,$B47-'11-Viabilidade'!$C$24)</f>
        <v>34</v>
      </c>
      <c r="D47" s="11">
        <f>IF(C47&gt;0,'11-Viabilidade'!$K$10,0)*((1+'11-Viabilidade'!$O$10)^(($C47-1)/12))</f>
        <v>3430.7717646319088</v>
      </c>
      <c r="E47" s="11">
        <f>D47*'11-Viabilidade'!$L$12</f>
        <v>190.59843136843938</v>
      </c>
      <c r="F47" s="11">
        <f>D47*'11-Viabilidade'!$K$14</f>
        <v>0</v>
      </c>
      <c r="G47" s="11">
        <f>D47*'11-Viabilidade'!$K$15</f>
        <v>171.53858823159544</v>
      </c>
      <c r="H47" s="11">
        <f>IF(D47=0,'11-Viabilidade'!$K$16+'11-Viabilidade'!$K$17,('11-Viabilidade'!$L$11)*((1+'11-Viabilidade'!$O$10)^(($C47-1)/12)))</f>
        <v>448.54164182039398</v>
      </c>
      <c r="I47" s="11">
        <f>'12-SAC Viabilidade'!G50</f>
        <v>2307.5128590927629</v>
      </c>
      <c r="J47" s="11">
        <f>'12-SAC Viabilidade'!H50</f>
        <v>217142.85714285722</v>
      </c>
      <c r="K47" s="132">
        <f>(D47-F47)*'11-Viabilidade'!$O$16</f>
        <v>514.61576469478632</v>
      </c>
      <c r="L47" s="11">
        <f t="shared" si="0"/>
        <v>-202.0355205760693</v>
      </c>
      <c r="M47" s="156">
        <f t="shared" si="1"/>
        <v>2105.4773385166936</v>
      </c>
      <c r="N47" s="13"/>
      <c r="O47" s="41"/>
      <c r="P47" s="41">
        <f>IF(B47&lt;='11-Viabilidade'!$G$11,(P46+(P46*'11-Viabilidade'!$H$12)),0)</f>
        <v>0</v>
      </c>
      <c r="Q47" s="41">
        <f>IF(B47='11-Viabilidade'!$G$11,'11-Viabilidade'!$G$16,0)*(1+'11-Viabilidade'!$G$12)^((B47-1)/12)</f>
        <v>0</v>
      </c>
      <c r="R47" s="154">
        <f t="shared" si="2"/>
        <v>0</v>
      </c>
      <c r="S47" s="41">
        <f t="shared" si="5"/>
        <v>40</v>
      </c>
      <c r="T47" s="155">
        <f>IF($S47&lt;'11-Viabilidade'!$C$24,0,$S47-'11-Viabilidade'!$C$24)</f>
        <v>34</v>
      </c>
      <c r="U47" s="11">
        <f>IF(T47&gt;0,'11-Viabilidade'!$K$10,0)*((1+'11-Viabilidade'!$O$10)^(($T47-1)/12))</f>
        <v>3430.7717646319088</v>
      </c>
      <c r="V47" s="11">
        <f>U47*'11-Viabilidade'!$L$12</f>
        <v>190.59843136843938</v>
      </c>
      <c r="W47" s="11">
        <f>U47*'11-Viabilidade'!$K$14</f>
        <v>0</v>
      </c>
      <c r="X47" s="11">
        <f>U47*'11-Viabilidade'!$K$15</f>
        <v>171.53858823159544</v>
      </c>
      <c r="Y47" s="11">
        <f>IF(AND(U47=0,S47=0),0,IF(AND(U47=0,S47&lt;&gt;0),'11-Viabilidade'!$K$16+'11-Viabilidade'!$K$17,('11-Viabilidade'!$L$11)*((1+'11-Viabilidade'!$O$10)^(($C47-1)/12))))</f>
        <v>448.54164182039398</v>
      </c>
      <c r="Z47" s="157">
        <f>IFERROR(VLOOKUP(S47,'12-SAC Viabilidade'!$B$11:$G$430,6,FALSE),0)</f>
        <v>2307.5128590927629</v>
      </c>
      <c r="AA47" s="157">
        <f>IFERROR(VLOOKUP(S47,'12-SAC Viabilidade'!$B$11:$H$430,7,FALSE),0)</f>
        <v>217142.85714285722</v>
      </c>
      <c r="AB47" s="132">
        <f>(U47-W47)*'11-Viabilidade'!$O$16</f>
        <v>514.61576469478632</v>
      </c>
      <c r="AC47" s="11">
        <f t="shared" si="3"/>
        <v>-202.0355205760693</v>
      </c>
      <c r="AD47" s="156">
        <f t="shared" si="4"/>
        <v>2105.4773385166936</v>
      </c>
      <c r="AE47" s="40"/>
      <c r="AF47" s="40"/>
      <c r="AG47" s="40"/>
      <c r="AH47" s="40"/>
    </row>
    <row r="48" spans="1:34" ht="15.75" customHeight="1">
      <c r="A48" s="37"/>
      <c r="B48" s="38">
        <f>IF(AND(B47&gt;0,B47&lt;'11-Viabilidade'!$P$14),B47+1,0)</f>
        <v>41</v>
      </c>
      <c r="C48" s="155">
        <f>IF($B48&lt;'11-Viabilidade'!$C$24,0,$B48-'11-Viabilidade'!$C$24)</f>
        <v>35</v>
      </c>
      <c r="D48" s="11">
        <f>IF(C48&gt;0,'11-Viabilidade'!$K$10,0)*((1+'11-Viabilidade'!$O$10)^(($C48-1)/12))</f>
        <v>3444.7491534744649</v>
      </c>
      <c r="E48" s="11">
        <f>D48*'11-Viabilidade'!$L$12</f>
        <v>191.37495297080361</v>
      </c>
      <c r="F48" s="11">
        <f>D48*'11-Viabilidade'!$K$14</f>
        <v>0</v>
      </c>
      <c r="G48" s="11">
        <f>D48*'11-Viabilidade'!$K$15</f>
        <v>172.23745767372327</v>
      </c>
      <c r="H48" s="11">
        <f>IF(D48=0,'11-Viabilidade'!$K$16+'11-Viabilidade'!$K$17,('11-Viabilidade'!$L$11)*((1+'11-Viabilidade'!$O$10)^(($C48-1)/12)))</f>
        <v>450.36905599129108</v>
      </c>
      <c r="I48" s="11">
        <f>'12-SAC Viabilidade'!G51</f>
        <v>2302.9562074191035</v>
      </c>
      <c r="J48" s="11">
        <f>'12-SAC Viabilidade'!H51</f>
        <v>216571.42857142864</v>
      </c>
      <c r="K48" s="132">
        <f>(D48-F48)*'11-Viabilidade'!$O$16</f>
        <v>516.7123730211697</v>
      </c>
      <c r="L48" s="11">
        <f t="shared" si="0"/>
        <v>-188.90089360162619</v>
      </c>
      <c r="M48" s="156">
        <f t="shared" si="1"/>
        <v>2114.0553138174773</v>
      </c>
      <c r="N48" s="13"/>
      <c r="O48" s="41"/>
      <c r="P48" s="41">
        <f>IF(B48&lt;='11-Viabilidade'!$G$11,(P47+(P47*'11-Viabilidade'!$H$12)),0)</f>
        <v>0</v>
      </c>
      <c r="Q48" s="41">
        <f>IF(B48='11-Viabilidade'!$G$11,'11-Viabilidade'!$G$16,0)*(1+'11-Viabilidade'!$G$12)^((B48-1)/12)</f>
        <v>0</v>
      </c>
      <c r="R48" s="154">
        <f t="shared" si="2"/>
        <v>0</v>
      </c>
      <c r="S48" s="41">
        <f t="shared" si="5"/>
        <v>41</v>
      </c>
      <c r="T48" s="155">
        <f>IF($S48&lt;'11-Viabilidade'!$C$24,0,$S48-'11-Viabilidade'!$C$24)</f>
        <v>35</v>
      </c>
      <c r="U48" s="11">
        <f>IF(T48&gt;0,'11-Viabilidade'!$K$10,0)*((1+'11-Viabilidade'!$O$10)^(($T48-1)/12))</f>
        <v>3444.7491534744649</v>
      </c>
      <c r="V48" s="11">
        <f>U48*'11-Viabilidade'!$L$12</f>
        <v>191.37495297080361</v>
      </c>
      <c r="W48" s="11">
        <f>U48*'11-Viabilidade'!$K$14</f>
        <v>0</v>
      </c>
      <c r="X48" s="11">
        <f>U48*'11-Viabilidade'!$K$15</f>
        <v>172.23745767372327</v>
      </c>
      <c r="Y48" s="11">
        <f>IF(AND(U48=0,S48=0),0,IF(AND(U48=0,S48&lt;&gt;0),'11-Viabilidade'!$K$16+'11-Viabilidade'!$K$17,('11-Viabilidade'!$L$11)*((1+'11-Viabilidade'!$O$10)^(($C48-1)/12))))</f>
        <v>450.36905599129108</v>
      </c>
      <c r="Z48" s="157">
        <f>IFERROR(VLOOKUP(S48,'12-SAC Viabilidade'!$B$11:$G$430,6,FALSE),0)</f>
        <v>2302.9562074191035</v>
      </c>
      <c r="AA48" s="157">
        <f>IFERROR(VLOOKUP(S48,'12-SAC Viabilidade'!$B$11:$H$430,7,FALSE),0)</f>
        <v>216571.42857142864</v>
      </c>
      <c r="AB48" s="132">
        <f>(U48-W48)*'11-Viabilidade'!$O$16</f>
        <v>516.7123730211697</v>
      </c>
      <c r="AC48" s="11">
        <f t="shared" si="3"/>
        <v>-188.90089360162619</v>
      </c>
      <c r="AD48" s="156">
        <f t="shared" si="4"/>
        <v>2114.0553138174773</v>
      </c>
      <c r="AE48" s="40"/>
      <c r="AF48" s="40"/>
      <c r="AG48" s="40"/>
      <c r="AH48" s="40"/>
    </row>
    <row r="49" spans="1:34" ht="15.75" customHeight="1">
      <c r="A49" s="37"/>
      <c r="B49" s="38">
        <f>IF(AND(B48&gt;0,B48&lt;'11-Viabilidade'!$P$14),B48+1,0)</f>
        <v>42</v>
      </c>
      <c r="C49" s="155">
        <f>IF($B49&lt;'11-Viabilidade'!$C$24,0,$B49-'11-Viabilidade'!$C$24)</f>
        <v>36</v>
      </c>
      <c r="D49" s="11">
        <f>IF(C49&gt;0,'11-Viabilidade'!$K$10,0)*((1+'11-Viabilidade'!$O$10)^(($C49-1)/12))</f>
        <v>3458.7834879293373</v>
      </c>
      <c r="E49" s="11">
        <f>D49*'11-Viabilidade'!$L$12</f>
        <v>192.1546382182965</v>
      </c>
      <c r="F49" s="11">
        <f>D49*'11-Viabilidade'!$K$14</f>
        <v>0</v>
      </c>
      <c r="G49" s="11">
        <f>D49*'11-Viabilidade'!$K$15</f>
        <v>172.93917439646688</v>
      </c>
      <c r="H49" s="11">
        <f>IF(D49=0,'11-Viabilidade'!$K$16+'11-Viabilidade'!$K$17,('11-Viabilidade'!$L$11)*((1+'11-Viabilidade'!$O$10)^(($C49-1)/12)))</f>
        <v>452.20391527372442</v>
      </c>
      <c r="I49" s="11">
        <f>'12-SAC Viabilidade'!G52</f>
        <v>2298.3995557454446</v>
      </c>
      <c r="J49" s="11">
        <f>'12-SAC Viabilidade'!H52</f>
        <v>216000.00000000006</v>
      </c>
      <c r="K49" s="132">
        <f>(D49-F49)*'11-Viabilidade'!$O$16</f>
        <v>518.81752318940062</v>
      </c>
      <c r="L49" s="11">
        <f t="shared" si="0"/>
        <v>-175.73131889399565</v>
      </c>
      <c r="M49" s="156">
        <f t="shared" si="1"/>
        <v>2122.6682368514489</v>
      </c>
      <c r="N49" s="13"/>
      <c r="O49" s="41"/>
      <c r="P49" s="41">
        <f>IF(B49&lt;='11-Viabilidade'!$G$11,(P48+(P48*'11-Viabilidade'!$H$12)),0)</f>
        <v>0</v>
      </c>
      <c r="Q49" s="41">
        <f>IF(B49='11-Viabilidade'!$G$11,'11-Viabilidade'!$G$16,0)*(1+'11-Viabilidade'!$G$12)^((B49-1)/12)</f>
        <v>0</v>
      </c>
      <c r="R49" s="154">
        <f t="shared" si="2"/>
        <v>0</v>
      </c>
      <c r="S49" s="41">
        <f t="shared" si="5"/>
        <v>42</v>
      </c>
      <c r="T49" s="155">
        <f>IF($S49&lt;'11-Viabilidade'!$C$24,0,$S49-'11-Viabilidade'!$C$24)</f>
        <v>36</v>
      </c>
      <c r="U49" s="11">
        <f>IF(T49&gt;0,'11-Viabilidade'!$K$10,0)*((1+'11-Viabilidade'!$O$10)^(($T49-1)/12))</f>
        <v>3458.7834879293373</v>
      </c>
      <c r="V49" s="11">
        <f>U49*'11-Viabilidade'!$L$12</f>
        <v>192.1546382182965</v>
      </c>
      <c r="W49" s="11">
        <f>U49*'11-Viabilidade'!$K$14</f>
        <v>0</v>
      </c>
      <c r="X49" s="11">
        <f>U49*'11-Viabilidade'!$K$15</f>
        <v>172.93917439646688</v>
      </c>
      <c r="Y49" s="11">
        <f>IF(AND(U49=0,S49=0),0,IF(AND(U49=0,S49&lt;&gt;0),'11-Viabilidade'!$K$16+'11-Viabilidade'!$K$17,('11-Viabilidade'!$L$11)*((1+'11-Viabilidade'!$O$10)^(($C49-1)/12))))</f>
        <v>452.20391527372442</v>
      </c>
      <c r="Z49" s="157">
        <f>IFERROR(VLOOKUP(S49,'12-SAC Viabilidade'!$B$11:$G$430,6,FALSE),0)</f>
        <v>2298.3995557454446</v>
      </c>
      <c r="AA49" s="157">
        <f>IFERROR(VLOOKUP(S49,'12-SAC Viabilidade'!$B$11:$H$430,7,FALSE),0)</f>
        <v>216000.00000000006</v>
      </c>
      <c r="AB49" s="132">
        <f>(U49-W49)*'11-Viabilidade'!$O$16</f>
        <v>518.81752318940062</v>
      </c>
      <c r="AC49" s="11">
        <f t="shared" si="3"/>
        <v>-175.73131889399565</v>
      </c>
      <c r="AD49" s="156">
        <f t="shared" si="4"/>
        <v>2122.6682368514489</v>
      </c>
      <c r="AE49" s="40"/>
      <c r="AF49" s="40"/>
      <c r="AG49" s="40"/>
      <c r="AH49" s="40"/>
    </row>
    <row r="50" spans="1:34" ht="15.75" customHeight="1">
      <c r="A50" s="37"/>
      <c r="B50" s="38">
        <f>IF(AND(B49&gt;0,B49&lt;'11-Viabilidade'!$P$14),B49+1,0)</f>
        <v>43</v>
      </c>
      <c r="C50" s="155">
        <f>IF($B50&lt;'11-Viabilidade'!$C$24,0,$B50-'11-Viabilidade'!$C$24)</f>
        <v>37</v>
      </c>
      <c r="D50" s="11">
        <f>IF(C50&gt;0,'11-Viabilidade'!$K$10,0)*((1+'11-Viabilidade'!$O$10)^(($C50-1)/12))</f>
        <v>3472.8750000000005</v>
      </c>
      <c r="E50" s="11">
        <f>D50*'11-Viabilidade'!$L$12</f>
        <v>192.93750000000003</v>
      </c>
      <c r="F50" s="11">
        <f>D50*'11-Viabilidade'!$K$14</f>
        <v>0</v>
      </c>
      <c r="G50" s="11">
        <f>D50*'11-Viabilidade'!$K$15</f>
        <v>173.64375000000004</v>
      </c>
      <c r="H50" s="11">
        <f>IF(D50=0,'11-Viabilidade'!$K$16+'11-Viabilidade'!$K$17,('11-Viabilidade'!$L$11)*((1+'11-Viabilidade'!$O$10)^(($C50-1)/12)))</f>
        <v>454.04624999999999</v>
      </c>
      <c r="I50" s="11">
        <f>'12-SAC Viabilidade'!G53</f>
        <v>2293.8429040717851</v>
      </c>
      <c r="J50" s="11">
        <f>'12-SAC Viabilidade'!H53</f>
        <v>215428.57142857148</v>
      </c>
      <c r="K50" s="132">
        <f>(D50-F50)*'11-Viabilidade'!$O$16</f>
        <v>520.93125000000009</v>
      </c>
      <c r="L50" s="11">
        <f t="shared" si="0"/>
        <v>-162.52665407178483</v>
      </c>
      <c r="M50" s="156">
        <f t="shared" si="1"/>
        <v>2131.3162500000003</v>
      </c>
      <c r="N50" s="13"/>
      <c r="O50" s="41"/>
      <c r="P50" s="41">
        <f>IF(B50&lt;='11-Viabilidade'!$G$11,(P49+(P49*'11-Viabilidade'!$H$12)),0)</f>
        <v>0</v>
      </c>
      <c r="Q50" s="41">
        <f>IF(B50='11-Viabilidade'!$G$11,'11-Viabilidade'!$G$16,0)*(1+'11-Viabilidade'!$G$12)^((B50-1)/12)</f>
        <v>0</v>
      </c>
      <c r="R50" s="154">
        <f t="shared" si="2"/>
        <v>0</v>
      </c>
      <c r="S50" s="41">
        <f t="shared" si="5"/>
        <v>43</v>
      </c>
      <c r="T50" s="155">
        <f>IF($S50&lt;'11-Viabilidade'!$C$24,0,$S50-'11-Viabilidade'!$C$24)</f>
        <v>37</v>
      </c>
      <c r="U50" s="11">
        <f>IF(T50&gt;0,'11-Viabilidade'!$K$10,0)*((1+'11-Viabilidade'!$O$10)^(($T50-1)/12))</f>
        <v>3472.8750000000005</v>
      </c>
      <c r="V50" s="11">
        <f>U50*'11-Viabilidade'!$L$12</f>
        <v>192.93750000000003</v>
      </c>
      <c r="W50" s="11">
        <f>U50*'11-Viabilidade'!$K$14</f>
        <v>0</v>
      </c>
      <c r="X50" s="11">
        <f>U50*'11-Viabilidade'!$K$15</f>
        <v>173.64375000000004</v>
      </c>
      <c r="Y50" s="11">
        <f>IF(AND(U50=0,S50=0),0,IF(AND(U50=0,S50&lt;&gt;0),'11-Viabilidade'!$K$16+'11-Viabilidade'!$K$17,('11-Viabilidade'!$L$11)*((1+'11-Viabilidade'!$O$10)^(($C50-1)/12))))</f>
        <v>454.04624999999999</v>
      </c>
      <c r="Z50" s="157">
        <f>IFERROR(VLOOKUP(S50,'12-SAC Viabilidade'!$B$11:$G$430,6,FALSE),0)</f>
        <v>2293.8429040717851</v>
      </c>
      <c r="AA50" s="157">
        <f>IFERROR(VLOOKUP(S50,'12-SAC Viabilidade'!$B$11:$H$430,7,FALSE),0)</f>
        <v>215428.57142857148</v>
      </c>
      <c r="AB50" s="132">
        <f>(U50-W50)*'11-Viabilidade'!$O$16</f>
        <v>520.93125000000009</v>
      </c>
      <c r="AC50" s="11">
        <f t="shared" si="3"/>
        <v>-162.52665407178483</v>
      </c>
      <c r="AD50" s="156">
        <f t="shared" si="4"/>
        <v>2131.3162500000003</v>
      </c>
      <c r="AE50" s="40"/>
      <c r="AF50" s="40"/>
      <c r="AG50" s="40"/>
      <c r="AH50" s="40"/>
    </row>
    <row r="51" spans="1:34" ht="15.75" customHeight="1">
      <c r="A51" s="37"/>
      <c r="B51" s="38">
        <f>IF(AND(B50&gt;0,B50&lt;'11-Viabilidade'!$P$14),B50+1,0)</f>
        <v>44</v>
      </c>
      <c r="C51" s="155">
        <f>IF($B51&lt;'11-Viabilidade'!$C$24,0,$B51-'11-Viabilidade'!$C$24)</f>
        <v>38</v>
      </c>
      <c r="D51" s="11">
        <f>IF(C51&gt;0,'11-Viabilidade'!$K$10,0)*((1+'11-Viabilidade'!$O$10)^(($C51-1)/12))</f>
        <v>3487.0239226351378</v>
      </c>
      <c r="E51" s="11">
        <f>D51*'11-Viabilidade'!$L$12</f>
        <v>193.72355125750764</v>
      </c>
      <c r="F51" s="11">
        <f>D51*'11-Viabilidade'!$K$14</f>
        <v>0</v>
      </c>
      <c r="G51" s="11">
        <f>D51*'11-Viabilidade'!$K$15</f>
        <v>174.35119613175689</v>
      </c>
      <c r="H51" s="11">
        <f>IF(D51=0,'11-Viabilidade'!$K$16+'11-Viabilidade'!$K$17,('11-Viabilidade'!$L$11)*((1+'11-Viabilidade'!$O$10)^(($C51-1)/12)))</f>
        <v>455.8960906260013</v>
      </c>
      <c r="I51" s="11">
        <f>'12-SAC Viabilidade'!G54</f>
        <v>2289.2862523981257</v>
      </c>
      <c r="J51" s="11">
        <f>'12-SAC Viabilidade'!H54</f>
        <v>214857.1428571429</v>
      </c>
      <c r="K51" s="132">
        <f>(D51-F51)*'11-Viabilidade'!$O$16</f>
        <v>523.05358839527059</v>
      </c>
      <c r="L51" s="11">
        <f t="shared" si="0"/>
        <v>-149.28675617352474</v>
      </c>
      <c r="M51" s="156">
        <f t="shared" si="1"/>
        <v>2139.9994962246014</v>
      </c>
      <c r="N51" s="13"/>
      <c r="O51" s="41"/>
      <c r="P51" s="41">
        <f>IF(B51&lt;='11-Viabilidade'!$G$11,(P50+(P50*'11-Viabilidade'!$H$12)),0)</f>
        <v>0</v>
      </c>
      <c r="Q51" s="41">
        <f>IF(B51='11-Viabilidade'!$G$11,'11-Viabilidade'!$G$16,0)*(1+'11-Viabilidade'!$G$12)^((B51-1)/12)</f>
        <v>0</v>
      </c>
      <c r="R51" s="154">
        <f t="shared" si="2"/>
        <v>0</v>
      </c>
      <c r="S51" s="41">
        <f t="shared" si="5"/>
        <v>44</v>
      </c>
      <c r="T51" s="155">
        <f>IF($S51&lt;'11-Viabilidade'!$C$24,0,$S51-'11-Viabilidade'!$C$24)</f>
        <v>38</v>
      </c>
      <c r="U51" s="11">
        <f>IF(T51&gt;0,'11-Viabilidade'!$K$10,0)*((1+'11-Viabilidade'!$O$10)^(($T51-1)/12))</f>
        <v>3487.0239226351378</v>
      </c>
      <c r="V51" s="11">
        <f>U51*'11-Viabilidade'!$L$12</f>
        <v>193.72355125750764</v>
      </c>
      <c r="W51" s="11">
        <f>U51*'11-Viabilidade'!$K$14</f>
        <v>0</v>
      </c>
      <c r="X51" s="11">
        <f>U51*'11-Viabilidade'!$K$15</f>
        <v>174.35119613175689</v>
      </c>
      <c r="Y51" s="11">
        <f>IF(AND(U51=0,S51=0),0,IF(AND(U51=0,S51&lt;&gt;0),'11-Viabilidade'!$K$16+'11-Viabilidade'!$K$17,('11-Viabilidade'!$L$11)*((1+'11-Viabilidade'!$O$10)^(($C51-1)/12))))</f>
        <v>455.8960906260013</v>
      </c>
      <c r="Z51" s="157">
        <f>IFERROR(VLOOKUP(S51,'12-SAC Viabilidade'!$B$11:$G$430,6,FALSE),0)</f>
        <v>2289.2862523981257</v>
      </c>
      <c r="AA51" s="157">
        <f>IFERROR(VLOOKUP(S51,'12-SAC Viabilidade'!$B$11:$H$430,7,FALSE),0)</f>
        <v>214857.1428571429</v>
      </c>
      <c r="AB51" s="132">
        <f>(U51-W51)*'11-Viabilidade'!$O$16</f>
        <v>523.05358839527059</v>
      </c>
      <c r="AC51" s="11">
        <f t="shared" si="3"/>
        <v>-149.28675617352474</v>
      </c>
      <c r="AD51" s="156">
        <f t="shared" si="4"/>
        <v>2139.9994962246014</v>
      </c>
      <c r="AE51" s="40"/>
      <c r="AF51" s="40"/>
      <c r="AG51" s="40"/>
      <c r="AH51" s="40"/>
    </row>
    <row r="52" spans="1:34" ht="15.75" customHeight="1">
      <c r="A52" s="37"/>
      <c r="B52" s="38">
        <f>IF(AND(B51&gt;0,B51&lt;'11-Viabilidade'!$P$14),B51+1,0)</f>
        <v>45</v>
      </c>
      <c r="C52" s="155">
        <f>IF($B52&lt;'11-Viabilidade'!$C$24,0,$B52-'11-Viabilidade'!$C$24)</f>
        <v>39</v>
      </c>
      <c r="D52" s="11">
        <f>IF(C52&gt;0,'11-Viabilidade'!$K$10,0)*((1+'11-Viabilidade'!$O$10)^(($C52-1)/12))</f>
        <v>3501.2304897324962</v>
      </c>
      <c r="E52" s="11">
        <f>D52*'11-Viabilidade'!$L$12</f>
        <v>194.51280498513867</v>
      </c>
      <c r="F52" s="11">
        <f>D52*'11-Viabilidade'!$K$14</f>
        <v>0</v>
      </c>
      <c r="G52" s="11">
        <f>D52*'11-Viabilidade'!$K$15</f>
        <v>175.06152448662482</v>
      </c>
      <c r="H52" s="11">
        <f>IF(D52=0,'11-Viabilidade'!$K$16+'11-Viabilidade'!$K$17,('11-Viabilidade'!$L$11)*((1+'11-Viabilidade'!$O$10)^(($C52-1)/12)))</f>
        <v>457.75346773169298</v>
      </c>
      <c r="I52" s="11">
        <f>'12-SAC Viabilidade'!G55</f>
        <v>2284.7296007244663</v>
      </c>
      <c r="J52" s="11">
        <f>'12-SAC Viabilidade'!H55</f>
        <v>214285.71428571432</v>
      </c>
      <c r="K52" s="132">
        <f>(D52-F52)*'11-Viabilidade'!$O$16</f>
        <v>525.1845734598744</v>
      </c>
      <c r="L52" s="11">
        <f t="shared" si="0"/>
        <v>-136.01148165530094</v>
      </c>
      <c r="M52" s="156">
        <f t="shared" si="1"/>
        <v>2148.7181190691654</v>
      </c>
      <c r="N52" s="13"/>
      <c r="O52" s="41"/>
      <c r="P52" s="41">
        <f>IF(B52&lt;='11-Viabilidade'!$G$11,(P51+(P51*'11-Viabilidade'!$H$12)),0)</f>
        <v>0</v>
      </c>
      <c r="Q52" s="41">
        <f>IF(B52='11-Viabilidade'!$G$11,'11-Viabilidade'!$G$16,0)*(1+'11-Viabilidade'!$G$12)^((B52-1)/12)</f>
        <v>0</v>
      </c>
      <c r="R52" s="154">
        <f t="shared" si="2"/>
        <v>0</v>
      </c>
      <c r="S52" s="41">
        <f t="shared" si="5"/>
        <v>45</v>
      </c>
      <c r="T52" s="155">
        <f>IF($S52&lt;'11-Viabilidade'!$C$24,0,$S52-'11-Viabilidade'!$C$24)</f>
        <v>39</v>
      </c>
      <c r="U52" s="11">
        <f>IF(T52&gt;0,'11-Viabilidade'!$K$10,0)*((1+'11-Viabilidade'!$O$10)^(($T52-1)/12))</f>
        <v>3501.2304897324962</v>
      </c>
      <c r="V52" s="11">
        <f>U52*'11-Viabilidade'!$L$12</f>
        <v>194.51280498513867</v>
      </c>
      <c r="W52" s="11">
        <f>U52*'11-Viabilidade'!$K$14</f>
        <v>0</v>
      </c>
      <c r="X52" s="11">
        <f>U52*'11-Viabilidade'!$K$15</f>
        <v>175.06152448662482</v>
      </c>
      <c r="Y52" s="11">
        <f>IF(AND(U52=0,S52=0),0,IF(AND(U52=0,S52&lt;&gt;0),'11-Viabilidade'!$K$16+'11-Viabilidade'!$K$17,('11-Viabilidade'!$L$11)*((1+'11-Viabilidade'!$O$10)^(($C52-1)/12))))</f>
        <v>457.75346773169298</v>
      </c>
      <c r="Z52" s="157">
        <f>IFERROR(VLOOKUP(S52,'12-SAC Viabilidade'!$B$11:$G$430,6,FALSE),0)</f>
        <v>2284.7296007244663</v>
      </c>
      <c r="AA52" s="157">
        <f>IFERROR(VLOOKUP(S52,'12-SAC Viabilidade'!$B$11:$H$430,7,FALSE),0)</f>
        <v>214285.71428571432</v>
      </c>
      <c r="AB52" s="132">
        <f>(U52-W52)*'11-Viabilidade'!$O$16</f>
        <v>525.1845734598744</v>
      </c>
      <c r="AC52" s="11">
        <f t="shared" si="3"/>
        <v>-136.01148165530094</v>
      </c>
      <c r="AD52" s="156">
        <f t="shared" si="4"/>
        <v>2148.7181190691654</v>
      </c>
      <c r="AE52" s="40"/>
      <c r="AF52" s="40"/>
      <c r="AG52" s="40"/>
      <c r="AH52" s="40"/>
    </row>
    <row r="53" spans="1:34" ht="15.75" customHeight="1">
      <c r="A53" s="37"/>
      <c r="B53" s="38">
        <f>IF(AND(B52&gt;0,B52&lt;'11-Viabilidade'!$P$14),B52+1,0)</f>
        <v>46</v>
      </c>
      <c r="C53" s="155">
        <f>IF($B53&lt;'11-Viabilidade'!$C$24,0,$B53-'11-Viabilidade'!$C$24)</f>
        <v>40</v>
      </c>
      <c r="D53" s="11">
        <f>IF(C53&gt;0,'11-Viabilidade'!$K$10,0)*((1+'11-Viabilidade'!$O$10)^(($C53-1)/12))</f>
        <v>3515.4949361427502</v>
      </c>
      <c r="E53" s="11">
        <f>D53*'11-Viabilidade'!$L$12</f>
        <v>195.30527423015278</v>
      </c>
      <c r="F53" s="11">
        <f>D53*'11-Viabilidade'!$K$14</f>
        <v>0</v>
      </c>
      <c r="G53" s="11">
        <f>D53*'11-Viabilidade'!$K$15</f>
        <v>175.77474680713752</v>
      </c>
      <c r="H53" s="11">
        <f>IF(D53=0,'11-Viabilidade'!$K$16+'11-Viabilidade'!$K$17,('11-Viabilidade'!$L$11)*((1+'11-Viabilidade'!$O$10)^(($C53-1)/12)))</f>
        <v>459.61841202162617</v>
      </c>
      <c r="I53" s="11">
        <f>'12-SAC Viabilidade'!G56</f>
        <v>2280.1729490508069</v>
      </c>
      <c r="J53" s="11">
        <f>'12-SAC Viabilidade'!H56</f>
        <v>213714.28571428574</v>
      </c>
      <c r="K53" s="132">
        <f>(D53-F53)*'11-Viabilidade'!$O$16</f>
        <v>527.32424042141247</v>
      </c>
      <c r="L53" s="11">
        <f t="shared" si="0"/>
        <v>-122.70068638838575</v>
      </c>
      <c r="M53" s="156">
        <f t="shared" si="1"/>
        <v>2157.4722626624216</v>
      </c>
      <c r="N53" s="13"/>
      <c r="O53" s="41"/>
      <c r="P53" s="41">
        <f>IF(B53&lt;='11-Viabilidade'!$G$11,(P52+(P52*'11-Viabilidade'!$H$12)),0)</f>
        <v>0</v>
      </c>
      <c r="Q53" s="41">
        <f>IF(B53='11-Viabilidade'!$G$11,'11-Viabilidade'!$G$16,0)*(1+'11-Viabilidade'!$G$12)^((B53-1)/12)</f>
        <v>0</v>
      </c>
      <c r="R53" s="154">
        <f t="shared" si="2"/>
        <v>0</v>
      </c>
      <c r="S53" s="41">
        <f t="shared" si="5"/>
        <v>46</v>
      </c>
      <c r="T53" s="155">
        <f>IF($S53&lt;'11-Viabilidade'!$C$24,0,$S53-'11-Viabilidade'!$C$24)</f>
        <v>40</v>
      </c>
      <c r="U53" s="11">
        <f>IF(T53&gt;0,'11-Viabilidade'!$K$10,0)*((1+'11-Viabilidade'!$O$10)^(($T53-1)/12))</f>
        <v>3515.4949361427502</v>
      </c>
      <c r="V53" s="11">
        <f>U53*'11-Viabilidade'!$L$12</f>
        <v>195.30527423015278</v>
      </c>
      <c r="W53" s="11">
        <f>U53*'11-Viabilidade'!$K$14</f>
        <v>0</v>
      </c>
      <c r="X53" s="11">
        <f>U53*'11-Viabilidade'!$K$15</f>
        <v>175.77474680713752</v>
      </c>
      <c r="Y53" s="11">
        <f>IF(AND(U53=0,S53=0),0,IF(AND(U53=0,S53&lt;&gt;0),'11-Viabilidade'!$K$16+'11-Viabilidade'!$K$17,('11-Viabilidade'!$L$11)*((1+'11-Viabilidade'!$O$10)^(($C53-1)/12))))</f>
        <v>459.61841202162617</v>
      </c>
      <c r="Z53" s="157">
        <f>IFERROR(VLOOKUP(S53,'12-SAC Viabilidade'!$B$11:$G$430,6,FALSE),0)</f>
        <v>2280.1729490508069</v>
      </c>
      <c r="AA53" s="157">
        <f>IFERROR(VLOOKUP(S53,'12-SAC Viabilidade'!$B$11:$H$430,7,FALSE),0)</f>
        <v>213714.28571428574</v>
      </c>
      <c r="AB53" s="132">
        <f>(U53-W53)*'11-Viabilidade'!$O$16</f>
        <v>527.32424042141247</v>
      </c>
      <c r="AC53" s="11">
        <f t="shared" si="3"/>
        <v>-122.70068638838575</v>
      </c>
      <c r="AD53" s="156">
        <f t="shared" si="4"/>
        <v>2157.4722626624216</v>
      </c>
      <c r="AE53" s="40"/>
      <c r="AF53" s="40"/>
      <c r="AG53" s="40"/>
      <c r="AH53" s="40"/>
    </row>
    <row r="54" spans="1:34" ht="15.75" customHeight="1">
      <c r="A54" s="37"/>
      <c r="B54" s="38">
        <f>IF(AND(B53&gt;0,B53&lt;'11-Viabilidade'!$P$14),B53+1,0)</f>
        <v>47</v>
      </c>
      <c r="C54" s="155">
        <f>IF($B54&lt;'11-Viabilidade'!$C$24,0,$B54-'11-Viabilidade'!$C$24)</f>
        <v>41</v>
      </c>
      <c r="D54" s="11">
        <f>IF(C54&gt;0,'11-Viabilidade'!$K$10,0)*((1+'11-Viabilidade'!$O$10)^(($C54-1)/12))</f>
        <v>3529.8174976733844</v>
      </c>
      <c r="E54" s="11">
        <f>D54*'11-Viabilidade'!$L$12</f>
        <v>196.1009720929658</v>
      </c>
      <c r="F54" s="11">
        <f>D54*'11-Viabilidade'!$K$14</f>
        <v>0</v>
      </c>
      <c r="G54" s="11">
        <f>D54*'11-Viabilidade'!$K$15</f>
        <v>176.49087488366922</v>
      </c>
      <c r="H54" s="11">
        <f>IF(D54=0,'11-Viabilidade'!$K$16+'11-Viabilidade'!$K$17,('11-Viabilidade'!$L$11)*((1+'11-Viabilidade'!$O$10)^(($C54-1)/12)))</f>
        <v>461.49095432544613</v>
      </c>
      <c r="I54" s="11">
        <f>'12-SAC Viabilidade'!G57</f>
        <v>2275.6162973771475</v>
      </c>
      <c r="J54" s="11">
        <f>'12-SAC Viabilidade'!H57</f>
        <v>213142.85714285716</v>
      </c>
      <c r="K54" s="132">
        <f>(D54-F54)*'11-Viabilidade'!$O$16</f>
        <v>529.47262465100766</v>
      </c>
      <c r="L54" s="11">
        <f t="shared" si="0"/>
        <v>-109.35422565685212</v>
      </c>
      <c r="M54" s="156">
        <f t="shared" si="1"/>
        <v>2166.2620717202954</v>
      </c>
      <c r="N54" s="13"/>
      <c r="O54" s="41"/>
      <c r="P54" s="41">
        <f>IF(B54&lt;='11-Viabilidade'!$G$11,(P53+(P53*'11-Viabilidade'!$H$12)),0)</f>
        <v>0</v>
      </c>
      <c r="Q54" s="41">
        <f>IF(B54='11-Viabilidade'!$G$11,'11-Viabilidade'!$G$16,0)*(1+'11-Viabilidade'!$G$12)^((B54-1)/12)</f>
        <v>0</v>
      </c>
      <c r="R54" s="154">
        <f t="shared" si="2"/>
        <v>0</v>
      </c>
      <c r="S54" s="41">
        <f t="shared" si="5"/>
        <v>47</v>
      </c>
      <c r="T54" s="155">
        <f>IF($S54&lt;'11-Viabilidade'!$C$24,0,$S54-'11-Viabilidade'!$C$24)</f>
        <v>41</v>
      </c>
      <c r="U54" s="11">
        <f>IF(T54&gt;0,'11-Viabilidade'!$K$10,0)*((1+'11-Viabilidade'!$O$10)^(($T54-1)/12))</f>
        <v>3529.8174976733844</v>
      </c>
      <c r="V54" s="11">
        <f>U54*'11-Viabilidade'!$L$12</f>
        <v>196.1009720929658</v>
      </c>
      <c r="W54" s="11">
        <f>U54*'11-Viabilidade'!$K$14</f>
        <v>0</v>
      </c>
      <c r="X54" s="11">
        <f>U54*'11-Viabilidade'!$K$15</f>
        <v>176.49087488366922</v>
      </c>
      <c r="Y54" s="11">
        <f>IF(AND(U54=0,S54=0),0,IF(AND(U54=0,S54&lt;&gt;0),'11-Viabilidade'!$K$16+'11-Viabilidade'!$K$17,('11-Viabilidade'!$L$11)*((1+'11-Viabilidade'!$O$10)^(($C54-1)/12))))</f>
        <v>461.49095432544613</v>
      </c>
      <c r="Z54" s="157">
        <f>IFERROR(VLOOKUP(S54,'12-SAC Viabilidade'!$B$11:$G$430,6,FALSE),0)</f>
        <v>2275.6162973771475</v>
      </c>
      <c r="AA54" s="157">
        <f>IFERROR(VLOOKUP(S54,'12-SAC Viabilidade'!$B$11:$H$430,7,FALSE),0)</f>
        <v>213142.85714285716</v>
      </c>
      <c r="AB54" s="132">
        <f>(U54-W54)*'11-Viabilidade'!$O$16</f>
        <v>529.47262465100766</v>
      </c>
      <c r="AC54" s="11">
        <f t="shared" si="3"/>
        <v>-109.35422565685212</v>
      </c>
      <c r="AD54" s="156">
        <f t="shared" si="4"/>
        <v>2166.2620717202954</v>
      </c>
      <c r="AE54" s="40"/>
      <c r="AF54" s="40"/>
      <c r="AG54" s="40"/>
      <c r="AH54" s="40"/>
    </row>
    <row r="55" spans="1:34" ht="15.75" customHeight="1">
      <c r="A55" s="158" t="s">
        <v>236</v>
      </c>
      <c r="B55" s="159">
        <f>IF(AND(B54&gt;0,B54&lt;'11-Viabilidade'!$P$14),B54+1,0)</f>
        <v>48</v>
      </c>
      <c r="C55" s="160">
        <f>IF($B55&lt;'11-Viabilidade'!$C$24,0,$B55-'11-Viabilidade'!$C$24)</f>
        <v>42</v>
      </c>
      <c r="D55" s="161">
        <f>IF(C55&gt;0,'11-Viabilidade'!$K$10,0)*((1+'11-Viabilidade'!$O$10)^(($C55-1)/12))</f>
        <v>3544.1984110925937</v>
      </c>
      <c r="E55" s="161">
        <f>D55*'11-Viabilidade'!$L$12</f>
        <v>196.89991172736632</v>
      </c>
      <c r="F55" s="161">
        <f>D55*'11-Viabilidade'!$K$14</f>
        <v>0</v>
      </c>
      <c r="G55" s="161">
        <f>D55*'11-Viabilidade'!$K$15</f>
        <v>177.20992055462969</v>
      </c>
      <c r="H55" s="11">
        <f>IF(D55=0,'11-Viabilidade'!$K$16+'11-Viabilidade'!$K$17,('11-Viabilidade'!$L$11)*((1+'11-Viabilidade'!$O$10)^(($C55-1)/12)))</f>
        <v>463.37112559840199</v>
      </c>
      <c r="I55" s="161">
        <f>'12-SAC Viabilidade'!G58</f>
        <v>2271.0596457034881</v>
      </c>
      <c r="J55" s="161">
        <f>'12-SAC Viabilidade'!H58</f>
        <v>212571.42857142858</v>
      </c>
      <c r="K55" s="162">
        <f>(D55-F55)*'11-Viabilidade'!$O$16</f>
        <v>531.62976166388898</v>
      </c>
      <c r="L55" s="161">
        <f t="shared" si="0"/>
        <v>-95.971954155181265</v>
      </c>
      <c r="M55" s="163">
        <f t="shared" si="1"/>
        <v>2175.0876915483068</v>
      </c>
      <c r="N55" s="164"/>
      <c r="O55" s="165"/>
      <c r="P55" s="165">
        <f>IF(B55&lt;='11-Viabilidade'!$G$11,(P54+(P54*'11-Viabilidade'!$H$12)),0)</f>
        <v>0</v>
      </c>
      <c r="Q55" s="165">
        <f>IF(B55='11-Viabilidade'!$G$11,'11-Viabilidade'!$G$16,0)*(1+'11-Viabilidade'!$G$12)^((B55-1)/12)</f>
        <v>0</v>
      </c>
      <c r="R55" s="166">
        <f t="shared" si="2"/>
        <v>0</v>
      </c>
      <c r="S55" s="165">
        <f t="shared" si="5"/>
        <v>48</v>
      </c>
      <c r="T55" s="160">
        <f>IF($S55&lt;'11-Viabilidade'!$C$24,0,$S55-'11-Viabilidade'!$C$24)</f>
        <v>42</v>
      </c>
      <c r="U55" s="161">
        <f>IF(T55&gt;0,'11-Viabilidade'!$K$10,0)*((1+'11-Viabilidade'!$O$10)^(($T55-1)/12))</f>
        <v>3544.1984110925937</v>
      </c>
      <c r="V55" s="161">
        <f>U55*'11-Viabilidade'!$L$12</f>
        <v>196.89991172736632</v>
      </c>
      <c r="W55" s="161">
        <f>U55*'11-Viabilidade'!$K$14</f>
        <v>0</v>
      </c>
      <c r="X55" s="161">
        <f>U55*'11-Viabilidade'!$K$15</f>
        <v>177.20992055462969</v>
      </c>
      <c r="Y55" s="11">
        <f>IF(AND(U55=0,S55=0),0,IF(AND(U55=0,S55&lt;&gt;0),'11-Viabilidade'!$K$16+'11-Viabilidade'!$K$17,('11-Viabilidade'!$L$11)*((1+'11-Viabilidade'!$O$10)^(($C55-1)/12))))</f>
        <v>463.37112559840199</v>
      </c>
      <c r="Z55" s="168">
        <f>IFERROR(VLOOKUP(S55,'12-SAC Viabilidade'!$B$11:$G$430,6,FALSE),0)</f>
        <v>2271.0596457034881</v>
      </c>
      <c r="AA55" s="168">
        <f>IFERROR(VLOOKUP(S55,'12-SAC Viabilidade'!$B$11:$H$430,7,FALSE),0)</f>
        <v>212571.42857142858</v>
      </c>
      <c r="AB55" s="162">
        <f>(U55-W55)*'11-Viabilidade'!$O$16</f>
        <v>531.62976166388898</v>
      </c>
      <c r="AC55" s="161">
        <f t="shared" si="3"/>
        <v>-95.971954155181265</v>
      </c>
      <c r="AD55" s="163">
        <f t="shared" si="4"/>
        <v>2175.0876915483068</v>
      </c>
      <c r="AE55" s="169"/>
      <c r="AF55" s="169"/>
      <c r="AG55" s="169"/>
      <c r="AH55" s="169"/>
    </row>
    <row r="56" spans="1:34" ht="15.75" customHeight="1">
      <c r="A56" s="37"/>
      <c r="B56" s="38">
        <f>IF(AND(B55&gt;0,B55&lt;'11-Viabilidade'!$P$14),B55+1,0)</f>
        <v>49</v>
      </c>
      <c r="C56" s="155">
        <f>IF($B56&lt;'11-Viabilidade'!$C$24,0,$B56-'11-Viabilidade'!$C$24)</f>
        <v>43</v>
      </c>
      <c r="D56" s="11">
        <f>IF(C56&gt;0,'11-Viabilidade'!$K$10,0)*((1+'11-Viabilidade'!$O$10)^(($C56-1)/12))</f>
        <v>3558.637914133195</v>
      </c>
      <c r="E56" s="11">
        <f>D56*'11-Viabilidade'!$L$12</f>
        <v>197.70210634073305</v>
      </c>
      <c r="F56" s="11">
        <f>D56*'11-Viabilidade'!$K$14</f>
        <v>0</v>
      </c>
      <c r="G56" s="11">
        <f>D56*'11-Viabilidade'!$K$15</f>
        <v>177.93189570665976</v>
      </c>
      <c r="H56" s="11">
        <f>IF(D56=0,'11-Viabilidade'!$K$16+'11-Viabilidade'!$K$17,('11-Viabilidade'!$L$11)*((1+'11-Viabilidade'!$O$10)^(($C56-1)/12)))</f>
        <v>465.25895692185838</v>
      </c>
      <c r="I56" s="11">
        <f>'12-SAC Viabilidade'!G59</f>
        <v>2266.5029940298286</v>
      </c>
      <c r="J56" s="11">
        <f>'12-SAC Viabilidade'!H59</f>
        <v>212000</v>
      </c>
      <c r="K56" s="132">
        <f>(D56-F56)*'11-Viabilidade'!$O$16</f>
        <v>533.79568711997922</v>
      </c>
      <c r="L56" s="11">
        <f t="shared" si="0"/>
        <v>-82.553725985864276</v>
      </c>
      <c r="M56" s="156">
        <f t="shared" si="1"/>
        <v>2183.9492680439644</v>
      </c>
      <c r="N56" s="13"/>
      <c r="O56" s="41"/>
      <c r="P56" s="41">
        <f>IF(B56&lt;='11-Viabilidade'!$G$11,(P55+(P55*'11-Viabilidade'!$H$12)),0)</f>
        <v>0</v>
      </c>
      <c r="Q56" s="41">
        <f>IF(B56='11-Viabilidade'!$G$11,'11-Viabilidade'!$G$16,0)*(1+'11-Viabilidade'!$G$12)^((B56-1)/12)</f>
        <v>0</v>
      </c>
      <c r="R56" s="154">
        <f t="shared" si="2"/>
        <v>0</v>
      </c>
      <c r="S56" s="41">
        <f t="shared" si="5"/>
        <v>49</v>
      </c>
      <c r="T56" s="155">
        <f>IF($S56&lt;'11-Viabilidade'!$C$24,0,$S56-'11-Viabilidade'!$C$24)</f>
        <v>43</v>
      </c>
      <c r="U56" s="11">
        <f>IF(T56&gt;0,'11-Viabilidade'!$K$10,0)*((1+'11-Viabilidade'!$O$10)^(($T56-1)/12))</f>
        <v>3558.637914133195</v>
      </c>
      <c r="V56" s="11">
        <f>U56*'11-Viabilidade'!$L$12</f>
        <v>197.70210634073305</v>
      </c>
      <c r="W56" s="11">
        <f>U56*'11-Viabilidade'!$K$14</f>
        <v>0</v>
      </c>
      <c r="X56" s="11">
        <f>U56*'11-Viabilidade'!$K$15</f>
        <v>177.93189570665976</v>
      </c>
      <c r="Y56" s="11">
        <f>IF(AND(U56=0,S56=0),0,IF(AND(U56=0,S56&lt;&gt;0),'11-Viabilidade'!$K$16+'11-Viabilidade'!$K$17,('11-Viabilidade'!$L$11)*((1+'11-Viabilidade'!$O$10)^(($C56-1)/12))))</f>
        <v>465.25895692185838</v>
      </c>
      <c r="Z56" s="157">
        <f>IFERROR(VLOOKUP(S56,'12-SAC Viabilidade'!$B$11:$G$430,6,FALSE),0)</f>
        <v>2266.5029940298286</v>
      </c>
      <c r="AA56" s="157">
        <f>IFERROR(VLOOKUP(S56,'12-SAC Viabilidade'!$B$11:$H$430,7,FALSE),0)</f>
        <v>212000</v>
      </c>
      <c r="AB56" s="132">
        <f>(U56-W56)*'11-Viabilidade'!$O$16</f>
        <v>533.79568711997922</v>
      </c>
      <c r="AC56" s="11">
        <f t="shared" si="3"/>
        <v>-82.553725985864276</v>
      </c>
      <c r="AD56" s="156">
        <f t="shared" si="4"/>
        <v>2183.9492680439644</v>
      </c>
      <c r="AE56" s="40"/>
      <c r="AF56" s="40"/>
      <c r="AG56" s="40"/>
      <c r="AH56" s="40"/>
    </row>
    <row r="57" spans="1:34" ht="15.75" customHeight="1">
      <c r="A57" s="37"/>
      <c r="B57" s="38">
        <f>IF(AND(B56&gt;0,B56&lt;'11-Viabilidade'!$P$14),B56+1,0)</f>
        <v>50</v>
      </c>
      <c r="C57" s="155">
        <f>IF($B57&lt;'11-Viabilidade'!$C$24,0,$B57-'11-Viabilidade'!$C$24)</f>
        <v>44</v>
      </c>
      <c r="D57" s="11">
        <f>IF(C57&gt;0,'11-Viabilidade'!$K$10,0)*((1+'11-Viabilidade'!$O$10)^(($C57-1)/12))</f>
        <v>3573.1362454965574</v>
      </c>
      <c r="E57" s="11">
        <f>D57*'11-Viabilidade'!$L$12</f>
        <v>198.50756919425319</v>
      </c>
      <c r="F57" s="11">
        <f>D57*'11-Viabilidade'!$K$14</f>
        <v>0</v>
      </c>
      <c r="G57" s="11">
        <f>D57*'11-Viabilidade'!$K$15</f>
        <v>178.65681227482787</v>
      </c>
      <c r="H57" s="11">
        <f>IF(D57=0,'11-Viabilidade'!$K$16+'11-Viabilidade'!$K$17,('11-Viabilidade'!$L$11)*((1+'11-Viabilidade'!$O$10)^(($C57-1)/12)))</f>
        <v>467.15447950380911</v>
      </c>
      <c r="I57" s="11">
        <f>'12-SAC Viabilidade'!G60</f>
        <v>2261.9463423561697</v>
      </c>
      <c r="J57" s="11">
        <f>'12-SAC Viabilidade'!H60</f>
        <v>211428.57142857142</v>
      </c>
      <c r="K57" s="132">
        <f>(D57-F57)*'11-Viabilidade'!$O$16</f>
        <v>535.97043682448361</v>
      </c>
      <c r="L57" s="11">
        <f t="shared" si="0"/>
        <v>-69.099394656986078</v>
      </c>
      <c r="M57" s="156">
        <f t="shared" si="1"/>
        <v>2192.8469476991836</v>
      </c>
      <c r="N57" s="13"/>
      <c r="O57" s="43"/>
      <c r="P57" s="41">
        <f>IF(B57&lt;='11-Viabilidade'!$G$11,(P56+(P56*'11-Viabilidade'!$H$12)),0)</f>
        <v>0</v>
      </c>
      <c r="Q57" s="41">
        <f>IF(B57='11-Viabilidade'!$G$11,'11-Viabilidade'!$G$16,0)*(1+'11-Viabilidade'!$G$12)^((B57-1)/12)</f>
        <v>0</v>
      </c>
      <c r="R57" s="170">
        <f t="shared" si="2"/>
        <v>0</v>
      </c>
      <c r="S57" s="41">
        <f t="shared" si="5"/>
        <v>50</v>
      </c>
      <c r="T57" s="155">
        <f>IF($S57&lt;'11-Viabilidade'!$C$24,0,$S57-'11-Viabilidade'!$C$24)</f>
        <v>44</v>
      </c>
      <c r="U57" s="11">
        <f>IF(T57&gt;0,'11-Viabilidade'!$K$10,0)*((1+'11-Viabilidade'!$O$10)^(($T57-1)/12))</f>
        <v>3573.1362454965574</v>
      </c>
      <c r="V57" s="11">
        <f>U57*'11-Viabilidade'!$L$12</f>
        <v>198.50756919425319</v>
      </c>
      <c r="W57" s="11">
        <f>U57*'11-Viabilidade'!$K$14</f>
        <v>0</v>
      </c>
      <c r="X57" s="11">
        <f>U57*'11-Viabilidade'!$K$15</f>
        <v>178.65681227482787</v>
      </c>
      <c r="Y57" s="11">
        <f>IF(AND(U57=0,S57=0),0,IF(AND(U57=0,S57&lt;&gt;0),'11-Viabilidade'!$K$16+'11-Viabilidade'!$K$17,('11-Viabilidade'!$L$11)*((1+'11-Viabilidade'!$O$10)^(($C57-1)/12))))</f>
        <v>467.15447950380911</v>
      </c>
      <c r="Z57" s="157">
        <f>IFERROR(VLOOKUP(S57,'12-SAC Viabilidade'!$B$11:$G$430,6,FALSE),0)</f>
        <v>2261.9463423561697</v>
      </c>
      <c r="AA57" s="157">
        <f>IFERROR(VLOOKUP(S57,'12-SAC Viabilidade'!$B$11:$H$430,7,FALSE),0)</f>
        <v>211428.57142857142</v>
      </c>
      <c r="AB57" s="132">
        <f>(U57-W57)*'11-Viabilidade'!$O$16</f>
        <v>535.97043682448361</v>
      </c>
      <c r="AC57" s="11">
        <f t="shared" si="3"/>
        <v>-69.099394656986078</v>
      </c>
      <c r="AD57" s="156">
        <f t="shared" si="4"/>
        <v>2192.8469476991836</v>
      </c>
      <c r="AE57" s="42"/>
      <c r="AF57" s="42"/>
      <c r="AG57" s="42"/>
      <c r="AH57" s="42"/>
    </row>
    <row r="58" spans="1:34" ht="15.75" customHeight="1">
      <c r="A58" s="37"/>
      <c r="B58" s="38">
        <f>IF(AND(B57&gt;0,B57&lt;'11-Viabilidade'!$P$14),B57+1,0)</f>
        <v>51</v>
      </c>
      <c r="C58" s="155">
        <f>IF($B58&lt;'11-Viabilidade'!$C$24,0,$B58-'11-Viabilidade'!$C$24)</f>
        <v>45</v>
      </c>
      <c r="D58" s="11">
        <f>IF(C58&gt;0,'11-Viabilidade'!$K$10,0)*((1+'11-Viabilidade'!$O$10)^(($C58-1)/12))</f>
        <v>3587.6936448565502</v>
      </c>
      <c r="E58" s="11">
        <f>D58*'11-Viabilidade'!$L$12</f>
        <v>199.31631360314168</v>
      </c>
      <c r="F58" s="11">
        <f>D58*'11-Viabilidade'!$K$14</f>
        <v>0</v>
      </c>
      <c r="G58" s="11">
        <f>D58*'11-Viabilidade'!$K$15</f>
        <v>179.38468224282752</v>
      </c>
      <c r="H58" s="11">
        <f>IF(D58=0,'11-Viabilidade'!$K$16+'11-Viabilidade'!$K$17,('11-Viabilidade'!$L$11)*((1+'11-Viabilidade'!$O$10)^(($C58-1)/12)))</f>
        <v>469.0577246793934</v>
      </c>
      <c r="I58" s="11">
        <f>'12-SAC Viabilidade'!G61</f>
        <v>2257.3896906825103</v>
      </c>
      <c r="J58" s="11">
        <f>'12-SAC Viabilidade'!H61</f>
        <v>210857.14285714284</v>
      </c>
      <c r="K58" s="132">
        <f>(D58-F58)*'11-Viabilidade'!$O$16</f>
        <v>538.15404672848251</v>
      </c>
      <c r="L58" s="11">
        <f t="shared" si="0"/>
        <v>-55.608813079805259</v>
      </c>
      <c r="M58" s="156">
        <f t="shared" si="1"/>
        <v>2201.780877602705</v>
      </c>
      <c r="N58" s="13"/>
      <c r="O58" s="43"/>
      <c r="P58" s="41">
        <f>IF(B58&lt;='11-Viabilidade'!$G$11,(P57+(P57*'11-Viabilidade'!$H$12)),0)</f>
        <v>0</v>
      </c>
      <c r="Q58" s="41">
        <f>IF(B58='11-Viabilidade'!$G$11,'11-Viabilidade'!$G$16,0)*(1+'11-Viabilidade'!$G$12)^((B58-1)/12)</f>
        <v>0</v>
      </c>
      <c r="R58" s="170">
        <f t="shared" si="2"/>
        <v>0</v>
      </c>
      <c r="S58" s="41">
        <f t="shared" si="5"/>
        <v>51</v>
      </c>
      <c r="T58" s="155">
        <f>IF($S58&lt;'11-Viabilidade'!$C$24,0,$S58-'11-Viabilidade'!$C$24)</f>
        <v>45</v>
      </c>
      <c r="U58" s="11">
        <f>IF(T58&gt;0,'11-Viabilidade'!$K$10,0)*((1+'11-Viabilidade'!$O$10)^(($T58-1)/12))</f>
        <v>3587.6936448565502</v>
      </c>
      <c r="V58" s="11">
        <f>U58*'11-Viabilidade'!$L$12</f>
        <v>199.31631360314168</v>
      </c>
      <c r="W58" s="11">
        <f>U58*'11-Viabilidade'!$K$14</f>
        <v>0</v>
      </c>
      <c r="X58" s="11">
        <f>U58*'11-Viabilidade'!$K$15</f>
        <v>179.38468224282752</v>
      </c>
      <c r="Y58" s="11">
        <f>IF(AND(U58=0,S58=0),0,IF(AND(U58=0,S58&lt;&gt;0),'11-Viabilidade'!$K$16+'11-Viabilidade'!$K$17,('11-Viabilidade'!$L$11)*((1+'11-Viabilidade'!$O$10)^(($C58-1)/12))))</f>
        <v>469.0577246793934</v>
      </c>
      <c r="Z58" s="157">
        <f>IFERROR(VLOOKUP(S58,'12-SAC Viabilidade'!$B$11:$G$430,6,FALSE),0)</f>
        <v>2257.3896906825103</v>
      </c>
      <c r="AA58" s="157">
        <f>IFERROR(VLOOKUP(S58,'12-SAC Viabilidade'!$B$11:$H$430,7,FALSE),0)</f>
        <v>210857.14285714284</v>
      </c>
      <c r="AB58" s="132">
        <f>(U58-W58)*'11-Viabilidade'!$O$16</f>
        <v>538.15404672848251</v>
      </c>
      <c r="AC58" s="11">
        <f t="shared" si="3"/>
        <v>-55.608813079805259</v>
      </c>
      <c r="AD58" s="156">
        <f t="shared" si="4"/>
        <v>2201.780877602705</v>
      </c>
      <c r="AE58" s="42"/>
      <c r="AF58" s="42"/>
      <c r="AG58" s="42"/>
      <c r="AH58" s="42"/>
    </row>
    <row r="59" spans="1:34" ht="15.75" customHeight="1">
      <c r="A59" s="37"/>
      <c r="B59" s="38">
        <f>IF(AND(B58&gt;0,B58&lt;'11-Viabilidade'!$P$14),B58+1,0)</f>
        <v>52</v>
      </c>
      <c r="C59" s="155">
        <f>IF($B59&lt;'11-Viabilidade'!$C$24,0,$B59-'11-Viabilidade'!$C$24)</f>
        <v>46</v>
      </c>
      <c r="D59" s="11">
        <f>IF(C59&gt;0,'11-Viabilidade'!$K$10,0)*((1+'11-Viabilidade'!$O$10)^(($C59-1)/12))</f>
        <v>3602.3103528635047</v>
      </c>
      <c r="E59" s="11">
        <f>D59*'11-Viabilidade'!$L$12</f>
        <v>200.12835293686135</v>
      </c>
      <c r="F59" s="11">
        <f>D59*'11-Viabilidade'!$K$14</f>
        <v>0</v>
      </c>
      <c r="G59" s="11">
        <f>D59*'11-Viabilidade'!$K$15</f>
        <v>180.11551764317525</v>
      </c>
      <c r="H59" s="11">
        <f>IF(D59=0,'11-Viabilidade'!$K$16+'11-Viabilidade'!$K$17,('11-Viabilidade'!$L$11)*((1+'11-Viabilidade'!$O$10)^(($C59-1)/12)))</f>
        <v>470.96872391141369</v>
      </c>
      <c r="I59" s="11">
        <f>'12-SAC Viabilidade'!G62</f>
        <v>2252.8330390088508</v>
      </c>
      <c r="J59" s="11">
        <f>'12-SAC Viabilidade'!H62</f>
        <v>210285.71428571429</v>
      </c>
      <c r="K59" s="132">
        <f>(D59-F59)*'11-Viabilidade'!$O$16</f>
        <v>540.34655292952573</v>
      </c>
      <c r="L59" s="11">
        <f t="shared" si="0"/>
        <v>-42.081833566322075</v>
      </c>
      <c r="M59" s="156">
        <f t="shared" si="1"/>
        <v>2210.7512054425288</v>
      </c>
      <c r="N59" s="13"/>
      <c r="O59" s="43"/>
      <c r="P59" s="41">
        <f>IF(B59&lt;='11-Viabilidade'!$G$11,(P58+(P58*'11-Viabilidade'!$H$12)),0)</f>
        <v>0</v>
      </c>
      <c r="Q59" s="41">
        <f>IF(B59='11-Viabilidade'!$G$11,'11-Viabilidade'!$G$16,0)*(1+'11-Viabilidade'!$G$12)^((B59-1)/12)</f>
        <v>0</v>
      </c>
      <c r="R59" s="170">
        <f t="shared" si="2"/>
        <v>0</v>
      </c>
      <c r="S59" s="41">
        <f t="shared" si="5"/>
        <v>52</v>
      </c>
      <c r="T59" s="155">
        <f>IF($S59&lt;'11-Viabilidade'!$C$24,0,$S59-'11-Viabilidade'!$C$24)</f>
        <v>46</v>
      </c>
      <c r="U59" s="11">
        <f>IF(T59&gt;0,'11-Viabilidade'!$K$10,0)*((1+'11-Viabilidade'!$O$10)^(($T59-1)/12))</f>
        <v>3602.3103528635047</v>
      </c>
      <c r="V59" s="11">
        <f>U59*'11-Viabilidade'!$L$12</f>
        <v>200.12835293686135</v>
      </c>
      <c r="W59" s="11">
        <f>U59*'11-Viabilidade'!$K$14</f>
        <v>0</v>
      </c>
      <c r="X59" s="11">
        <f>U59*'11-Viabilidade'!$K$15</f>
        <v>180.11551764317525</v>
      </c>
      <c r="Y59" s="11">
        <f>IF(AND(U59=0,S59=0),0,IF(AND(U59=0,S59&lt;&gt;0),'11-Viabilidade'!$K$16+'11-Viabilidade'!$K$17,('11-Viabilidade'!$L$11)*((1+'11-Viabilidade'!$O$10)^(($C59-1)/12))))</f>
        <v>470.96872391141369</v>
      </c>
      <c r="Z59" s="157">
        <f>IFERROR(VLOOKUP(S59,'12-SAC Viabilidade'!$B$11:$G$430,6,FALSE),0)</f>
        <v>2252.8330390088508</v>
      </c>
      <c r="AA59" s="157">
        <f>IFERROR(VLOOKUP(S59,'12-SAC Viabilidade'!$B$11:$H$430,7,FALSE),0)</f>
        <v>210285.71428571429</v>
      </c>
      <c r="AB59" s="132">
        <f>(U59-W59)*'11-Viabilidade'!$O$16</f>
        <v>540.34655292952573</v>
      </c>
      <c r="AC59" s="11">
        <f t="shared" si="3"/>
        <v>-42.081833566322075</v>
      </c>
      <c r="AD59" s="156">
        <f t="shared" si="4"/>
        <v>2210.7512054425288</v>
      </c>
      <c r="AE59" s="42"/>
      <c r="AF59" s="42"/>
      <c r="AG59" s="42"/>
      <c r="AH59" s="42"/>
    </row>
    <row r="60" spans="1:34" ht="15.75" customHeight="1">
      <c r="A60" s="37"/>
      <c r="B60" s="38">
        <f>IF(AND(B59&gt;0,B59&lt;'11-Viabilidade'!$P$14),B59+1,0)</f>
        <v>53</v>
      </c>
      <c r="C60" s="155">
        <f>IF($B60&lt;'11-Viabilidade'!$C$24,0,$B60-'11-Viabilidade'!$C$24)</f>
        <v>47</v>
      </c>
      <c r="D60" s="11">
        <f>IF(C60&gt;0,'11-Viabilidade'!$K$10,0)*((1+'11-Viabilidade'!$O$10)^(($C60-1)/12))</f>
        <v>3616.9866111481879</v>
      </c>
      <c r="E60" s="11">
        <f>D60*'11-Viabilidade'!$L$12</f>
        <v>200.94370061934376</v>
      </c>
      <c r="F60" s="11">
        <f>D60*'11-Viabilidade'!$K$14</f>
        <v>0</v>
      </c>
      <c r="G60" s="11">
        <f>D60*'11-Viabilidade'!$K$15</f>
        <v>180.84933055740942</v>
      </c>
      <c r="H60" s="11">
        <f>IF(D60=0,'11-Viabilidade'!$K$16+'11-Viabilidade'!$K$17,('11-Viabilidade'!$L$11)*((1+'11-Viabilidade'!$O$10)^(($C60-1)/12)))</f>
        <v>472.88750879085563</v>
      </c>
      <c r="I60" s="11">
        <f>'12-SAC Viabilidade'!G63</f>
        <v>2248.2763873351914</v>
      </c>
      <c r="J60" s="11">
        <f>'12-SAC Viabilidade'!H63</f>
        <v>209714.28571428574</v>
      </c>
      <c r="K60" s="132">
        <f>(D60-F60)*'11-Viabilidade'!$O$16</f>
        <v>542.54799167222814</v>
      </c>
      <c r="L60" s="11">
        <f t="shared" si="0"/>
        <v>-28.5183078268401</v>
      </c>
      <c r="M60" s="156">
        <f t="shared" si="1"/>
        <v>2219.7580795083509</v>
      </c>
      <c r="N60" s="13"/>
      <c r="O60" s="43"/>
      <c r="P60" s="41">
        <f>IF(B60&lt;='11-Viabilidade'!$G$11,(P59+(P59*'11-Viabilidade'!$H$12)),0)</f>
        <v>0</v>
      </c>
      <c r="Q60" s="41">
        <f>IF(B60='11-Viabilidade'!$G$11,'11-Viabilidade'!$G$16,0)*(1+'11-Viabilidade'!$G$12)^((B60-1)/12)</f>
        <v>0</v>
      </c>
      <c r="R60" s="170">
        <f t="shared" si="2"/>
        <v>0</v>
      </c>
      <c r="S60" s="41">
        <f t="shared" si="5"/>
        <v>53</v>
      </c>
      <c r="T60" s="155">
        <f>IF($S60&lt;'11-Viabilidade'!$C$24,0,$S60-'11-Viabilidade'!$C$24)</f>
        <v>47</v>
      </c>
      <c r="U60" s="11">
        <f>IF(T60&gt;0,'11-Viabilidade'!$K$10,0)*((1+'11-Viabilidade'!$O$10)^(($T60-1)/12))</f>
        <v>3616.9866111481879</v>
      </c>
      <c r="V60" s="11">
        <f>U60*'11-Viabilidade'!$L$12</f>
        <v>200.94370061934376</v>
      </c>
      <c r="W60" s="11">
        <f>U60*'11-Viabilidade'!$K$14</f>
        <v>0</v>
      </c>
      <c r="X60" s="11">
        <f>U60*'11-Viabilidade'!$K$15</f>
        <v>180.84933055740942</v>
      </c>
      <c r="Y60" s="11">
        <f>IF(AND(U60=0,S60=0),0,IF(AND(U60=0,S60&lt;&gt;0),'11-Viabilidade'!$K$16+'11-Viabilidade'!$K$17,('11-Viabilidade'!$L$11)*((1+'11-Viabilidade'!$O$10)^(($C60-1)/12))))</f>
        <v>472.88750879085563</v>
      </c>
      <c r="Z60" s="157">
        <f>IFERROR(VLOOKUP(S60,'12-SAC Viabilidade'!$B$11:$G$430,6,FALSE),0)</f>
        <v>2248.2763873351914</v>
      </c>
      <c r="AA60" s="157">
        <f>IFERROR(VLOOKUP(S60,'12-SAC Viabilidade'!$B$11:$H$430,7,FALSE),0)</f>
        <v>209714.28571428574</v>
      </c>
      <c r="AB60" s="132">
        <f>(U60-W60)*'11-Viabilidade'!$O$16</f>
        <v>542.54799167222814</v>
      </c>
      <c r="AC60" s="11">
        <f t="shared" si="3"/>
        <v>-28.5183078268401</v>
      </c>
      <c r="AD60" s="156">
        <f t="shared" si="4"/>
        <v>2219.7580795083509</v>
      </c>
      <c r="AE60" s="42"/>
      <c r="AF60" s="42"/>
      <c r="AG60" s="42"/>
      <c r="AH60" s="42"/>
    </row>
    <row r="61" spans="1:34" ht="15.75" customHeight="1">
      <c r="A61" s="37"/>
      <c r="B61" s="38">
        <f>IF(AND(B60&gt;0,B60&lt;'11-Viabilidade'!$P$14),B60+1,0)</f>
        <v>54</v>
      </c>
      <c r="C61" s="155">
        <f>IF($B61&lt;'11-Viabilidade'!$C$24,0,$B61-'11-Viabilidade'!$C$24)</f>
        <v>48</v>
      </c>
      <c r="D61" s="11">
        <f>IF(C61&gt;0,'11-Viabilidade'!$K$10,0)*((1+'11-Viabilidade'!$O$10)^(($C61-1)/12))</f>
        <v>3631.7226623258043</v>
      </c>
      <c r="E61" s="11">
        <f>D61*'11-Viabilidade'!$L$12</f>
        <v>201.76237012921135</v>
      </c>
      <c r="F61" s="11">
        <f>D61*'11-Viabilidade'!$K$14</f>
        <v>0</v>
      </c>
      <c r="G61" s="11">
        <f>D61*'11-Viabilidade'!$K$15</f>
        <v>181.58613311629023</v>
      </c>
      <c r="H61" s="11">
        <f>IF(D61=0,'11-Viabilidade'!$K$16+'11-Viabilidade'!$K$17,('11-Viabilidade'!$L$11)*((1+'11-Viabilidade'!$O$10)^(($C61-1)/12)))</f>
        <v>474.81411103741067</v>
      </c>
      <c r="I61" s="11">
        <f>'12-SAC Viabilidade'!G64</f>
        <v>2243.7197356615325</v>
      </c>
      <c r="J61" s="11">
        <f>'12-SAC Viabilidade'!H64</f>
        <v>209142.85714285719</v>
      </c>
      <c r="K61" s="132">
        <f>(D61-F61)*'11-Viabilidade'!$O$16</f>
        <v>544.75839934887063</v>
      </c>
      <c r="L61" s="11">
        <f t="shared" si="0"/>
        <v>-14.918086967511044</v>
      </c>
      <c r="M61" s="156">
        <f t="shared" si="1"/>
        <v>2228.8016486940214</v>
      </c>
      <c r="N61" s="13"/>
      <c r="O61" s="43"/>
      <c r="P61" s="41">
        <f>IF(B61&lt;='11-Viabilidade'!$G$11,(P60+(P60*'11-Viabilidade'!$H$12)),0)</f>
        <v>0</v>
      </c>
      <c r="Q61" s="41">
        <f>IF(B61='11-Viabilidade'!$G$11,'11-Viabilidade'!$G$16,0)*(1+'11-Viabilidade'!$G$12)^((B61-1)/12)</f>
        <v>0</v>
      </c>
      <c r="R61" s="170">
        <f t="shared" si="2"/>
        <v>0</v>
      </c>
      <c r="S61" s="41">
        <f t="shared" si="5"/>
        <v>54</v>
      </c>
      <c r="T61" s="155">
        <f>IF($S61&lt;'11-Viabilidade'!$C$24,0,$S61-'11-Viabilidade'!$C$24)</f>
        <v>48</v>
      </c>
      <c r="U61" s="11">
        <f>IF(T61&gt;0,'11-Viabilidade'!$K$10,0)*((1+'11-Viabilidade'!$O$10)^(($T61-1)/12))</f>
        <v>3631.7226623258043</v>
      </c>
      <c r="V61" s="11">
        <f>U61*'11-Viabilidade'!$L$12</f>
        <v>201.76237012921135</v>
      </c>
      <c r="W61" s="11">
        <f>U61*'11-Viabilidade'!$K$14</f>
        <v>0</v>
      </c>
      <c r="X61" s="11">
        <f>U61*'11-Viabilidade'!$K$15</f>
        <v>181.58613311629023</v>
      </c>
      <c r="Y61" s="11">
        <f>IF(AND(U61=0,S61=0),0,IF(AND(U61=0,S61&lt;&gt;0),'11-Viabilidade'!$K$16+'11-Viabilidade'!$K$17,('11-Viabilidade'!$L$11)*((1+'11-Viabilidade'!$O$10)^(($C61-1)/12))))</f>
        <v>474.81411103741067</v>
      </c>
      <c r="Z61" s="157">
        <f>IFERROR(VLOOKUP(S61,'12-SAC Viabilidade'!$B$11:$G$430,6,FALSE),0)</f>
        <v>2243.7197356615325</v>
      </c>
      <c r="AA61" s="157">
        <f>IFERROR(VLOOKUP(S61,'12-SAC Viabilidade'!$B$11:$H$430,7,FALSE),0)</f>
        <v>209142.85714285719</v>
      </c>
      <c r="AB61" s="132">
        <f>(U61-W61)*'11-Viabilidade'!$O$16</f>
        <v>544.75839934887063</v>
      </c>
      <c r="AC61" s="11">
        <f t="shared" si="3"/>
        <v>-14.918086967511044</v>
      </c>
      <c r="AD61" s="156">
        <f t="shared" si="4"/>
        <v>2228.8016486940214</v>
      </c>
      <c r="AE61" s="42"/>
      <c r="AF61" s="42"/>
      <c r="AG61" s="42"/>
      <c r="AH61" s="42"/>
    </row>
    <row r="62" spans="1:34" ht="15.75" customHeight="1">
      <c r="A62" s="37"/>
      <c r="B62" s="38">
        <f>IF(AND(B61&gt;0,B61&lt;'11-Viabilidade'!$P$14),B61+1,0)</f>
        <v>55</v>
      </c>
      <c r="C62" s="155">
        <f>IF($B62&lt;'11-Viabilidade'!$C$24,0,$B62-'11-Viabilidade'!$C$24)</f>
        <v>49</v>
      </c>
      <c r="D62" s="11">
        <f>IF(C62&gt;0,'11-Viabilidade'!$K$10,0)*((1+'11-Viabilidade'!$O$10)^(($C62-1)/12))</f>
        <v>3646.5187500000002</v>
      </c>
      <c r="E62" s="11">
        <f>D62*'11-Viabilidade'!$L$12</f>
        <v>202.58437499999999</v>
      </c>
      <c r="F62" s="11">
        <f>D62*'11-Viabilidade'!$K$14</f>
        <v>0</v>
      </c>
      <c r="G62" s="11">
        <f>D62*'11-Viabilidade'!$K$15</f>
        <v>182.32593750000001</v>
      </c>
      <c r="H62" s="11">
        <f>IF(D62=0,'11-Viabilidade'!$K$16+'11-Viabilidade'!$K$17,('11-Viabilidade'!$L$11)*((1+'11-Viabilidade'!$O$10)^(($C62-1)/12)))</f>
        <v>476.74856249999993</v>
      </c>
      <c r="I62" s="11">
        <f>'12-SAC Viabilidade'!G65</f>
        <v>2239.1630839878735</v>
      </c>
      <c r="J62" s="11">
        <f>'12-SAC Viabilidade'!H65</f>
        <v>208571.42857142864</v>
      </c>
      <c r="K62" s="132">
        <f>(D62-F62)*'11-Viabilidade'!$O$16</f>
        <v>546.97781250000003</v>
      </c>
      <c r="L62" s="11">
        <f t="shared" si="0"/>
        <v>-1.2810214878736588</v>
      </c>
      <c r="M62" s="156">
        <f t="shared" si="1"/>
        <v>2237.8820625000003</v>
      </c>
      <c r="N62" s="13"/>
      <c r="O62" s="43"/>
      <c r="P62" s="41">
        <f>IF(B62&lt;='11-Viabilidade'!$G$11,(P61+(P61*'11-Viabilidade'!$H$12)),0)</f>
        <v>0</v>
      </c>
      <c r="Q62" s="41">
        <f>IF(B62='11-Viabilidade'!$G$11,'11-Viabilidade'!$G$16,0)*(1+'11-Viabilidade'!$G$12)^((B62-1)/12)</f>
        <v>0</v>
      </c>
      <c r="R62" s="170">
        <f t="shared" si="2"/>
        <v>0</v>
      </c>
      <c r="S62" s="41">
        <f t="shared" si="5"/>
        <v>55</v>
      </c>
      <c r="T62" s="155">
        <f>IF($S62&lt;'11-Viabilidade'!$C$24,0,$S62-'11-Viabilidade'!$C$24)</f>
        <v>49</v>
      </c>
      <c r="U62" s="11">
        <f>IF(T62&gt;0,'11-Viabilidade'!$K$10,0)*((1+'11-Viabilidade'!$O$10)^(($T62-1)/12))</f>
        <v>3646.5187500000002</v>
      </c>
      <c r="V62" s="11">
        <f>U62*'11-Viabilidade'!$L$12</f>
        <v>202.58437499999999</v>
      </c>
      <c r="W62" s="11">
        <f>U62*'11-Viabilidade'!$K$14</f>
        <v>0</v>
      </c>
      <c r="X62" s="11">
        <f>U62*'11-Viabilidade'!$K$15</f>
        <v>182.32593750000001</v>
      </c>
      <c r="Y62" s="11">
        <f>IF(AND(U62=0,S62=0),0,IF(AND(U62=0,S62&lt;&gt;0),'11-Viabilidade'!$K$16+'11-Viabilidade'!$K$17,('11-Viabilidade'!$L$11)*((1+'11-Viabilidade'!$O$10)^(($C62-1)/12))))</f>
        <v>476.74856249999993</v>
      </c>
      <c r="Z62" s="157">
        <f>IFERROR(VLOOKUP(S62,'12-SAC Viabilidade'!$B$11:$G$430,6,FALSE),0)</f>
        <v>2239.1630839878735</v>
      </c>
      <c r="AA62" s="157">
        <f>IFERROR(VLOOKUP(S62,'12-SAC Viabilidade'!$B$11:$H$430,7,FALSE),0)</f>
        <v>208571.42857142864</v>
      </c>
      <c r="AB62" s="132">
        <f>(U62-W62)*'11-Viabilidade'!$O$16</f>
        <v>546.97781250000003</v>
      </c>
      <c r="AC62" s="11">
        <f t="shared" si="3"/>
        <v>-1.2810214878736588</v>
      </c>
      <c r="AD62" s="156">
        <f t="shared" si="4"/>
        <v>2237.8820625000003</v>
      </c>
      <c r="AE62" s="42"/>
      <c r="AF62" s="42"/>
      <c r="AG62" s="42"/>
      <c r="AH62" s="42"/>
    </row>
    <row r="63" spans="1:34" ht="15.75" customHeight="1">
      <c r="A63" s="37"/>
      <c r="B63" s="38">
        <f>IF(AND(B62&gt;0,B62&lt;'11-Viabilidade'!$P$14),B62+1,0)</f>
        <v>56</v>
      </c>
      <c r="C63" s="155">
        <f>IF($B63&lt;'11-Viabilidade'!$C$24,0,$B63-'11-Viabilidade'!$C$24)</f>
        <v>50</v>
      </c>
      <c r="D63" s="11">
        <f>IF(C63&gt;0,'11-Viabilidade'!$K$10,0)*((1+'11-Viabilidade'!$O$10)^(($C63-1)/12))</f>
        <v>3661.3751187668954</v>
      </c>
      <c r="E63" s="11">
        <f>D63*'11-Viabilidade'!$L$12</f>
        <v>203.40972882038307</v>
      </c>
      <c r="F63" s="11">
        <f>D63*'11-Viabilidade'!$K$14</f>
        <v>0</v>
      </c>
      <c r="G63" s="11">
        <f>D63*'11-Viabilidade'!$K$15</f>
        <v>183.06875593834479</v>
      </c>
      <c r="H63" s="11">
        <f>IF(D63=0,'11-Viabilidade'!$K$16+'11-Viabilidade'!$K$17,('11-Viabilidade'!$L$11)*((1+'11-Viabilidade'!$O$10)^(($C63-1)/12)))</f>
        <v>478.69089515730144</v>
      </c>
      <c r="I63" s="11">
        <f>'12-SAC Viabilidade'!G66</f>
        <v>2234.6064323142141</v>
      </c>
      <c r="J63" s="11">
        <f>'12-SAC Viabilidade'!H66</f>
        <v>208000.00000000009</v>
      </c>
      <c r="K63" s="132">
        <f>(D63-F63)*'11-Viabilidade'!$O$16</f>
        <v>549.20626781503427</v>
      </c>
      <c r="L63" s="11">
        <f t="shared" si="0"/>
        <v>12.393038721617813</v>
      </c>
      <c r="M63" s="156">
        <f t="shared" si="1"/>
        <v>2246.9994710358319</v>
      </c>
      <c r="N63" s="13"/>
      <c r="O63" s="43"/>
      <c r="P63" s="41">
        <f>IF(B63&lt;='11-Viabilidade'!$G$11,(P62+(P62*'11-Viabilidade'!$H$12)),0)</f>
        <v>0</v>
      </c>
      <c r="Q63" s="41">
        <f>IF(B63='11-Viabilidade'!$G$11,'11-Viabilidade'!$G$16,0)*(1+'11-Viabilidade'!$G$12)^((B63-1)/12)</f>
        <v>0</v>
      </c>
      <c r="R63" s="170">
        <f t="shared" si="2"/>
        <v>0</v>
      </c>
      <c r="S63" s="41">
        <f t="shared" si="5"/>
        <v>56</v>
      </c>
      <c r="T63" s="155">
        <f>IF($S63&lt;'11-Viabilidade'!$C$24,0,$S63-'11-Viabilidade'!$C$24)</f>
        <v>50</v>
      </c>
      <c r="U63" s="11">
        <f>IF(T63&gt;0,'11-Viabilidade'!$K$10,0)*((1+'11-Viabilidade'!$O$10)^(($T63-1)/12))</f>
        <v>3661.3751187668954</v>
      </c>
      <c r="V63" s="11">
        <f>U63*'11-Viabilidade'!$L$12</f>
        <v>203.40972882038307</v>
      </c>
      <c r="W63" s="11">
        <f>U63*'11-Viabilidade'!$K$14</f>
        <v>0</v>
      </c>
      <c r="X63" s="11">
        <f>U63*'11-Viabilidade'!$K$15</f>
        <v>183.06875593834479</v>
      </c>
      <c r="Y63" s="11">
        <f>IF(AND(U63=0,S63=0),0,IF(AND(U63=0,S63&lt;&gt;0),'11-Viabilidade'!$K$16+'11-Viabilidade'!$K$17,('11-Viabilidade'!$L$11)*((1+'11-Viabilidade'!$O$10)^(($C63-1)/12))))</f>
        <v>478.69089515730144</v>
      </c>
      <c r="Z63" s="157">
        <f>IFERROR(VLOOKUP(S63,'12-SAC Viabilidade'!$B$11:$G$430,6,FALSE),0)</f>
        <v>2234.6064323142141</v>
      </c>
      <c r="AA63" s="157">
        <f>IFERROR(VLOOKUP(S63,'12-SAC Viabilidade'!$B$11:$H$430,7,FALSE),0)</f>
        <v>208000.00000000009</v>
      </c>
      <c r="AB63" s="132">
        <f>(U63-W63)*'11-Viabilidade'!$O$16</f>
        <v>549.20626781503427</v>
      </c>
      <c r="AC63" s="11">
        <f t="shared" si="3"/>
        <v>12.393038721617813</v>
      </c>
      <c r="AD63" s="156">
        <f t="shared" si="4"/>
        <v>2246.9994710358319</v>
      </c>
      <c r="AE63" s="42"/>
      <c r="AF63" s="42"/>
      <c r="AG63" s="42"/>
      <c r="AH63" s="42"/>
    </row>
    <row r="64" spans="1:34" ht="15.75" customHeight="1">
      <c r="A64" s="37"/>
      <c r="B64" s="38">
        <f>IF(AND(B63&gt;0,B63&lt;'11-Viabilidade'!$P$14),B63+1,0)</f>
        <v>57</v>
      </c>
      <c r="C64" s="155">
        <f>IF($B64&lt;'11-Viabilidade'!$C$24,0,$B64-'11-Viabilidade'!$C$24)</f>
        <v>51</v>
      </c>
      <c r="D64" s="11">
        <f>IF(C64&gt;0,'11-Viabilidade'!$K$10,0)*((1+'11-Viabilidade'!$O$10)^(($C64-1)/12))</f>
        <v>3676.2920142191215</v>
      </c>
      <c r="E64" s="11">
        <f>D64*'11-Viabilidade'!$L$12</f>
        <v>204.23844523439561</v>
      </c>
      <c r="F64" s="11">
        <f>D64*'11-Viabilidade'!$K$14</f>
        <v>0</v>
      </c>
      <c r="G64" s="11">
        <f>D64*'11-Viabilidade'!$K$15</f>
        <v>183.81460071095609</v>
      </c>
      <c r="H64" s="11">
        <f>IF(D64=0,'11-Viabilidade'!$K$16+'11-Viabilidade'!$K$17,('11-Viabilidade'!$L$11)*((1+'11-Viabilidade'!$O$10)^(($C64-1)/12)))</f>
        <v>480.64114111827769</v>
      </c>
      <c r="I64" s="11">
        <f>'12-SAC Viabilidade'!G67</f>
        <v>2230.0497806405551</v>
      </c>
      <c r="J64" s="11">
        <f>'12-SAC Viabilidade'!H67</f>
        <v>207428.57142857154</v>
      </c>
      <c r="K64" s="132">
        <f>(D64-F64)*'11-Viabilidade'!$O$16</f>
        <v>551.4438021328682</v>
      </c>
      <c r="L64" s="11">
        <f t="shared" si="0"/>
        <v>26.104244382068373</v>
      </c>
      <c r="M64" s="156">
        <f t="shared" si="1"/>
        <v>2256.154025022624</v>
      </c>
      <c r="N64" s="13"/>
      <c r="O64" s="43"/>
      <c r="P64" s="41">
        <f>IF(B64&lt;='11-Viabilidade'!$G$11,(P63+(P63*'11-Viabilidade'!$H$12)),0)</f>
        <v>0</v>
      </c>
      <c r="Q64" s="41">
        <f>IF(B64='11-Viabilidade'!$G$11,'11-Viabilidade'!$G$16,0)*(1+'11-Viabilidade'!$G$12)^((B64-1)/12)</f>
        <v>0</v>
      </c>
      <c r="R64" s="170">
        <f t="shared" si="2"/>
        <v>0</v>
      </c>
      <c r="S64" s="41">
        <f t="shared" si="5"/>
        <v>57</v>
      </c>
      <c r="T64" s="155">
        <f>IF($S64&lt;'11-Viabilidade'!$C$24,0,$S64-'11-Viabilidade'!$C$24)</f>
        <v>51</v>
      </c>
      <c r="U64" s="11">
        <f>IF(T64&gt;0,'11-Viabilidade'!$K$10,0)*((1+'11-Viabilidade'!$O$10)^(($T64-1)/12))</f>
        <v>3676.2920142191215</v>
      </c>
      <c r="V64" s="11">
        <f>U64*'11-Viabilidade'!$L$12</f>
        <v>204.23844523439561</v>
      </c>
      <c r="W64" s="11">
        <f>U64*'11-Viabilidade'!$K$14</f>
        <v>0</v>
      </c>
      <c r="X64" s="11">
        <f>U64*'11-Viabilidade'!$K$15</f>
        <v>183.81460071095609</v>
      </c>
      <c r="Y64" s="11">
        <f>IF(AND(U64=0,S64=0),0,IF(AND(U64=0,S64&lt;&gt;0),'11-Viabilidade'!$K$16+'11-Viabilidade'!$K$17,('11-Viabilidade'!$L$11)*((1+'11-Viabilidade'!$O$10)^(($C64-1)/12))))</f>
        <v>480.64114111827769</v>
      </c>
      <c r="Z64" s="157">
        <f>IFERROR(VLOOKUP(S64,'12-SAC Viabilidade'!$B$11:$G$430,6,FALSE),0)</f>
        <v>2230.0497806405551</v>
      </c>
      <c r="AA64" s="157">
        <f>IFERROR(VLOOKUP(S64,'12-SAC Viabilidade'!$B$11:$H$430,7,FALSE),0)</f>
        <v>207428.57142857154</v>
      </c>
      <c r="AB64" s="132">
        <f>(U64-W64)*'11-Viabilidade'!$O$16</f>
        <v>551.4438021328682</v>
      </c>
      <c r="AC64" s="11">
        <f t="shared" si="3"/>
        <v>26.104244382068373</v>
      </c>
      <c r="AD64" s="156">
        <f t="shared" si="4"/>
        <v>2256.154025022624</v>
      </c>
      <c r="AE64" s="42"/>
      <c r="AF64" s="42"/>
      <c r="AG64" s="42"/>
      <c r="AH64" s="42"/>
    </row>
    <row r="65" spans="1:34" ht="15.75" customHeight="1">
      <c r="A65" s="37"/>
      <c r="B65" s="38">
        <f>IF(AND(B64&gt;0,B64&lt;'11-Viabilidade'!$P$14),B64+1,0)</f>
        <v>58</v>
      </c>
      <c r="C65" s="155">
        <f>IF($B65&lt;'11-Viabilidade'!$C$24,0,$B65-'11-Viabilidade'!$C$24)</f>
        <v>52</v>
      </c>
      <c r="D65" s="11">
        <f>IF(C65&gt;0,'11-Viabilidade'!$K$10,0)*((1+'11-Viabilidade'!$O$10)^(($C65-1)/12))</f>
        <v>3691.2696829498882</v>
      </c>
      <c r="E65" s="11">
        <f>D65*'11-Viabilidade'!$L$12</f>
        <v>205.07053794166043</v>
      </c>
      <c r="F65" s="11">
        <f>D65*'11-Viabilidade'!$K$14</f>
        <v>0</v>
      </c>
      <c r="G65" s="11">
        <f>D65*'11-Viabilidade'!$K$15</f>
        <v>184.56348414749442</v>
      </c>
      <c r="H65" s="11">
        <f>IF(D65=0,'11-Viabilidade'!$K$16+'11-Viabilidade'!$K$17,('11-Viabilidade'!$L$11)*((1+'11-Viabilidade'!$O$10)^(($C65-1)/12)))</f>
        <v>482.59933262270755</v>
      </c>
      <c r="I65" s="11">
        <f>'12-SAC Viabilidade'!G68</f>
        <v>2225.4931289668962</v>
      </c>
      <c r="J65" s="11">
        <f>'12-SAC Viabilidade'!H68</f>
        <v>206857.14285714299</v>
      </c>
      <c r="K65" s="132">
        <f>(D65-F65)*'11-Viabilidade'!$O$16</f>
        <v>553.69045244248321</v>
      </c>
      <c r="L65" s="11">
        <f t="shared" si="0"/>
        <v>39.852746828646559</v>
      </c>
      <c r="M65" s="156">
        <f t="shared" si="1"/>
        <v>2265.3458757955427</v>
      </c>
      <c r="N65" s="13"/>
      <c r="O65" s="43"/>
      <c r="P65" s="41">
        <f>IF(B65&lt;='11-Viabilidade'!$G$11,(P64+(P64*'11-Viabilidade'!$H$12)),0)</f>
        <v>0</v>
      </c>
      <c r="Q65" s="41">
        <f>IF(B65='11-Viabilidade'!$G$11,'11-Viabilidade'!$G$16,0)*(1+'11-Viabilidade'!$G$12)^((B65-1)/12)</f>
        <v>0</v>
      </c>
      <c r="R65" s="170">
        <f t="shared" si="2"/>
        <v>0</v>
      </c>
      <c r="S65" s="41">
        <f t="shared" si="5"/>
        <v>58</v>
      </c>
      <c r="T65" s="155">
        <f>IF($S65&lt;'11-Viabilidade'!$C$24,0,$S65-'11-Viabilidade'!$C$24)</f>
        <v>52</v>
      </c>
      <c r="U65" s="11">
        <f>IF(T65&gt;0,'11-Viabilidade'!$K$10,0)*((1+'11-Viabilidade'!$O$10)^(($T65-1)/12))</f>
        <v>3691.2696829498882</v>
      </c>
      <c r="V65" s="11">
        <f>U65*'11-Viabilidade'!$L$12</f>
        <v>205.07053794166043</v>
      </c>
      <c r="W65" s="11">
        <f>U65*'11-Viabilidade'!$K$14</f>
        <v>0</v>
      </c>
      <c r="X65" s="11">
        <f>U65*'11-Viabilidade'!$K$15</f>
        <v>184.56348414749442</v>
      </c>
      <c r="Y65" s="11">
        <f>IF(AND(U65=0,S65=0),0,IF(AND(U65=0,S65&lt;&gt;0),'11-Viabilidade'!$K$16+'11-Viabilidade'!$K$17,('11-Viabilidade'!$L$11)*((1+'11-Viabilidade'!$O$10)^(($C65-1)/12))))</f>
        <v>482.59933262270755</v>
      </c>
      <c r="Z65" s="157">
        <f>IFERROR(VLOOKUP(S65,'12-SAC Viabilidade'!$B$11:$G$430,6,FALSE),0)</f>
        <v>2225.4931289668962</v>
      </c>
      <c r="AA65" s="157">
        <f>IFERROR(VLOOKUP(S65,'12-SAC Viabilidade'!$B$11:$H$430,7,FALSE),0)</f>
        <v>206857.14285714299</v>
      </c>
      <c r="AB65" s="132">
        <f>(U65-W65)*'11-Viabilidade'!$O$16</f>
        <v>553.69045244248321</v>
      </c>
      <c r="AC65" s="11">
        <f t="shared" si="3"/>
        <v>39.852746828646559</v>
      </c>
      <c r="AD65" s="156">
        <f t="shared" si="4"/>
        <v>2265.3458757955427</v>
      </c>
      <c r="AE65" s="42"/>
      <c r="AF65" s="42"/>
      <c r="AG65" s="42"/>
      <c r="AH65" s="42"/>
    </row>
    <row r="66" spans="1:34" ht="15.75" customHeight="1">
      <c r="A66" s="37"/>
      <c r="B66" s="38">
        <f>IF(AND(B65&gt;0,B65&lt;'11-Viabilidade'!$P$14),B65+1,0)</f>
        <v>59</v>
      </c>
      <c r="C66" s="155">
        <f>IF($B66&lt;'11-Viabilidade'!$C$24,0,$B66-'11-Viabilidade'!$C$24)</f>
        <v>53</v>
      </c>
      <c r="D66" s="11">
        <f>IF(C66&gt;0,'11-Viabilidade'!$K$10,0)*((1+'11-Viabilidade'!$O$10)^(($C66-1)/12))</f>
        <v>3706.3083725570536</v>
      </c>
      <c r="E66" s="11">
        <f>D66*'11-Viabilidade'!$L$12</f>
        <v>205.90602069761408</v>
      </c>
      <c r="F66" s="11">
        <f>D66*'11-Viabilidade'!$K$14</f>
        <v>0</v>
      </c>
      <c r="G66" s="11">
        <f>D66*'11-Viabilidade'!$K$15</f>
        <v>185.31541862785269</v>
      </c>
      <c r="H66" s="11">
        <f>IF(D66=0,'11-Viabilidade'!$K$16+'11-Viabilidade'!$K$17,('11-Viabilidade'!$L$11)*((1+'11-Viabilidade'!$O$10)^(($C66-1)/12)))</f>
        <v>484.56550204171845</v>
      </c>
      <c r="I66" s="11">
        <f>'12-SAC Viabilidade'!G69</f>
        <v>2220.9364772932367</v>
      </c>
      <c r="J66" s="11">
        <f>'12-SAC Viabilidade'!H69</f>
        <v>206285.71428571441</v>
      </c>
      <c r="K66" s="132">
        <f>(D66-F66)*'11-Viabilidade'!$O$16</f>
        <v>555.94625588355802</v>
      </c>
      <c r="L66" s="11">
        <f t="shared" si="0"/>
        <v>53.638698013073736</v>
      </c>
      <c r="M66" s="156">
        <f t="shared" si="1"/>
        <v>2274.5751753063105</v>
      </c>
      <c r="N66" s="13"/>
      <c r="O66" s="43"/>
      <c r="P66" s="41">
        <f>IF(B66&lt;='11-Viabilidade'!$G$11,(P65+(P65*'11-Viabilidade'!$H$12)),0)</f>
        <v>0</v>
      </c>
      <c r="Q66" s="41">
        <f>IF(B66='11-Viabilidade'!$G$11,'11-Viabilidade'!$G$16,0)*(1+'11-Viabilidade'!$G$12)^((B66-1)/12)</f>
        <v>0</v>
      </c>
      <c r="R66" s="170">
        <f t="shared" si="2"/>
        <v>0</v>
      </c>
      <c r="S66" s="41">
        <f t="shared" si="5"/>
        <v>59</v>
      </c>
      <c r="T66" s="155">
        <f>IF($S66&lt;'11-Viabilidade'!$C$24,0,$S66-'11-Viabilidade'!$C$24)</f>
        <v>53</v>
      </c>
      <c r="U66" s="11">
        <f>IF(T66&gt;0,'11-Viabilidade'!$K$10,0)*((1+'11-Viabilidade'!$O$10)^(($T66-1)/12))</f>
        <v>3706.3083725570536</v>
      </c>
      <c r="V66" s="11">
        <f>U66*'11-Viabilidade'!$L$12</f>
        <v>205.90602069761408</v>
      </c>
      <c r="W66" s="11">
        <f>U66*'11-Viabilidade'!$K$14</f>
        <v>0</v>
      </c>
      <c r="X66" s="11">
        <f>U66*'11-Viabilidade'!$K$15</f>
        <v>185.31541862785269</v>
      </c>
      <c r="Y66" s="11">
        <f>IF(AND(U66=0,S66=0),0,IF(AND(U66=0,S66&lt;&gt;0),'11-Viabilidade'!$K$16+'11-Viabilidade'!$K$17,('11-Viabilidade'!$L$11)*((1+'11-Viabilidade'!$O$10)^(($C66-1)/12))))</f>
        <v>484.56550204171845</v>
      </c>
      <c r="Z66" s="157">
        <f>IFERROR(VLOOKUP(S66,'12-SAC Viabilidade'!$B$11:$G$430,6,FALSE),0)</f>
        <v>2220.9364772932367</v>
      </c>
      <c r="AA66" s="157">
        <f>IFERROR(VLOOKUP(S66,'12-SAC Viabilidade'!$B$11:$H$430,7,FALSE),0)</f>
        <v>206285.71428571441</v>
      </c>
      <c r="AB66" s="132">
        <f>(U66-W66)*'11-Viabilidade'!$O$16</f>
        <v>555.94625588355802</v>
      </c>
      <c r="AC66" s="11">
        <f t="shared" si="3"/>
        <v>53.638698013073736</v>
      </c>
      <c r="AD66" s="156">
        <f t="shared" si="4"/>
        <v>2274.5751753063105</v>
      </c>
      <c r="AE66" s="42"/>
      <c r="AF66" s="42"/>
      <c r="AG66" s="42"/>
      <c r="AH66" s="42"/>
    </row>
    <row r="67" spans="1:34" ht="15.75" customHeight="1">
      <c r="A67" s="158" t="s">
        <v>237</v>
      </c>
      <c r="B67" s="159">
        <f>IF(AND(B66&gt;0,B66&lt;'11-Viabilidade'!$P$14),B66+1,0)</f>
        <v>60</v>
      </c>
      <c r="C67" s="160">
        <f>IF($B67&lt;'11-Viabilidade'!$C$24,0,$B67-'11-Viabilidade'!$C$24)</f>
        <v>54</v>
      </c>
      <c r="D67" s="161">
        <f>IF(C67&gt;0,'11-Viabilidade'!$K$10,0)*((1+'11-Viabilidade'!$O$10)^(($C67-1)/12))</f>
        <v>3721.4083316472233</v>
      </c>
      <c r="E67" s="161">
        <f>D67*'11-Viabilidade'!$L$12</f>
        <v>206.74490731373461</v>
      </c>
      <c r="F67" s="161">
        <f>D67*'11-Viabilidade'!$K$14</f>
        <v>0</v>
      </c>
      <c r="G67" s="161">
        <f>D67*'11-Viabilidade'!$K$15</f>
        <v>186.07041658236119</v>
      </c>
      <c r="H67" s="11">
        <f>IF(D67=0,'11-Viabilidade'!$K$16+'11-Viabilidade'!$K$17,('11-Viabilidade'!$L$11)*((1+'11-Viabilidade'!$O$10)^(($C67-1)/12)))</f>
        <v>486.53968187832209</v>
      </c>
      <c r="I67" s="161">
        <f>'12-SAC Viabilidade'!G70</f>
        <v>2216.3798256195773</v>
      </c>
      <c r="J67" s="161">
        <f>'12-SAC Viabilidade'!H70</f>
        <v>205714.28571428583</v>
      </c>
      <c r="K67" s="162">
        <f>(D67-F67)*'11-Viabilidade'!$O$16</f>
        <v>558.21124974708346</v>
      </c>
      <c r="L67" s="161">
        <f t="shared" si="0"/>
        <v>67.462250506144755</v>
      </c>
      <c r="M67" s="163">
        <f t="shared" si="1"/>
        <v>2283.8420761257221</v>
      </c>
      <c r="N67" s="164"/>
      <c r="O67" s="171"/>
      <c r="P67" s="165">
        <f>IF(B67&lt;='11-Viabilidade'!$G$11,(P66+(P66*'11-Viabilidade'!$H$12)),0)</f>
        <v>0</v>
      </c>
      <c r="Q67" s="165">
        <f>IF(B67='11-Viabilidade'!$G$11,'11-Viabilidade'!$G$16,0)*(1+'11-Viabilidade'!$G$12)^((B67-1)/12)</f>
        <v>0</v>
      </c>
      <c r="R67" s="172">
        <f t="shared" si="2"/>
        <v>0</v>
      </c>
      <c r="S67" s="165">
        <f t="shared" si="5"/>
        <v>60</v>
      </c>
      <c r="T67" s="160">
        <f>IF($S67&lt;'11-Viabilidade'!$C$24,0,$S67-'11-Viabilidade'!$C$24)</f>
        <v>54</v>
      </c>
      <c r="U67" s="161">
        <f>IF(T67&gt;0,'11-Viabilidade'!$K$10,0)*((1+'11-Viabilidade'!$O$10)^(($T67-1)/12))</f>
        <v>3721.4083316472233</v>
      </c>
      <c r="V67" s="161">
        <f>U67*'11-Viabilidade'!$L$12</f>
        <v>206.74490731373461</v>
      </c>
      <c r="W67" s="161">
        <f>U67*'11-Viabilidade'!$K$14</f>
        <v>0</v>
      </c>
      <c r="X67" s="161">
        <f>U67*'11-Viabilidade'!$K$15</f>
        <v>186.07041658236119</v>
      </c>
      <c r="Y67" s="11">
        <f>IF(AND(U67=0,S67=0),0,IF(AND(U67=0,S67&lt;&gt;0),'11-Viabilidade'!$K$16+'11-Viabilidade'!$K$17,('11-Viabilidade'!$L$11)*((1+'11-Viabilidade'!$O$10)^(($C67-1)/12))))</f>
        <v>486.53968187832209</v>
      </c>
      <c r="Z67" s="168">
        <f>IFERROR(VLOOKUP(S67,'12-SAC Viabilidade'!$B$11:$G$430,6,FALSE),0)</f>
        <v>2216.3798256195773</v>
      </c>
      <c r="AA67" s="168">
        <f>IFERROR(VLOOKUP(S67,'12-SAC Viabilidade'!$B$11:$H$430,7,FALSE),0)</f>
        <v>205714.28571428583</v>
      </c>
      <c r="AB67" s="162">
        <f>(U67-W67)*'11-Viabilidade'!$O$16</f>
        <v>558.21124974708346</v>
      </c>
      <c r="AC67" s="161">
        <f t="shared" si="3"/>
        <v>67.462250506144755</v>
      </c>
      <c r="AD67" s="163">
        <f t="shared" si="4"/>
        <v>2283.8420761257221</v>
      </c>
      <c r="AE67" s="173"/>
      <c r="AF67" s="173"/>
      <c r="AG67" s="173"/>
      <c r="AH67" s="173"/>
    </row>
    <row r="68" spans="1:34" ht="15.75" customHeight="1">
      <c r="A68" s="37"/>
      <c r="B68" s="38">
        <f>IF(AND(B67&gt;0,B67&lt;'11-Viabilidade'!$P$14),B67+1,0)</f>
        <v>61</v>
      </c>
      <c r="C68" s="155">
        <f>IF($B68&lt;'11-Viabilidade'!$C$24,0,$B68-'11-Viabilidade'!$C$24)</f>
        <v>55</v>
      </c>
      <c r="D68" s="11">
        <f>IF(C68&gt;0,'11-Viabilidade'!$K$10,0)*((1+'11-Viabilidade'!$O$10)^(($C68-1)/12))</f>
        <v>3736.5698098398543</v>
      </c>
      <c r="E68" s="11">
        <f>D68*'11-Viabilidade'!$L$12</f>
        <v>207.58721165776967</v>
      </c>
      <c r="F68" s="11">
        <f>D68*'11-Viabilidade'!$K$14</f>
        <v>0</v>
      </c>
      <c r="G68" s="11">
        <f>D68*'11-Viabilidade'!$K$15</f>
        <v>186.82849049199274</v>
      </c>
      <c r="H68" s="11">
        <f>IF(D68=0,'11-Viabilidade'!$K$16+'11-Viabilidade'!$K$17,('11-Viabilidade'!$L$11)*((1+'11-Viabilidade'!$O$10)^(($C68-1)/12)))</f>
        <v>488.52190476795124</v>
      </c>
      <c r="I68" s="11">
        <f>'12-SAC Viabilidade'!G71</f>
        <v>2211.8231739459179</v>
      </c>
      <c r="J68" s="11">
        <f>'12-SAC Viabilidade'!H71</f>
        <v>205142.85714285725</v>
      </c>
      <c r="K68" s="132">
        <f>(D68-F68)*'11-Viabilidade'!$O$16</f>
        <v>560.4854714759781</v>
      </c>
      <c r="L68" s="11">
        <f t="shared" si="0"/>
        <v>81.323557500244533</v>
      </c>
      <c r="M68" s="156">
        <f t="shared" si="1"/>
        <v>2293.1467314461624</v>
      </c>
      <c r="N68" s="13"/>
      <c r="O68" s="43"/>
      <c r="P68" s="41">
        <f>IF(B68&lt;='11-Viabilidade'!$G$11,(P67+(P67*'11-Viabilidade'!$H$12)),0)</f>
        <v>0</v>
      </c>
      <c r="Q68" s="41">
        <f>IF(B68='11-Viabilidade'!$G$11,'11-Viabilidade'!$G$16,0)*(1+'11-Viabilidade'!$G$12)^((B68-1)/12)</f>
        <v>0</v>
      </c>
      <c r="R68" s="170">
        <f t="shared" si="2"/>
        <v>0</v>
      </c>
      <c r="S68" s="41">
        <f t="shared" si="5"/>
        <v>61</v>
      </c>
      <c r="T68" s="155">
        <f>IF($S68&lt;'11-Viabilidade'!$C$24,0,$S68-'11-Viabilidade'!$C$24)</f>
        <v>55</v>
      </c>
      <c r="U68" s="11">
        <f>IF(T68&gt;0,'11-Viabilidade'!$K$10,0)*((1+'11-Viabilidade'!$O$10)^(($T68-1)/12))</f>
        <v>3736.5698098398543</v>
      </c>
      <c r="V68" s="11">
        <f>U68*'11-Viabilidade'!$L$12</f>
        <v>207.58721165776967</v>
      </c>
      <c r="W68" s="11">
        <f>U68*'11-Viabilidade'!$K$14</f>
        <v>0</v>
      </c>
      <c r="X68" s="11">
        <f>U68*'11-Viabilidade'!$K$15</f>
        <v>186.82849049199274</v>
      </c>
      <c r="Y68" s="11">
        <f>IF(AND(U68=0,S68=0),0,IF(AND(U68=0,S68&lt;&gt;0),'11-Viabilidade'!$K$16+'11-Viabilidade'!$K$17,('11-Viabilidade'!$L$11)*((1+'11-Viabilidade'!$O$10)^(($C68-1)/12))))</f>
        <v>488.52190476795124</v>
      </c>
      <c r="Z68" s="157">
        <f>IFERROR(VLOOKUP(S68,'12-SAC Viabilidade'!$B$11:$G$430,6,FALSE),0)</f>
        <v>2211.8231739459179</v>
      </c>
      <c r="AA68" s="157">
        <f>IFERROR(VLOOKUP(S68,'12-SAC Viabilidade'!$B$11:$H$430,7,FALSE),0)</f>
        <v>205142.85714285725</v>
      </c>
      <c r="AB68" s="132">
        <f>(U68-W68)*'11-Viabilidade'!$O$16</f>
        <v>560.4854714759781</v>
      </c>
      <c r="AC68" s="11">
        <f t="shared" si="3"/>
        <v>81.323557500244533</v>
      </c>
      <c r="AD68" s="156">
        <f t="shared" si="4"/>
        <v>2293.1467314461624</v>
      </c>
      <c r="AE68" s="42"/>
      <c r="AF68" s="42"/>
      <c r="AG68" s="42"/>
      <c r="AH68" s="42"/>
    </row>
    <row r="69" spans="1:34" ht="15.75" customHeight="1">
      <c r="A69" s="37"/>
      <c r="B69" s="38">
        <f>IF(AND(B68&gt;0,B68&lt;'11-Viabilidade'!$P$14),B68+1,0)</f>
        <v>62</v>
      </c>
      <c r="C69" s="155">
        <f>IF($B69&lt;'11-Viabilidade'!$C$24,0,$B69-'11-Viabilidade'!$C$24)</f>
        <v>56</v>
      </c>
      <c r="D69" s="11">
        <f>IF(C69&gt;0,'11-Viabilidade'!$K$10,0)*((1+'11-Viabilidade'!$O$10)^(($C69-1)/12))</f>
        <v>3751.7930577713851</v>
      </c>
      <c r="E69" s="11">
        <f>D69*'11-Viabilidade'!$L$12</f>
        <v>208.43294765396581</v>
      </c>
      <c r="F69" s="11">
        <f>D69*'11-Viabilidade'!$K$14</f>
        <v>0</v>
      </c>
      <c r="G69" s="11">
        <f>D69*'11-Viabilidade'!$K$15</f>
        <v>187.58965288856928</v>
      </c>
      <c r="H69" s="11">
        <f>IF(D69=0,'11-Viabilidade'!$K$16+'11-Viabilidade'!$K$17,('11-Viabilidade'!$L$11)*((1+'11-Viabilidade'!$O$10)^(($C69-1)/12)))</f>
        <v>490.51220347899954</v>
      </c>
      <c r="I69" s="11">
        <f>'12-SAC Viabilidade'!G72</f>
        <v>2207.266522272259</v>
      </c>
      <c r="J69" s="11">
        <f>'12-SAC Viabilidade'!H72</f>
        <v>204571.42857142867</v>
      </c>
      <c r="K69" s="132">
        <f>(D69-F69)*'11-Viabilidade'!$O$16</f>
        <v>562.76895866570771</v>
      </c>
      <c r="L69" s="11">
        <f t="shared" si="0"/>
        <v>95.22277281188326</v>
      </c>
      <c r="M69" s="156">
        <f t="shared" si="1"/>
        <v>2302.4892950841427</v>
      </c>
      <c r="N69" s="13"/>
      <c r="O69" s="43"/>
      <c r="P69" s="41">
        <f>IF(B69&lt;='11-Viabilidade'!$G$11,(P68+(P68*'11-Viabilidade'!$H$12)),0)</f>
        <v>0</v>
      </c>
      <c r="Q69" s="41">
        <f>IF(B69='11-Viabilidade'!$G$11,'11-Viabilidade'!$G$16,0)*(1+'11-Viabilidade'!$G$12)^((B69-1)/12)</f>
        <v>0</v>
      </c>
      <c r="R69" s="170">
        <f t="shared" si="2"/>
        <v>0</v>
      </c>
      <c r="S69" s="41">
        <f t="shared" si="5"/>
        <v>62</v>
      </c>
      <c r="T69" s="155">
        <f>IF($S69&lt;'11-Viabilidade'!$C$24,0,$S69-'11-Viabilidade'!$C$24)</f>
        <v>56</v>
      </c>
      <c r="U69" s="11">
        <f>IF(T69&gt;0,'11-Viabilidade'!$K$10,0)*((1+'11-Viabilidade'!$O$10)^(($T69-1)/12))</f>
        <v>3751.7930577713851</v>
      </c>
      <c r="V69" s="11">
        <f>U69*'11-Viabilidade'!$L$12</f>
        <v>208.43294765396581</v>
      </c>
      <c r="W69" s="11">
        <f>U69*'11-Viabilidade'!$K$14</f>
        <v>0</v>
      </c>
      <c r="X69" s="11">
        <f>U69*'11-Viabilidade'!$K$15</f>
        <v>187.58965288856928</v>
      </c>
      <c r="Y69" s="11">
        <f>IF(AND(U69=0,S69=0),0,IF(AND(U69=0,S69&lt;&gt;0),'11-Viabilidade'!$K$16+'11-Viabilidade'!$K$17,('11-Viabilidade'!$L$11)*((1+'11-Viabilidade'!$O$10)^(($C69-1)/12))))</f>
        <v>490.51220347899954</v>
      </c>
      <c r="Z69" s="157">
        <f>IFERROR(VLOOKUP(S69,'12-SAC Viabilidade'!$B$11:$G$430,6,FALSE),0)</f>
        <v>2207.266522272259</v>
      </c>
      <c r="AA69" s="157">
        <f>IFERROR(VLOOKUP(S69,'12-SAC Viabilidade'!$B$11:$H$430,7,FALSE),0)</f>
        <v>204571.42857142867</v>
      </c>
      <c r="AB69" s="132">
        <f>(U69-W69)*'11-Viabilidade'!$O$16</f>
        <v>562.76895866570771</v>
      </c>
      <c r="AC69" s="11">
        <f t="shared" si="3"/>
        <v>95.22277281188326</v>
      </c>
      <c r="AD69" s="156">
        <f t="shared" si="4"/>
        <v>2302.4892950841427</v>
      </c>
      <c r="AE69" s="42"/>
      <c r="AF69" s="42"/>
      <c r="AG69" s="42"/>
      <c r="AH69" s="42"/>
    </row>
    <row r="70" spans="1:34" ht="15.75" customHeight="1">
      <c r="A70" s="37"/>
      <c r="B70" s="38">
        <f>IF(AND(B69&gt;0,B69&lt;'11-Viabilidade'!$P$14),B69+1,0)</f>
        <v>63</v>
      </c>
      <c r="C70" s="155">
        <f>IF($B70&lt;'11-Viabilidade'!$C$24,0,$B70-'11-Viabilidade'!$C$24)</f>
        <v>57</v>
      </c>
      <c r="D70" s="11">
        <f>IF(C70&gt;0,'11-Viabilidade'!$K$10,0)*((1+'11-Viabilidade'!$O$10)^(($C70-1)/12))</f>
        <v>3767.0783270993788</v>
      </c>
      <c r="E70" s="11">
        <f>D70*'11-Viabilidade'!$L$12</f>
        <v>209.28212928329881</v>
      </c>
      <c r="F70" s="11">
        <f>D70*'11-Viabilidade'!$K$14</f>
        <v>0</v>
      </c>
      <c r="G70" s="11">
        <f>D70*'11-Viabilidade'!$K$15</f>
        <v>188.35391635496896</v>
      </c>
      <c r="H70" s="11">
        <f>IF(D70=0,'11-Viabilidade'!$K$16+'11-Viabilidade'!$K$17,('11-Viabilidade'!$L$11)*((1+'11-Viabilidade'!$O$10)^(($C70-1)/12)))</f>
        <v>492.51061091336317</v>
      </c>
      <c r="I70" s="11">
        <f>'12-SAC Viabilidade'!G73</f>
        <v>2202.7098705985995</v>
      </c>
      <c r="J70" s="11">
        <f>'12-SAC Viabilidade'!H73</f>
        <v>204000.00000000009</v>
      </c>
      <c r="K70" s="132">
        <f>(D70-F70)*'11-Viabilidade'!$O$16</f>
        <v>565.06174906490685</v>
      </c>
      <c r="L70" s="11">
        <f t="shared" si="0"/>
        <v>109.16005088424163</v>
      </c>
      <c r="M70" s="156">
        <f t="shared" si="1"/>
        <v>2311.8699214828412</v>
      </c>
      <c r="N70" s="13"/>
      <c r="O70" s="43"/>
      <c r="P70" s="41">
        <f>IF(B70&lt;='11-Viabilidade'!$G$11,(P69+(P69*'11-Viabilidade'!$H$12)),0)</f>
        <v>0</v>
      </c>
      <c r="Q70" s="41">
        <f>IF(B70='11-Viabilidade'!$G$11,'11-Viabilidade'!$G$16,0)*(1+'11-Viabilidade'!$G$12)^((B70-1)/12)</f>
        <v>0</v>
      </c>
      <c r="R70" s="170">
        <f t="shared" si="2"/>
        <v>0</v>
      </c>
      <c r="S70" s="41">
        <f t="shared" si="5"/>
        <v>63</v>
      </c>
      <c r="T70" s="155">
        <f>IF($S70&lt;'11-Viabilidade'!$C$24,0,$S70-'11-Viabilidade'!$C$24)</f>
        <v>57</v>
      </c>
      <c r="U70" s="11">
        <f>IF(T70&gt;0,'11-Viabilidade'!$K$10,0)*((1+'11-Viabilidade'!$O$10)^(($T70-1)/12))</f>
        <v>3767.0783270993788</v>
      </c>
      <c r="V70" s="11">
        <f>U70*'11-Viabilidade'!$L$12</f>
        <v>209.28212928329881</v>
      </c>
      <c r="W70" s="11">
        <f>U70*'11-Viabilidade'!$K$14</f>
        <v>0</v>
      </c>
      <c r="X70" s="11">
        <f>U70*'11-Viabilidade'!$K$15</f>
        <v>188.35391635496896</v>
      </c>
      <c r="Y70" s="11">
        <f>IF(AND(U70=0,S70=0),0,IF(AND(U70=0,S70&lt;&gt;0),'11-Viabilidade'!$K$16+'11-Viabilidade'!$K$17,('11-Viabilidade'!$L$11)*((1+'11-Viabilidade'!$O$10)^(($C70-1)/12))))</f>
        <v>492.51061091336317</v>
      </c>
      <c r="Z70" s="157">
        <f>IFERROR(VLOOKUP(S70,'12-SAC Viabilidade'!$B$11:$G$430,6,FALSE),0)</f>
        <v>2202.7098705985995</v>
      </c>
      <c r="AA70" s="157">
        <f>IFERROR(VLOOKUP(S70,'12-SAC Viabilidade'!$B$11:$H$430,7,FALSE),0)</f>
        <v>204000.00000000009</v>
      </c>
      <c r="AB70" s="132">
        <f>(U70-W70)*'11-Viabilidade'!$O$16</f>
        <v>565.06174906490685</v>
      </c>
      <c r="AC70" s="11">
        <f t="shared" si="3"/>
        <v>109.16005088424163</v>
      </c>
      <c r="AD70" s="156">
        <f t="shared" si="4"/>
        <v>2311.8699214828412</v>
      </c>
      <c r="AE70" s="42"/>
      <c r="AF70" s="42"/>
      <c r="AG70" s="42"/>
      <c r="AH70" s="42"/>
    </row>
    <row r="71" spans="1:34" ht="15.75" customHeight="1">
      <c r="A71" s="37"/>
      <c r="B71" s="38">
        <f>IF(AND(B70&gt;0,B70&lt;'11-Viabilidade'!$P$14),B70+1,0)</f>
        <v>64</v>
      </c>
      <c r="C71" s="155">
        <f>IF($B71&lt;'11-Viabilidade'!$C$24,0,$B71-'11-Viabilidade'!$C$24)</f>
        <v>58</v>
      </c>
      <c r="D71" s="11">
        <f>IF(C71&gt;0,'11-Viabilidade'!$K$10,0)*((1+'11-Viabilidade'!$O$10)^(($C71-1)/12))</f>
        <v>3782.42587050668</v>
      </c>
      <c r="E71" s="11">
        <f>D71*'11-Viabilidade'!$L$12</f>
        <v>210.13477058370444</v>
      </c>
      <c r="F71" s="11">
        <f>D71*'11-Viabilidade'!$K$14</f>
        <v>0</v>
      </c>
      <c r="G71" s="11">
        <f>D71*'11-Viabilidade'!$K$15</f>
        <v>189.12129352533401</v>
      </c>
      <c r="H71" s="11">
        <f>IF(D71=0,'11-Viabilidade'!$K$16+'11-Viabilidade'!$K$17,('11-Viabilidade'!$L$11)*((1+'11-Viabilidade'!$O$10)^(($C71-1)/12)))</f>
        <v>494.51716010698442</v>
      </c>
      <c r="I71" s="11">
        <f>'12-SAC Viabilidade'!G74</f>
        <v>2198.1532189249401</v>
      </c>
      <c r="J71" s="11">
        <f>'12-SAC Viabilidade'!H74</f>
        <v>203428.57142857151</v>
      </c>
      <c r="K71" s="132">
        <f>(D71-F71)*'11-Viabilidade'!$O$16</f>
        <v>567.36388057600197</v>
      </c>
      <c r="L71" s="11">
        <f t="shared" si="0"/>
        <v>123.13554678971514</v>
      </c>
      <c r="M71" s="156">
        <f t="shared" si="1"/>
        <v>2321.2887657146553</v>
      </c>
      <c r="N71" s="13"/>
      <c r="O71" s="43"/>
      <c r="P71" s="41">
        <f>IF(B71&lt;='11-Viabilidade'!$G$11,(P70+(P70*'11-Viabilidade'!$H$12)),0)</f>
        <v>0</v>
      </c>
      <c r="Q71" s="41">
        <f>IF(B71='11-Viabilidade'!$G$11,'11-Viabilidade'!$G$16,0)*(1+'11-Viabilidade'!$G$12)^((B71-1)/12)</f>
        <v>0</v>
      </c>
      <c r="R71" s="170">
        <f t="shared" si="2"/>
        <v>0</v>
      </c>
      <c r="S71" s="41">
        <f t="shared" si="5"/>
        <v>64</v>
      </c>
      <c r="T71" s="155">
        <f>IF($S71&lt;'11-Viabilidade'!$C$24,0,$S71-'11-Viabilidade'!$C$24)</f>
        <v>58</v>
      </c>
      <c r="U71" s="11">
        <f>IF(T71&gt;0,'11-Viabilidade'!$K$10,0)*((1+'11-Viabilidade'!$O$10)^(($T71-1)/12))</f>
        <v>3782.42587050668</v>
      </c>
      <c r="V71" s="11">
        <f>U71*'11-Viabilidade'!$L$12</f>
        <v>210.13477058370444</v>
      </c>
      <c r="W71" s="11">
        <f>U71*'11-Viabilidade'!$K$14</f>
        <v>0</v>
      </c>
      <c r="X71" s="11">
        <f>U71*'11-Viabilidade'!$K$15</f>
        <v>189.12129352533401</v>
      </c>
      <c r="Y71" s="11">
        <f>IF(AND(U71=0,S71=0),0,IF(AND(U71=0,S71&lt;&gt;0),'11-Viabilidade'!$K$16+'11-Viabilidade'!$K$17,('11-Viabilidade'!$L$11)*((1+'11-Viabilidade'!$O$10)^(($C71-1)/12))))</f>
        <v>494.51716010698442</v>
      </c>
      <c r="Z71" s="157">
        <f>IFERROR(VLOOKUP(S71,'12-SAC Viabilidade'!$B$11:$G$430,6,FALSE),0)</f>
        <v>2198.1532189249401</v>
      </c>
      <c r="AA71" s="157">
        <f>IFERROR(VLOOKUP(S71,'12-SAC Viabilidade'!$B$11:$H$430,7,FALSE),0)</f>
        <v>203428.57142857151</v>
      </c>
      <c r="AB71" s="132">
        <f>(U71-W71)*'11-Viabilidade'!$O$16</f>
        <v>567.36388057600197</v>
      </c>
      <c r="AC71" s="11">
        <f t="shared" si="3"/>
        <v>123.13554678971514</v>
      </c>
      <c r="AD71" s="156">
        <f t="shared" si="4"/>
        <v>2321.2887657146553</v>
      </c>
      <c r="AE71" s="42"/>
      <c r="AF71" s="42"/>
      <c r="AG71" s="42"/>
      <c r="AH71" s="42"/>
    </row>
    <row r="72" spans="1:34" ht="15.75" customHeight="1">
      <c r="A72" s="37"/>
      <c r="B72" s="38">
        <f>IF(AND(B71&gt;0,B71&lt;'11-Viabilidade'!$P$14),B71+1,0)</f>
        <v>65</v>
      </c>
      <c r="C72" s="155">
        <f>IF($B72&lt;'11-Viabilidade'!$C$24,0,$B72-'11-Viabilidade'!$C$24)</f>
        <v>59</v>
      </c>
      <c r="D72" s="11">
        <f>IF(C72&gt;0,'11-Viabilidade'!$K$10,0)*((1+'11-Viabilidade'!$O$10)^(($C72-1)/12))</f>
        <v>3797.8359417055976</v>
      </c>
      <c r="E72" s="11">
        <f>D72*'11-Viabilidade'!$L$12</f>
        <v>210.99088565031096</v>
      </c>
      <c r="F72" s="11">
        <f>D72*'11-Viabilidade'!$K$14</f>
        <v>0</v>
      </c>
      <c r="G72" s="11">
        <f>D72*'11-Viabilidade'!$K$15</f>
        <v>189.8917970852799</v>
      </c>
      <c r="H72" s="11">
        <f>IF(D72=0,'11-Viabilidade'!$K$16+'11-Viabilidade'!$K$17,('11-Viabilidade'!$L$11)*((1+'11-Viabilidade'!$O$10)^(($C72-1)/12)))</f>
        <v>496.53188423039848</v>
      </c>
      <c r="I72" s="11">
        <f>'12-SAC Viabilidade'!G75</f>
        <v>2193.5965672512807</v>
      </c>
      <c r="J72" s="11">
        <f>'12-SAC Viabilidade'!H75</f>
        <v>202857.14285714293</v>
      </c>
      <c r="K72" s="132">
        <f>(D72-F72)*'11-Viabilidade'!$O$16</f>
        <v>569.6753912558396</v>
      </c>
      <c r="L72" s="11">
        <f t="shared" si="0"/>
        <v>137.14941623248797</v>
      </c>
      <c r="M72" s="156">
        <f t="shared" si="1"/>
        <v>2330.7459834837687</v>
      </c>
      <c r="N72" s="13"/>
      <c r="O72" s="43"/>
      <c r="P72" s="41">
        <f>IF(B72&lt;='11-Viabilidade'!$G$11,(P71+(P71*'11-Viabilidade'!$H$12)),0)</f>
        <v>0</v>
      </c>
      <c r="Q72" s="41">
        <f>IF(B72='11-Viabilidade'!$G$11,'11-Viabilidade'!$G$16,0)*(1+'11-Viabilidade'!$G$12)^((B72-1)/12)</f>
        <v>0</v>
      </c>
      <c r="R72" s="170">
        <f t="shared" si="2"/>
        <v>0</v>
      </c>
      <c r="S72" s="41">
        <f t="shared" si="5"/>
        <v>65</v>
      </c>
      <c r="T72" s="155">
        <f>IF($S72&lt;'11-Viabilidade'!$C$24,0,$S72-'11-Viabilidade'!$C$24)</f>
        <v>59</v>
      </c>
      <c r="U72" s="11">
        <f>IF(T72&gt;0,'11-Viabilidade'!$K$10,0)*((1+'11-Viabilidade'!$O$10)^(($T72-1)/12))</f>
        <v>3797.8359417055976</v>
      </c>
      <c r="V72" s="11">
        <f>U72*'11-Viabilidade'!$L$12</f>
        <v>210.99088565031096</v>
      </c>
      <c r="W72" s="11">
        <f>U72*'11-Viabilidade'!$K$14</f>
        <v>0</v>
      </c>
      <c r="X72" s="11">
        <f>U72*'11-Viabilidade'!$K$15</f>
        <v>189.8917970852799</v>
      </c>
      <c r="Y72" s="11">
        <f>IF(AND(U72=0,S72=0),0,IF(AND(U72=0,S72&lt;&gt;0),'11-Viabilidade'!$K$16+'11-Viabilidade'!$K$17,('11-Viabilidade'!$L$11)*((1+'11-Viabilidade'!$O$10)^(($C72-1)/12))))</f>
        <v>496.53188423039848</v>
      </c>
      <c r="Z72" s="157">
        <f>IFERROR(VLOOKUP(S72,'12-SAC Viabilidade'!$B$11:$G$430,6,FALSE),0)</f>
        <v>2193.5965672512807</v>
      </c>
      <c r="AA72" s="157">
        <f>IFERROR(VLOOKUP(S72,'12-SAC Viabilidade'!$B$11:$H$430,7,FALSE),0)</f>
        <v>202857.14285714293</v>
      </c>
      <c r="AB72" s="132">
        <f>(U72-W72)*'11-Viabilidade'!$O$16</f>
        <v>569.6753912558396</v>
      </c>
      <c r="AC72" s="11">
        <f t="shared" si="3"/>
        <v>137.14941623248797</v>
      </c>
      <c r="AD72" s="156">
        <f t="shared" si="4"/>
        <v>2330.7459834837687</v>
      </c>
      <c r="AE72" s="42"/>
      <c r="AF72" s="42"/>
      <c r="AG72" s="42"/>
      <c r="AH72" s="42"/>
    </row>
    <row r="73" spans="1:34" ht="15.75" customHeight="1">
      <c r="A73" s="37"/>
      <c r="B73" s="38">
        <f>IF(AND(B72&gt;0,B72&lt;'11-Viabilidade'!$P$14),B72+1,0)</f>
        <v>66</v>
      </c>
      <c r="C73" s="155">
        <f>IF($B73&lt;'11-Viabilidade'!$C$24,0,$B73-'11-Viabilidade'!$C$24)</f>
        <v>60</v>
      </c>
      <c r="D73" s="11">
        <f>IF(C73&gt;0,'11-Viabilidade'!$K$10,0)*((1+'11-Viabilidade'!$O$10)^(($C73-1)/12))</f>
        <v>3813.3087954420948</v>
      </c>
      <c r="E73" s="11">
        <f>D73*'11-Viabilidade'!$L$12</f>
        <v>211.85048863567192</v>
      </c>
      <c r="F73" s="11">
        <f>D73*'11-Viabilidade'!$K$14</f>
        <v>0</v>
      </c>
      <c r="G73" s="11">
        <f>D73*'11-Viabilidade'!$K$15</f>
        <v>190.66543977210475</v>
      </c>
      <c r="H73" s="11">
        <f>IF(D73=0,'11-Viabilidade'!$K$16+'11-Viabilidade'!$K$17,('11-Viabilidade'!$L$11)*((1+'11-Viabilidade'!$O$10)^(($C73-1)/12)))</f>
        <v>498.55481658928124</v>
      </c>
      <c r="I73" s="11">
        <f>'12-SAC Viabilidade'!G76</f>
        <v>2189.0399155776213</v>
      </c>
      <c r="J73" s="11">
        <f>'12-SAC Viabilidade'!H76</f>
        <v>202285.71428571435</v>
      </c>
      <c r="K73" s="132">
        <f>(D73-F73)*'11-Viabilidade'!$O$16</f>
        <v>571.99631931631416</v>
      </c>
      <c r="L73" s="11">
        <f t="shared" si="0"/>
        <v>151.20181555110184</v>
      </c>
      <c r="M73" s="156">
        <f t="shared" si="1"/>
        <v>2340.2417311287227</v>
      </c>
      <c r="N73" s="13"/>
      <c r="O73" s="43"/>
      <c r="P73" s="41">
        <f>IF(B73&lt;='11-Viabilidade'!$G$11,(P72+(P72*'11-Viabilidade'!$H$12)),0)</f>
        <v>0</v>
      </c>
      <c r="Q73" s="41">
        <f>IF(B73='11-Viabilidade'!$G$11,'11-Viabilidade'!$G$16,0)*(1+'11-Viabilidade'!$G$12)^((B73-1)/12)</f>
        <v>0</v>
      </c>
      <c r="R73" s="170">
        <f t="shared" si="2"/>
        <v>0</v>
      </c>
      <c r="S73" s="41">
        <f t="shared" si="5"/>
        <v>66</v>
      </c>
      <c r="T73" s="155">
        <f>IF($S73&lt;'11-Viabilidade'!$C$24,0,$S73-'11-Viabilidade'!$C$24)</f>
        <v>60</v>
      </c>
      <c r="U73" s="11">
        <f>IF(T73&gt;0,'11-Viabilidade'!$K$10,0)*((1+'11-Viabilidade'!$O$10)^(($T73-1)/12))</f>
        <v>3813.3087954420948</v>
      </c>
      <c r="V73" s="11">
        <f>U73*'11-Viabilidade'!$L$12</f>
        <v>211.85048863567192</v>
      </c>
      <c r="W73" s="11">
        <f>U73*'11-Viabilidade'!$K$14</f>
        <v>0</v>
      </c>
      <c r="X73" s="11">
        <f>U73*'11-Viabilidade'!$K$15</f>
        <v>190.66543977210475</v>
      </c>
      <c r="Y73" s="11">
        <f>IF(AND(U73=0,S73=0),0,IF(AND(U73=0,S73&lt;&gt;0),'11-Viabilidade'!$K$16+'11-Viabilidade'!$K$17,('11-Viabilidade'!$L$11)*((1+'11-Viabilidade'!$O$10)^(($C73-1)/12))))</f>
        <v>498.55481658928124</v>
      </c>
      <c r="Z73" s="157">
        <f>IFERROR(VLOOKUP(S73,'12-SAC Viabilidade'!$B$11:$G$430,6,FALSE),0)</f>
        <v>2189.0399155776213</v>
      </c>
      <c r="AA73" s="157">
        <f>IFERROR(VLOOKUP(S73,'12-SAC Viabilidade'!$B$11:$H$430,7,FALSE),0)</f>
        <v>202285.71428571435</v>
      </c>
      <c r="AB73" s="132">
        <f>(U73-W73)*'11-Viabilidade'!$O$16</f>
        <v>571.99631931631416</v>
      </c>
      <c r="AC73" s="11">
        <f t="shared" si="3"/>
        <v>151.20181555110184</v>
      </c>
      <c r="AD73" s="156">
        <f t="shared" si="4"/>
        <v>2340.2417311287227</v>
      </c>
      <c r="AE73" s="42"/>
      <c r="AF73" s="42"/>
      <c r="AG73" s="42"/>
      <c r="AH73" s="42"/>
    </row>
    <row r="74" spans="1:34" ht="15.75" customHeight="1">
      <c r="A74" s="37"/>
      <c r="B74" s="38">
        <f>IF(AND(B73&gt;0,B73&lt;'11-Viabilidade'!$P$14),B73+1,0)</f>
        <v>67</v>
      </c>
      <c r="C74" s="155">
        <f>IF($B74&lt;'11-Viabilidade'!$C$24,0,$B74-'11-Viabilidade'!$C$24)</f>
        <v>61</v>
      </c>
      <c r="D74" s="11">
        <f>IF(C74&gt;0,'11-Viabilidade'!$K$10,0)*((1+'11-Viabilidade'!$O$10)^(($C74-1)/12))</f>
        <v>3828.8446875000004</v>
      </c>
      <c r="E74" s="11">
        <f>D74*'11-Viabilidade'!$L$12</f>
        <v>212.71359375</v>
      </c>
      <c r="F74" s="11">
        <f>D74*'11-Viabilidade'!$K$14</f>
        <v>0</v>
      </c>
      <c r="G74" s="11">
        <f>D74*'11-Viabilidade'!$K$15</f>
        <v>191.44223437500003</v>
      </c>
      <c r="H74" s="11">
        <f>IF(D74=0,'11-Viabilidade'!$K$16+'11-Viabilidade'!$K$17,('11-Viabilidade'!$L$11)*((1+'11-Viabilidade'!$O$10)^(($C74-1)/12)))</f>
        <v>500.58599062499997</v>
      </c>
      <c r="I74" s="11">
        <f>'12-SAC Viabilidade'!G77</f>
        <v>2184.4832639039619</v>
      </c>
      <c r="J74" s="11">
        <f>'12-SAC Viabilidade'!H77</f>
        <v>201714.28571428577</v>
      </c>
      <c r="K74" s="132">
        <f>(D74-F74)*'11-Viabilidade'!$O$16</f>
        <v>574.32670312499999</v>
      </c>
      <c r="L74" s="11">
        <f t="shared" si="0"/>
        <v>165.29290172103856</v>
      </c>
      <c r="M74" s="156">
        <f t="shared" si="1"/>
        <v>2349.7761656250004</v>
      </c>
      <c r="N74" s="13"/>
      <c r="O74" s="43"/>
      <c r="P74" s="41">
        <f>IF(B74&lt;='11-Viabilidade'!$G$11,(P73+(P73*'11-Viabilidade'!$H$12)),0)</f>
        <v>0</v>
      </c>
      <c r="Q74" s="41">
        <f>IF(B74='11-Viabilidade'!$G$11,'11-Viabilidade'!$G$16,0)*(1+'11-Viabilidade'!$G$12)^((B74-1)/12)</f>
        <v>0</v>
      </c>
      <c r="R74" s="170">
        <f t="shared" si="2"/>
        <v>0</v>
      </c>
      <c r="S74" s="41">
        <f t="shared" si="5"/>
        <v>67</v>
      </c>
      <c r="T74" s="155">
        <f>IF($S74&lt;'11-Viabilidade'!$C$24,0,$S74-'11-Viabilidade'!$C$24)</f>
        <v>61</v>
      </c>
      <c r="U74" s="11">
        <f>IF(T74&gt;0,'11-Viabilidade'!$K$10,0)*((1+'11-Viabilidade'!$O$10)^(($T74-1)/12))</f>
        <v>3828.8446875000004</v>
      </c>
      <c r="V74" s="11">
        <f>U74*'11-Viabilidade'!$L$12</f>
        <v>212.71359375</v>
      </c>
      <c r="W74" s="11">
        <f>U74*'11-Viabilidade'!$K$14</f>
        <v>0</v>
      </c>
      <c r="X74" s="11">
        <f>U74*'11-Viabilidade'!$K$15</f>
        <v>191.44223437500003</v>
      </c>
      <c r="Y74" s="11">
        <f>IF(AND(U74=0,S74=0),0,IF(AND(U74=0,S74&lt;&gt;0),'11-Viabilidade'!$K$16+'11-Viabilidade'!$K$17,('11-Viabilidade'!$L$11)*((1+'11-Viabilidade'!$O$10)^(($C74-1)/12))))</f>
        <v>500.58599062499997</v>
      </c>
      <c r="Z74" s="157">
        <f>IFERROR(VLOOKUP(S74,'12-SAC Viabilidade'!$B$11:$G$430,6,FALSE),0)</f>
        <v>2184.4832639039619</v>
      </c>
      <c r="AA74" s="157">
        <f>IFERROR(VLOOKUP(S74,'12-SAC Viabilidade'!$B$11:$H$430,7,FALSE),0)</f>
        <v>201714.28571428577</v>
      </c>
      <c r="AB74" s="132">
        <f>(U74-W74)*'11-Viabilidade'!$O$16</f>
        <v>574.32670312499999</v>
      </c>
      <c r="AC74" s="11">
        <f t="shared" si="3"/>
        <v>165.29290172103856</v>
      </c>
      <c r="AD74" s="156">
        <f t="shared" si="4"/>
        <v>2349.7761656250004</v>
      </c>
      <c r="AE74" s="42"/>
      <c r="AF74" s="42"/>
      <c r="AG74" s="42"/>
      <c r="AH74" s="42"/>
    </row>
    <row r="75" spans="1:34" ht="15.75" customHeight="1">
      <c r="A75" s="37"/>
      <c r="B75" s="38">
        <f>IF(AND(B74&gt;0,B74&lt;'11-Viabilidade'!$P$14),B74+1,0)</f>
        <v>68</v>
      </c>
      <c r="C75" s="155">
        <f>IF($B75&lt;'11-Viabilidade'!$C$24,0,$B75-'11-Viabilidade'!$C$24)</f>
        <v>62</v>
      </c>
      <c r="D75" s="11">
        <f>IF(C75&gt;0,'11-Viabilidade'!$K$10,0)*((1+'11-Viabilidade'!$O$10)^(($C75-1)/12))</f>
        <v>3844.44387470524</v>
      </c>
      <c r="E75" s="11">
        <f>D75*'11-Viabilidade'!$L$12</f>
        <v>213.5802152614022</v>
      </c>
      <c r="F75" s="11">
        <f>D75*'11-Viabilidade'!$K$14</f>
        <v>0</v>
      </c>
      <c r="G75" s="11">
        <f>D75*'11-Viabilidade'!$K$15</f>
        <v>192.22219373526201</v>
      </c>
      <c r="H75" s="11">
        <f>IF(D75=0,'11-Viabilidade'!$K$16+'11-Viabilidade'!$K$17,('11-Viabilidade'!$L$11)*((1+'11-Viabilidade'!$O$10)^(($C75-1)/12)))</f>
        <v>502.62543991516645</v>
      </c>
      <c r="I75" s="11">
        <f>'12-SAC Viabilidade'!G78</f>
        <v>2179.9266122303025</v>
      </c>
      <c r="J75" s="11">
        <f>'12-SAC Viabilidade'!H78</f>
        <v>201142.85714285719</v>
      </c>
      <c r="K75" s="132">
        <f>(D75-F75)*'11-Viabilidade'!$O$16</f>
        <v>576.66658120578597</v>
      </c>
      <c r="L75" s="11">
        <f t="shared" si="0"/>
        <v>179.42283235732111</v>
      </c>
      <c r="M75" s="156">
        <f t="shared" si="1"/>
        <v>2359.3494445876231</v>
      </c>
      <c r="N75" s="13"/>
      <c r="O75" s="43"/>
      <c r="P75" s="41">
        <f>IF(B75&lt;='11-Viabilidade'!$G$11,(P74+(P74*'11-Viabilidade'!$H$12)),0)</f>
        <v>0</v>
      </c>
      <c r="Q75" s="41">
        <f>IF(B75='11-Viabilidade'!$G$11,'11-Viabilidade'!$G$16,0)*(1+'11-Viabilidade'!$G$12)^((B75-1)/12)</f>
        <v>0</v>
      </c>
      <c r="R75" s="170">
        <f t="shared" si="2"/>
        <v>0</v>
      </c>
      <c r="S75" s="41">
        <f t="shared" si="5"/>
        <v>68</v>
      </c>
      <c r="T75" s="155">
        <f>IF($S75&lt;'11-Viabilidade'!$C$24,0,$S75-'11-Viabilidade'!$C$24)</f>
        <v>62</v>
      </c>
      <c r="U75" s="11">
        <f>IF(T75&gt;0,'11-Viabilidade'!$K$10,0)*((1+'11-Viabilidade'!$O$10)^(($T75-1)/12))</f>
        <v>3844.44387470524</v>
      </c>
      <c r="V75" s="11">
        <f>U75*'11-Viabilidade'!$L$12</f>
        <v>213.5802152614022</v>
      </c>
      <c r="W75" s="11">
        <f>U75*'11-Viabilidade'!$K$14</f>
        <v>0</v>
      </c>
      <c r="X75" s="11">
        <f>U75*'11-Viabilidade'!$K$15</f>
        <v>192.22219373526201</v>
      </c>
      <c r="Y75" s="11">
        <f>IF(AND(U75=0,S75=0),0,IF(AND(U75=0,S75&lt;&gt;0),'11-Viabilidade'!$K$16+'11-Viabilidade'!$K$17,('11-Viabilidade'!$L$11)*((1+'11-Viabilidade'!$O$10)^(($C75-1)/12))))</f>
        <v>502.62543991516645</v>
      </c>
      <c r="Z75" s="157">
        <f>IFERROR(VLOOKUP(S75,'12-SAC Viabilidade'!$B$11:$G$430,6,FALSE),0)</f>
        <v>2179.9266122303025</v>
      </c>
      <c r="AA75" s="157">
        <f>IFERROR(VLOOKUP(S75,'12-SAC Viabilidade'!$B$11:$H$430,7,FALSE),0)</f>
        <v>201142.85714285719</v>
      </c>
      <c r="AB75" s="132">
        <f>(U75-W75)*'11-Viabilidade'!$O$16</f>
        <v>576.66658120578597</v>
      </c>
      <c r="AC75" s="11">
        <f t="shared" si="3"/>
        <v>179.42283235732111</v>
      </c>
      <c r="AD75" s="156">
        <f t="shared" si="4"/>
        <v>2359.3494445876231</v>
      </c>
      <c r="AE75" s="42"/>
      <c r="AF75" s="42"/>
      <c r="AG75" s="42"/>
      <c r="AH75" s="42"/>
    </row>
    <row r="76" spans="1:34" ht="15.75" customHeight="1">
      <c r="A76" s="37"/>
      <c r="B76" s="38">
        <f>IF(AND(B75&gt;0,B75&lt;'11-Viabilidade'!$P$14),B75+1,0)</f>
        <v>69</v>
      </c>
      <c r="C76" s="155">
        <f>IF($B76&lt;'11-Viabilidade'!$C$24,0,$B76-'11-Viabilidade'!$C$24)</f>
        <v>63</v>
      </c>
      <c r="D76" s="11">
        <f>IF(C76&gt;0,'11-Viabilidade'!$K$10,0)*((1+'11-Viabilidade'!$O$10)^(($C76-1)/12))</f>
        <v>3860.1066149300782</v>
      </c>
      <c r="E76" s="11">
        <f>D76*'11-Viabilidade'!$L$12</f>
        <v>214.45036749611543</v>
      </c>
      <c r="F76" s="11">
        <f>D76*'11-Viabilidade'!$K$14</f>
        <v>0</v>
      </c>
      <c r="G76" s="11">
        <f>D76*'11-Viabilidade'!$K$15</f>
        <v>193.00533074650392</v>
      </c>
      <c r="H76" s="11">
        <f>IF(D76=0,'11-Viabilidade'!$K$16+'11-Viabilidade'!$K$17,('11-Viabilidade'!$L$11)*((1+'11-Viabilidade'!$O$10)^(($C76-1)/12)))</f>
        <v>504.67319817419167</v>
      </c>
      <c r="I76" s="11">
        <f>'12-SAC Viabilidade'!G79</f>
        <v>2175.369960556643</v>
      </c>
      <c r="J76" s="11">
        <f>'12-SAC Viabilidade'!H79</f>
        <v>200571.42857142861</v>
      </c>
      <c r="K76" s="132">
        <f>(D76-F76)*'11-Viabilidade'!$O$16</f>
        <v>579.01599223951166</v>
      </c>
      <c r="L76" s="11">
        <f t="shared" si="0"/>
        <v>193.59176571711259</v>
      </c>
      <c r="M76" s="156">
        <f t="shared" si="1"/>
        <v>2368.9617262737556</v>
      </c>
      <c r="N76" s="13"/>
      <c r="O76" s="43"/>
      <c r="P76" s="41">
        <f>IF(B76&lt;='11-Viabilidade'!$G$11,(P75+(P75*'11-Viabilidade'!$H$12)),0)</f>
        <v>0</v>
      </c>
      <c r="Q76" s="41">
        <f>IF(B76='11-Viabilidade'!$G$11,'11-Viabilidade'!$G$16,0)*(1+'11-Viabilidade'!$G$12)^((B76-1)/12)</f>
        <v>0</v>
      </c>
      <c r="R76" s="170">
        <f t="shared" si="2"/>
        <v>0</v>
      </c>
      <c r="S76" s="41">
        <f t="shared" si="5"/>
        <v>69</v>
      </c>
      <c r="T76" s="155">
        <f>IF($S76&lt;'11-Viabilidade'!$C$24,0,$S76-'11-Viabilidade'!$C$24)</f>
        <v>63</v>
      </c>
      <c r="U76" s="11">
        <f>IF(T76&gt;0,'11-Viabilidade'!$K$10,0)*((1+'11-Viabilidade'!$O$10)^(($T76-1)/12))</f>
        <v>3860.1066149300782</v>
      </c>
      <c r="V76" s="11">
        <f>U76*'11-Viabilidade'!$L$12</f>
        <v>214.45036749611543</v>
      </c>
      <c r="W76" s="11">
        <f>U76*'11-Viabilidade'!$K$14</f>
        <v>0</v>
      </c>
      <c r="X76" s="11">
        <f>U76*'11-Viabilidade'!$K$15</f>
        <v>193.00533074650392</v>
      </c>
      <c r="Y76" s="11">
        <f>IF(AND(U76=0,S76=0),0,IF(AND(U76=0,S76&lt;&gt;0),'11-Viabilidade'!$K$16+'11-Viabilidade'!$K$17,('11-Viabilidade'!$L$11)*((1+'11-Viabilidade'!$O$10)^(($C76-1)/12))))</f>
        <v>504.67319817419167</v>
      </c>
      <c r="Z76" s="157">
        <f>IFERROR(VLOOKUP(S76,'12-SAC Viabilidade'!$B$11:$G$430,6,FALSE),0)</f>
        <v>2175.369960556643</v>
      </c>
      <c r="AA76" s="157">
        <f>IFERROR(VLOOKUP(S76,'12-SAC Viabilidade'!$B$11:$H$430,7,FALSE),0)</f>
        <v>200571.42857142861</v>
      </c>
      <c r="AB76" s="132">
        <f>(U76-W76)*'11-Viabilidade'!$O$16</f>
        <v>579.01599223951166</v>
      </c>
      <c r="AC76" s="11">
        <f t="shared" si="3"/>
        <v>193.59176571711259</v>
      </c>
      <c r="AD76" s="156">
        <f t="shared" si="4"/>
        <v>2368.9617262737556</v>
      </c>
      <c r="AE76" s="42"/>
      <c r="AF76" s="42"/>
      <c r="AG76" s="42"/>
      <c r="AH76" s="42"/>
    </row>
    <row r="77" spans="1:34" ht="15.75" customHeight="1">
      <c r="A77" s="37"/>
      <c r="B77" s="38">
        <f>IF(AND(B76&gt;0,B76&lt;'11-Viabilidade'!$P$14),B76+1,0)</f>
        <v>70</v>
      </c>
      <c r="C77" s="155">
        <f>IF($B77&lt;'11-Viabilidade'!$C$24,0,$B77-'11-Viabilidade'!$C$24)</f>
        <v>64</v>
      </c>
      <c r="D77" s="11">
        <f>IF(C77&gt;0,'11-Viabilidade'!$K$10,0)*((1+'11-Viabilidade'!$O$10)^(($C77-1)/12))</f>
        <v>3875.8331670973826</v>
      </c>
      <c r="E77" s="11">
        <f>D77*'11-Viabilidade'!$L$12</f>
        <v>215.32406483874345</v>
      </c>
      <c r="F77" s="11">
        <f>D77*'11-Viabilidade'!$K$14</f>
        <v>0</v>
      </c>
      <c r="G77" s="11">
        <f>D77*'11-Viabilidade'!$K$15</f>
        <v>193.79165835486913</v>
      </c>
      <c r="H77" s="11">
        <f>IF(D77=0,'11-Viabilidade'!$K$16+'11-Viabilidade'!$K$17,('11-Viabilidade'!$L$11)*((1+'11-Viabilidade'!$O$10)^(($C77-1)/12)))</f>
        <v>506.72929925384295</v>
      </c>
      <c r="I77" s="11">
        <f>'12-SAC Viabilidade'!G80</f>
        <v>2170.8133088829841</v>
      </c>
      <c r="J77" s="11">
        <f>'12-SAC Viabilidade'!H80</f>
        <v>200000.00000000003</v>
      </c>
      <c r="K77" s="132">
        <f>(D77-F77)*'11-Viabilidade'!$O$16</f>
        <v>581.37497506460738</v>
      </c>
      <c r="L77" s="11">
        <f t="shared" si="0"/>
        <v>207.79986070233554</v>
      </c>
      <c r="M77" s="156">
        <f t="shared" si="1"/>
        <v>2378.6131695853196</v>
      </c>
      <c r="N77" s="13"/>
      <c r="O77" s="43"/>
      <c r="P77" s="41">
        <f>IF(B77&lt;='11-Viabilidade'!$G$11,(P76+(P76*'11-Viabilidade'!$H$12)),0)</f>
        <v>0</v>
      </c>
      <c r="Q77" s="41">
        <f>IF(B77='11-Viabilidade'!$G$11,'11-Viabilidade'!$G$16,0)*(1+'11-Viabilidade'!$G$12)^((B77-1)/12)</f>
        <v>0</v>
      </c>
      <c r="R77" s="170">
        <f t="shared" si="2"/>
        <v>0</v>
      </c>
      <c r="S77" s="41">
        <f t="shared" si="5"/>
        <v>70</v>
      </c>
      <c r="T77" s="155">
        <f>IF($S77&lt;'11-Viabilidade'!$C$24,0,$S77-'11-Viabilidade'!$C$24)</f>
        <v>64</v>
      </c>
      <c r="U77" s="11">
        <f>IF(T77&gt;0,'11-Viabilidade'!$K$10,0)*((1+'11-Viabilidade'!$O$10)^(($T77-1)/12))</f>
        <v>3875.8331670973826</v>
      </c>
      <c r="V77" s="11">
        <f>U77*'11-Viabilidade'!$L$12</f>
        <v>215.32406483874345</v>
      </c>
      <c r="W77" s="11">
        <f>U77*'11-Viabilidade'!$K$14</f>
        <v>0</v>
      </c>
      <c r="X77" s="11">
        <f>U77*'11-Viabilidade'!$K$15</f>
        <v>193.79165835486913</v>
      </c>
      <c r="Y77" s="11">
        <f>IF(AND(U77=0,S77=0),0,IF(AND(U77=0,S77&lt;&gt;0),'11-Viabilidade'!$K$16+'11-Viabilidade'!$K$17,('11-Viabilidade'!$L$11)*((1+'11-Viabilidade'!$O$10)^(($C77-1)/12))))</f>
        <v>506.72929925384295</v>
      </c>
      <c r="Z77" s="157">
        <f>IFERROR(VLOOKUP(S77,'12-SAC Viabilidade'!$B$11:$G$430,6,FALSE),0)</f>
        <v>2170.8133088829841</v>
      </c>
      <c r="AA77" s="157">
        <f>IFERROR(VLOOKUP(S77,'12-SAC Viabilidade'!$B$11:$H$430,7,FALSE),0)</f>
        <v>200000.00000000003</v>
      </c>
      <c r="AB77" s="132">
        <f>(U77-W77)*'11-Viabilidade'!$O$16</f>
        <v>581.37497506460738</v>
      </c>
      <c r="AC77" s="11">
        <f t="shared" si="3"/>
        <v>207.79986070233554</v>
      </c>
      <c r="AD77" s="156">
        <f t="shared" si="4"/>
        <v>2378.6131695853196</v>
      </c>
      <c r="AE77" s="42"/>
      <c r="AF77" s="42"/>
      <c r="AG77" s="42"/>
      <c r="AH77" s="42"/>
    </row>
    <row r="78" spans="1:34" ht="15.75" customHeight="1">
      <c r="A78" s="37"/>
      <c r="B78" s="38">
        <f>IF(AND(B77&gt;0,B77&lt;'11-Viabilidade'!$P$14),B77+1,0)</f>
        <v>71</v>
      </c>
      <c r="C78" s="155">
        <f>IF($B78&lt;'11-Viabilidade'!$C$24,0,$B78-'11-Viabilidade'!$C$24)</f>
        <v>65</v>
      </c>
      <c r="D78" s="11">
        <f>IF(C78&gt;0,'11-Viabilidade'!$K$10,0)*((1+'11-Viabilidade'!$O$10)^(($C78-1)/12))</f>
        <v>3891.6237911849066</v>
      </c>
      <c r="E78" s="11">
        <f>D78*'11-Viabilidade'!$L$12</f>
        <v>216.20132173249479</v>
      </c>
      <c r="F78" s="11">
        <f>D78*'11-Viabilidade'!$K$14</f>
        <v>0</v>
      </c>
      <c r="G78" s="11">
        <f>D78*'11-Viabilidade'!$K$15</f>
        <v>194.58118955924533</v>
      </c>
      <c r="H78" s="11">
        <f>IF(D78=0,'11-Viabilidade'!$K$16+'11-Viabilidade'!$K$17,('11-Viabilidade'!$L$11)*((1+'11-Viabilidade'!$O$10)^(($C78-1)/12)))</f>
        <v>508.79377714380439</v>
      </c>
      <c r="I78" s="11">
        <f>'12-SAC Viabilidade'!G81</f>
        <v>2166.2566572093247</v>
      </c>
      <c r="J78" s="11">
        <f>'12-SAC Viabilidade'!H81</f>
        <v>199428.57142857145</v>
      </c>
      <c r="K78" s="132">
        <f>(D78-F78)*'11-Viabilidade'!$O$16</f>
        <v>583.74356867773599</v>
      </c>
      <c r="L78" s="11">
        <f t="shared" si="0"/>
        <v>222.04727686230126</v>
      </c>
      <c r="M78" s="156">
        <f t="shared" si="1"/>
        <v>2388.3039340716259</v>
      </c>
      <c r="N78" s="13"/>
      <c r="O78" s="43"/>
      <c r="P78" s="41">
        <f>IF(B78&lt;='11-Viabilidade'!$G$11,(P77+(P77*'11-Viabilidade'!$H$12)),0)</f>
        <v>0</v>
      </c>
      <c r="Q78" s="41">
        <f>IF(B78='11-Viabilidade'!$G$11,'11-Viabilidade'!$G$16,0)*(1+'11-Viabilidade'!$G$12)^((B78-1)/12)</f>
        <v>0</v>
      </c>
      <c r="R78" s="170">
        <f t="shared" si="2"/>
        <v>0</v>
      </c>
      <c r="S78" s="41">
        <f t="shared" si="5"/>
        <v>71</v>
      </c>
      <c r="T78" s="155">
        <f>IF($S78&lt;'11-Viabilidade'!$C$24,0,$S78-'11-Viabilidade'!$C$24)</f>
        <v>65</v>
      </c>
      <c r="U78" s="11">
        <f>IF(T78&gt;0,'11-Viabilidade'!$K$10,0)*((1+'11-Viabilidade'!$O$10)^(($T78-1)/12))</f>
        <v>3891.6237911849066</v>
      </c>
      <c r="V78" s="11">
        <f>U78*'11-Viabilidade'!$L$12</f>
        <v>216.20132173249479</v>
      </c>
      <c r="W78" s="11">
        <f>U78*'11-Viabilidade'!$K$14</f>
        <v>0</v>
      </c>
      <c r="X78" s="11">
        <f>U78*'11-Viabilidade'!$K$15</f>
        <v>194.58118955924533</v>
      </c>
      <c r="Y78" s="11">
        <f>IF(AND(U78=0,S78=0),0,IF(AND(U78=0,S78&lt;&gt;0),'11-Viabilidade'!$K$16+'11-Viabilidade'!$K$17,('11-Viabilidade'!$L$11)*((1+'11-Viabilidade'!$O$10)^(($C78-1)/12))))</f>
        <v>508.79377714380439</v>
      </c>
      <c r="Z78" s="157">
        <f>IFERROR(VLOOKUP(S78,'12-SAC Viabilidade'!$B$11:$G$430,6,FALSE),0)</f>
        <v>2166.2566572093247</v>
      </c>
      <c r="AA78" s="157">
        <f>IFERROR(VLOOKUP(S78,'12-SAC Viabilidade'!$B$11:$H$430,7,FALSE),0)</f>
        <v>199428.57142857145</v>
      </c>
      <c r="AB78" s="132">
        <f>(U78-W78)*'11-Viabilidade'!$O$16</f>
        <v>583.74356867773599</v>
      </c>
      <c r="AC78" s="11">
        <f t="shared" si="3"/>
        <v>222.04727686230126</v>
      </c>
      <c r="AD78" s="156">
        <f t="shared" si="4"/>
        <v>2388.3039340716259</v>
      </c>
      <c r="AE78" s="42"/>
      <c r="AF78" s="42"/>
      <c r="AG78" s="42"/>
      <c r="AH78" s="42"/>
    </row>
    <row r="79" spans="1:34" ht="15.75" customHeight="1">
      <c r="A79" s="158" t="s">
        <v>238</v>
      </c>
      <c r="B79" s="159">
        <f>IF(AND(B78&gt;0,B78&lt;'11-Viabilidade'!$P$14),B78+1,0)</f>
        <v>72</v>
      </c>
      <c r="C79" s="160">
        <f>IF($B79&lt;'11-Viabilidade'!$C$24,0,$B79-'11-Viabilidade'!$C$24)</f>
        <v>66</v>
      </c>
      <c r="D79" s="161">
        <f>IF(C79&gt;0,'11-Viabilidade'!$K$10,0)*((1+'11-Viabilidade'!$O$10)^(($C79-1)/12))</f>
        <v>3907.4787482295851</v>
      </c>
      <c r="E79" s="161">
        <f>D79*'11-Viabilidade'!$L$12</f>
        <v>217.08215267942137</v>
      </c>
      <c r="F79" s="161">
        <f>D79*'11-Viabilidade'!$K$14</f>
        <v>0</v>
      </c>
      <c r="G79" s="161">
        <f>D79*'11-Viabilidade'!$K$15</f>
        <v>195.37393741147926</v>
      </c>
      <c r="H79" s="11">
        <f>IF(D79=0,'11-Viabilidade'!$K$16+'11-Viabilidade'!$K$17,('11-Viabilidade'!$L$11)*((1+'11-Viabilidade'!$O$10)^(($C79-1)/12)))</f>
        <v>510.86666597223831</v>
      </c>
      <c r="I79" s="161">
        <f>'12-SAC Viabilidade'!G82</f>
        <v>2161.7000055356652</v>
      </c>
      <c r="J79" s="161">
        <f>'12-SAC Viabilidade'!H82</f>
        <v>198857.14285714287</v>
      </c>
      <c r="K79" s="162">
        <f>(D79-F79)*'11-Viabilidade'!$O$16</f>
        <v>586.1218122344377</v>
      </c>
      <c r="L79" s="161">
        <f t="shared" si="0"/>
        <v>236.33417439634331</v>
      </c>
      <c r="M79" s="163">
        <f t="shared" si="1"/>
        <v>2398.0341799320086</v>
      </c>
      <c r="N79" s="164"/>
      <c r="O79" s="171"/>
      <c r="P79" s="165">
        <f>IF(B79&lt;='11-Viabilidade'!$G$11,(P78+(P78*'11-Viabilidade'!$H$12)),0)</f>
        <v>0</v>
      </c>
      <c r="Q79" s="165">
        <f>IF(B79='11-Viabilidade'!$G$11,'11-Viabilidade'!$G$16,0)*(1+'11-Viabilidade'!$G$12)^((B79-1)/12)</f>
        <v>0</v>
      </c>
      <c r="R79" s="172">
        <f t="shared" si="2"/>
        <v>0</v>
      </c>
      <c r="S79" s="165">
        <f t="shared" si="5"/>
        <v>72</v>
      </c>
      <c r="T79" s="160">
        <f>IF($S79&lt;'11-Viabilidade'!$C$24,0,$S79-'11-Viabilidade'!$C$24)</f>
        <v>66</v>
      </c>
      <c r="U79" s="161">
        <f>IF(T79&gt;0,'11-Viabilidade'!$K$10,0)*((1+'11-Viabilidade'!$O$10)^(($T79-1)/12))</f>
        <v>3907.4787482295851</v>
      </c>
      <c r="V79" s="161">
        <f>U79*'11-Viabilidade'!$L$12</f>
        <v>217.08215267942137</v>
      </c>
      <c r="W79" s="161">
        <f>U79*'11-Viabilidade'!$K$14</f>
        <v>0</v>
      </c>
      <c r="X79" s="161">
        <f>U79*'11-Viabilidade'!$K$15</f>
        <v>195.37393741147926</v>
      </c>
      <c r="Y79" s="11">
        <f>IF(AND(U79=0,S79=0),0,IF(AND(U79=0,S79&lt;&gt;0),'11-Viabilidade'!$K$16+'11-Viabilidade'!$K$17,('11-Viabilidade'!$L$11)*((1+'11-Viabilidade'!$O$10)^(($C79-1)/12))))</f>
        <v>510.86666597223831</v>
      </c>
      <c r="Z79" s="168">
        <f>IFERROR(VLOOKUP(S79,'12-SAC Viabilidade'!$B$11:$G$430,6,FALSE),0)</f>
        <v>2161.7000055356652</v>
      </c>
      <c r="AA79" s="168">
        <f>IFERROR(VLOOKUP(S79,'12-SAC Viabilidade'!$B$11:$H$430,7,FALSE),0)</f>
        <v>198857.14285714287</v>
      </c>
      <c r="AB79" s="162">
        <f>(U79-W79)*'11-Viabilidade'!$O$16</f>
        <v>586.1218122344377</v>
      </c>
      <c r="AC79" s="161">
        <f t="shared" si="3"/>
        <v>236.33417439634331</v>
      </c>
      <c r="AD79" s="163">
        <f t="shared" si="4"/>
        <v>2398.0341799320086</v>
      </c>
      <c r="AE79" s="173"/>
      <c r="AF79" s="173"/>
      <c r="AG79" s="173"/>
      <c r="AH79" s="173"/>
    </row>
    <row r="80" spans="1:34" ht="15.75" customHeight="1">
      <c r="A80" s="37"/>
      <c r="B80" s="38">
        <f>IF(AND(B79&gt;0,B79&lt;'11-Viabilidade'!$P$14),B79+1,0)</f>
        <v>73</v>
      </c>
      <c r="C80" s="155">
        <f>IF($B80&lt;'11-Viabilidade'!$C$24,0,$B80-'11-Viabilidade'!$C$24)</f>
        <v>67</v>
      </c>
      <c r="D80" s="11">
        <f>IF(C80&gt;0,'11-Viabilidade'!$K$10,0)*((1+'11-Viabilidade'!$O$10)^(($C80-1)/12))</f>
        <v>3923.3983003318472</v>
      </c>
      <c r="E80" s="11">
        <f>D80*'11-Viabilidade'!$L$12</f>
        <v>217.96657224065817</v>
      </c>
      <c r="F80" s="11">
        <f>D80*'11-Viabilidade'!$K$14</f>
        <v>0</v>
      </c>
      <c r="G80" s="11">
        <f>D80*'11-Viabilidade'!$K$15</f>
        <v>196.16991501659237</v>
      </c>
      <c r="H80" s="11">
        <f>IF(D80=0,'11-Viabilidade'!$K$16+'11-Viabilidade'!$K$17,('11-Viabilidade'!$L$11)*((1+'11-Viabilidade'!$O$10)^(($C80-1)/12)))</f>
        <v>512.94800000634882</v>
      </c>
      <c r="I80" s="11">
        <f>'12-SAC Viabilidade'!G83</f>
        <v>2157.1433538620058</v>
      </c>
      <c r="J80" s="11">
        <f>'12-SAC Viabilidade'!H83</f>
        <v>198285.71428571429</v>
      </c>
      <c r="K80" s="132">
        <f>(D80-F80)*'11-Viabilidade'!$O$16</f>
        <v>588.50974504977705</v>
      </c>
      <c r="L80" s="11">
        <f t="shared" si="0"/>
        <v>250.66071415646502</v>
      </c>
      <c r="M80" s="156">
        <f t="shared" si="1"/>
        <v>2407.8040680184708</v>
      </c>
      <c r="N80" s="13"/>
      <c r="O80" s="43"/>
      <c r="P80" s="41">
        <f>IF(B80&lt;='11-Viabilidade'!$G$11,(P79+(P79*'11-Viabilidade'!$H$12)),0)</f>
        <v>0</v>
      </c>
      <c r="Q80" s="41">
        <f>IF(B80='11-Viabilidade'!$G$11,'11-Viabilidade'!$G$16,0)*(1+'11-Viabilidade'!$G$12)^((B80-1)/12)</f>
        <v>0</v>
      </c>
      <c r="R80" s="170">
        <f t="shared" si="2"/>
        <v>0</v>
      </c>
      <c r="S80" s="41">
        <f t="shared" si="5"/>
        <v>73</v>
      </c>
      <c r="T80" s="155">
        <f>IF($S80&lt;'11-Viabilidade'!$C$24,0,$S80-'11-Viabilidade'!$C$24)</f>
        <v>67</v>
      </c>
      <c r="U80" s="11">
        <f>IF(T80&gt;0,'11-Viabilidade'!$K$10,0)*((1+'11-Viabilidade'!$O$10)^(($T80-1)/12))</f>
        <v>3923.3983003318472</v>
      </c>
      <c r="V80" s="11">
        <f>U80*'11-Viabilidade'!$L$12</f>
        <v>217.96657224065817</v>
      </c>
      <c r="W80" s="11">
        <f>U80*'11-Viabilidade'!$K$14</f>
        <v>0</v>
      </c>
      <c r="X80" s="11">
        <f>U80*'11-Viabilidade'!$K$15</f>
        <v>196.16991501659237</v>
      </c>
      <c r="Y80" s="11">
        <f>IF(AND(U80=0,S80=0),0,IF(AND(U80=0,S80&lt;&gt;0),'11-Viabilidade'!$K$16+'11-Viabilidade'!$K$17,('11-Viabilidade'!$L$11)*((1+'11-Viabilidade'!$O$10)^(($C80-1)/12))))</f>
        <v>512.94800000634882</v>
      </c>
      <c r="Z80" s="157">
        <f>IFERROR(VLOOKUP(S80,'12-SAC Viabilidade'!$B$11:$G$430,6,FALSE),0)</f>
        <v>2157.1433538620058</v>
      </c>
      <c r="AA80" s="157">
        <f>IFERROR(VLOOKUP(S80,'12-SAC Viabilidade'!$B$11:$H$430,7,FALSE),0)</f>
        <v>198285.71428571429</v>
      </c>
      <c r="AB80" s="132">
        <f>(U80-W80)*'11-Viabilidade'!$O$16</f>
        <v>588.50974504977705</v>
      </c>
      <c r="AC80" s="11">
        <f t="shared" si="3"/>
        <v>250.66071415646502</v>
      </c>
      <c r="AD80" s="156">
        <f t="shared" si="4"/>
        <v>2407.8040680184708</v>
      </c>
      <c r="AE80" s="42"/>
      <c r="AF80" s="42"/>
      <c r="AG80" s="42"/>
      <c r="AH80" s="42"/>
    </row>
    <row r="81" spans="1:34" ht="15.75" customHeight="1">
      <c r="A81" s="37"/>
      <c r="B81" s="38">
        <f>IF(AND(B80&gt;0,B80&lt;'11-Viabilidade'!$P$14),B80+1,0)</f>
        <v>74</v>
      </c>
      <c r="C81" s="155">
        <f>IF($B81&lt;'11-Viabilidade'!$C$24,0,$B81-'11-Viabilidade'!$C$24)</f>
        <v>68</v>
      </c>
      <c r="D81" s="11">
        <f>IF(C81&gt;0,'11-Viabilidade'!$K$10,0)*((1+'11-Viabilidade'!$O$10)^(($C81-1)/12))</f>
        <v>3939.3827106599547</v>
      </c>
      <c r="E81" s="11">
        <f>D81*'11-Viabilidade'!$L$12</f>
        <v>218.85459503666414</v>
      </c>
      <c r="F81" s="11">
        <f>D81*'11-Viabilidade'!$K$14</f>
        <v>0</v>
      </c>
      <c r="G81" s="11">
        <f>D81*'11-Viabilidade'!$K$15</f>
        <v>196.96913553299774</v>
      </c>
      <c r="H81" s="11">
        <f>IF(D81=0,'11-Viabilidade'!$K$16+'11-Viabilidade'!$K$17,('11-Viabilidade'!$L$11)*((1+'11-Viabilidade'!$O$10)^(($C81-1)/12)))</f>
        <v>515.03781365294958</v>
      </c>
      <c r="I81" s="11">
        <f>'12-SAC Viabilidade'!G84</f>
        <v>2152.5867021883464</v>
      </c>
      <c r="J81" s="11">
        <f>'12-SAC Viabilidade'!H84</f>
        <v>197714.28571428571</v>
      </c>
      <c r="K81" s="132">
        <f>(D81-F81)*'11-Viabilidade'!$O$16</f>
        <v>590.90740659899313</v>
      </c>
      <c r="L81" s="11">
        <f t="shared" si="0"/>
        <v>265.02705765000383</v>
      </c>
      <c r="M81" s="156">
        <f t="shared" si="1"/>
        <v>2417.6137598383502</v>
      </c>
      <c r="N81" s="13"/>
      <c r="O81" s="43"/>
      <c r="P81" s="41">
        <f>IF(B81&lt;='11-Viabilidade'!$G$11,(P80+(P80*'11-Viabilidade'!$H$12)),0)</f>
        <v>0</v>
      </c>
      <c r="Q81" s="41">
        <f>IF(B81='11-Viabilidade'!$G$11,'11-Viabilidade'!$G$16,0)*(1+'11-Viabilidade'!$G$12)^((B81-1)/12)</f>
        <v>0</v>
      </c>
      <c r="R81" s="170">
        <f t="shared" si="2"/>
        <v>0</v>
      </c>
      <c r="S81" s="41">
        <f t="shared" si="5"/>
        <v>74</v>
      </c>
      <c r="T81" s="155">
        <f>IF($S81&lt;'11-Viabilidade'!$C$24,0,$S81-'11-Viabilidade'!$C$24)</f>
        <v>68</v>
      </c>
      <c r="U81" s="11">
        <f>IF(T81&gt;0,'11-Viabilidade'!$K$10,0)*((1+'11-Viabilidade'!$O$10)^(($T81-1)/12))</f>
        <v>3939.3827106599547</v>
      </c>
      <c r="V81" s="11">
        <f>U81*'11-Viabilidade'!$L$12</f>
        <v>218.85459503666414</v>
      </c>
      <c r="W81" s="11">
        <f>U81*'11-Viabilidade'!$K$14</f>
        <v>0</v>
      </c>
      <c r="X81" s="11">
        <f>U81*'11-Viabilidade'!$K$15</f>
        <v>196.96913553299774</v>
      </c>
      <c r="Y81" s="11">
        <f>IF(AND(U81=0,S81=0),0,IF(AND(U81=0,S81&lt;&gt;0),'11-Viabilidade'!$K$16+'11-Viabilidade'!$K$17,('11-Viabilidade'!$L$11)*((1+'11-Viabilidade'!$O$10)^(($C81-1)/12))))</f>
        <v>515.03781365294958</v>
      </c>
      <c r="Z81" s="157">
        <f>IFERROR(VLOOKUP(S81,'12-SAC Viabilidade'!$B$11:$G$430,6,FALSE),0)</f>
        <v>2152.5867021883464</v>
      </c>
      <c r="AA81" s="157">
        <f>IFERROR(VLOOKUP(S81,'12-SAC Viabilidade'!$B$11:$H$430,7,FALSE),0)</f>
        <v>197714.28571428571</v>
      </c>
      <c r="AB81" s="132">
        <f>(U81-W81)*'11-Viabilidade'!$O$16</f>
        <v>590.90740659899313</v>
      </c>
      <c r="AC81" s="11">
        <f t="shared" si="3"/>
        <v>265.02705765000383</v>
      </c>
      <c r="AD81" s="156">
        <f t="shared" si="4"/>
        <v>2417.6137598383502</v>
      </c>
      <c r="AE81" s="42"/>
      <c r="AF81" s="42"/>
      <c r="AG81" s="42"/>
      <c r="AH81" s="42"/>
    </row>
    <row r="82" spans="1:34" ht="15.75" customHeight="1">
      <c r="A82" s="37"/>
      <c r="B82" s="38">
        <f>IF(AND(B81&gt;0,B81&lt;'11-Viabilidade'!$P$14),B81+1,0)</f>
        <v>75</v>
      </c>
      <c r="C82" s="155">
        <f>IF($B82&lt;'11-Viabilidade'!$C$24,0,$B82-'11-Viabilidade'!$C$24)</f>
        <v>69</v>
      </c>
      <c r="D82" s="11">
        <f>IF(C82&gt;0,'11-Viabilidade'!$K$10,0)*((1+'11-Viabilidade'!$O$10)^(($C82-1)/12))</f>
        <v>3955.4322434543474</v>
      </c>
      <c r="E82" s="11">
        <f>D82*'11-Viabilidade'!$L$12</f>
        <v>219.74623574746374</v>
      </c>
      <c r="F82" s="11">
        <f>D82*'11-Viabilidade'!$K$14</f>
        <v>0</v>
      </c>
      <c r="G82" s="11">
        <f>D82*'11-Viabilidade'!$K$15</f>
        <v>197.77161217271737</v>
      </c>
      <c r="H82" s="11">
        <f>IF(D82=0,'11-Viabilidade'!$K$16+'11-Viabilidade'!$K$17,('11-Viabilidade'!$L$11)*((1+'11-Viabilidade'!$O$10)^(($C82-1)/12)))</f>
        <v>517.13614145903125</v>
      </c>
      <c r="I82" s="11">
        <f>'12-SAC Viabilidade'!G85</f>
        <v>2148.030050514687</v>
      </c>
      <c r="J82" s="11">
        <f>'12-SAC Viabilidade'!H85</f>
        <v>197142.85714285716</v>
      </c>
      <c r="K82" s="132">
        <f>(D82-F82)*'11-Viabilidade'!$O$16</f>
        <v>593.31483651815211</v>
      </c>
      <c r="L82" s="11">
        <f t="shared" si="0"/>
        <v>279.43336704229569</v>
      </c>
      <c r="M82" s="156">
        <f t="shared" si="1"/>
        <v>2427.4634175569827</v>
      </c>
      <c r="N82" s="13"/>
      <c r="O82" s="43"/>
      <c r="P82" s="41">
        <f>IF(B82&lt;='11-Viabilidade'!$G$11,(P81+(P81*'11-Viabilidade'!$H$12)),0)</f>
        <v>0</v>
      </c>
      <c r="Q82" s="41">
        <f>IF(B82='11-Viabilidade'!$G$11,'11-Viabilidade'!$G$16,0)*(1+'11-Viabilidade'!$G$12)^((B82-1)/12)</f>
        <v>0</v>
      </c>
      <c r="R82" s="170">
        <f t="shared" si="2"/>
        <v>0</v>
      </c>
      <c r="S82" s="41">
        <f t="shared" si="5"/>
        <v>75</v>
      </c>
      <c r="T82" s="155">
        <f>IF($S82&lt;'11-Viabilidade'!$C$24,0,$S82-'11-Viabilidade'!$C$24)</f>
        <v>69</v>
      </c>
      <c r="U82" s="11">
        <f>IF(T82&gt;0,'11-Viabilidade'!$K$10,0)*((1+'11-Viabilidade'!$O$10)^(($T82-1)/12))</f>
        <v>3955.4322434543474</v>
      </c>
      <c r="V82" s="11">
        <f>U82*'11-Viabilidade'!$L$12</f>
        <v>219.74623574746374</v>
      </c>
      <c r="W82" s="11">
        <f>U82*'11-Viabilidade'!$K$14</f>
        <v>0</v>
      </c>
      <c r="X82" s="11">
        <f>U82*'11-Viabilidade'!$K$15</f>
        <v>197.77161217271737</v>
      </c>
      <c r="Y82" s="11">
        <f>IF(AND(U82=0,S82=0),0,IF(AND(U82=0,S82&lt;&gt;0),'11-Viabilidade'!$K$16+'11-Viabilidade'!$K$17,('11-Viabilidade'!$L$11)*((1+'11-Viabilidade'!$O$10)^(($C82-1)/12))))</f>
        <v>517.13614145903125</v>
      </c>
      <c r="Z82" s="157">
        <f>IFERROR(VLOOKUP(S82,'12-SAC Viabilidade'!$B$11:$G$430,6,FALSE),0)</f>
        <v>2148.030050514687</v>
      </c>
      <c r="AA82" s="157">
        <f>IFERROR(VLOOKUP(S82,'12-SAC Viabilidade'!$B$11:$H$430,7,FALSE),0)</f>
        <v>197142.85714285716</v>
      </c>
      <c r="AB82" s="132">
        <f>(U82-W82)*'11-Viabilidade'!$O$16</f>
        <v>593.31483651815211</v>
      </c>
      <c r="AC82" s="11">
        <f t="shared" si="3"/>
        <v>279.43336704229569</v>
      </c>
      <c r="AD82" s="156">
        <f t="shared" si="4"/>
        <v>2427.4634175569827</v>
      </c>
      <c r="AE82" s="42"/>
      <c r="AF82" s="42"/>
      <c r="AG82" s="42"/>
      <c r="AH82" s="42"/>
    </row>
    <row r="83" spans="1:34" ht="15.75" customHeight="1">
      <c r="A83" s="37"/>
      <c r="B83" s="38">
        <f>IF(AND(B82&gt;0,B82&lt;'11-Viabilidade'!$P$14),B82+1,0)</f>
        <v>76</v>
      </c>
      <c r="C83" s="155">
        <f>IF($B83&lt;'11-Viabilidade'!$C$24,0,$B83-'11-Viabilidade'!$C$24)</f>
        <v>70</v>
      </c>
      <c r="D83" s="11">
        <f>IF(C83&gt;0,'11-Viabilidade'!$K$10,0)*((1+'11-Viabilidade'!$O$10)^(($C83-1)/12))</f>
        <v>3971.5471640320143</v>
      </c>
      <c r="E83" s="11">
        <f>D83*'11-Viabilidade'!$L$12</f>
        <v>220.64150911288968</v>
      </c>
      <c r="F83" s="11">
        <f>D83*'11-Viabilidade'!$K$14</f>
        <v>0</v>
      </c>
      <c r="G83" s="11">
        <f>D83*'11-Viabilidade'!$K$15</f>
        <v>198.57735820160073</v>
      </c>
      <c r="H83" s="11">
        <f>IF(D83=0,'11-Viabilidade'!$K$16+'11-Viabilidade'!$K$17,('11-Viabilidade'!$L$11)*((1+'11-Viabilidade'!$O$10)^(($C83-1)/12)))</f>
        <v>519.24301811233363</v>
      </c>
      <c r="I83" s="11">
        <f>'12-SAC Viabilidade'!G86</f>
        <v>2143.473398841028</v>
      </c>
      <c r="J83" s="11">
        <f>'12-SAC Viabilidade'!H86</f>
        <v>196571.42857142861</v>
      </c>
      <c r="K83" s="132">
        <f>(D83-F83)*'11-Viabilidade'!$O$16</f>
        <v>595.73207460480216</v>
      </c>
      <c r="L83" s="11">
        <f t="shared" si="0"/>
        <v>293.87980515936033</v>
      </c>
      <c r="M83" s="156">
        <f t="shared" si="1"/>
        <v>2437.3532040003884</v>
      </c>
      <c r="N83" s="13"/>
      <c r="O83" s="43"/>
      <c r="P83" s="41">
        <f>IF(B83&lt;='11-Viabilidade'!$G$11,(P82+(P82*'11-Viabilidade'!$H$12)),0)</f>
        <v>0</v>
      </c>
      <c r="Q83" s="41">
        <f>IF(B83='11-Viabilidade'!$G$11,'11-Viabilidade'!$G$16,0)*(1+'11-Viabilidade'!$G$12)^((B83-1)/12)</f>
        <v>0</v>
      </c>
      <c r="R83" s="170">
        <f t="shared" si="2"/>
        <v>0</v>
      </c>
      <c r="S83" s="41">
        <f t="shared" si="5"/>
        <v>76</v>
      </c>
      <c r="T83" s="155">
        <f>IF($S83&lt;'11-Viabilidade'!$C$24,0,$S83-'11-Viabilidade'!$C$24)</f>
        <v>70</v>
      </c>
      <c r="U83" s="11">
        <f>IF(T83&gt;0,'11-Viabilidade'!$K$10,0)*((1+'11-Viabilidade'!$O$10)^(($T83-1)/12))</f>
        <v>3971.5471640320143</v>
      </c>
      <c r="V83" s="11">
        <f>U83*'11-Viabilidade'!$L$12</f>
        <v>220.64150911288968</v>
      </c>
      <c r="W83" s="11">
        <f>U83*'11-Viabilidade'!$K$14</f>
        <v>0</v>
      </c>
      <c r="X83" s="11">
        <f>U83*'11-Viabilidade'!$K$15</f>
        <v>198.57735820160073</v>
      </c>
      <c r="Y83" s="11">
        <f>IF(AND(U83=0,S83=0),0,IF(AND(U83=0,S83&lt;&gt;0),'11-Viabilidade'!$K$16+'11-Viabilidade'!$K$17,('11-Viabilidade'!$L$11)*((1+'11-Viabilidade'!$O$10)^(($C83-1)/12))))</f>
        <v>519.24301811233363</v>
      </c>
      <c r="Z83" s="157">
        <f>IFERROR(VLOOKUP(S83,'12-SAC Viabilidade'!$B$11:$G$430,6,FALSE),0)</f>
        <v>2143.473398841028</v>
      </c>
      <c r="AA83" s="157">
        <f>IFERROR(VLOOKUP(S83,'12-SAC Viabilidade'!$B$11:$H$430,7,FALSE),0)</f>
        <v>196571.42857142861</v>
      </c>
      <c r="AB83" s="132">
        <f>(U83-W83)*'11-Viabilidade'!$O$16</f>
        <v>595.73207460480216</v>
      </c>
      <c r="AC83" s="11">
        <f t="shared" si="3"/>
        <v>293.87980515936033</v>
      </c>
      <c r="AD83" s="156">
        <f t="shared" si="4"/>
        <v>2437.3532040003884</v>
      </c>
      <c r="AE83" s="42"/>
      <c r="AF83" s="42"/>
      <c r="AG83" s="42"/>
      <c r="AH83" s="42"/>
    </row>
    <row r="84" spans="1:34" ht="15.75" customHeight="1">
      <c r="A84" s="37"/>
      <c r="B84" s="38">
        <f>IF(AND(B83&gt;0,B83&lt;'11-Viabilidade'!$P$14),B83+1,0)</f>
        <v>77</v>
      </c>
      <c r="C84" s="155">
        <f>IF($B84&lt;'11-Viabilidade'!$C$24,0,$B84-'11-Viabilidade'!$C$24)</f>
        <v>71</v>
      </c>
      <c r="D84" s="11">
        <f>IF(C84&gt;0,'11-Viabilidade'!$K$10,0)*((1+'11-Viabilidade'!$O$10)^(($C84-1)/12))</f>
        <v>3987.727738790878</v>
      </c>
      <c r="E84" s="11">
        <f>D84*'11-Viabilidade'!$L$12</f>
        <v>221.54042993282656</v>
      </c>
      <c r="F84" s="11">
        <f>D84*'11-Viabilidade'!$K$14</f>
        <v>0</v>
      </c>
      <c r="G84" s="11">
        <f>D84*'11-Viabilidade'!$K$15</f>
        <v>199.38638693954391</v>
      </c>
      <c r="H84" s="11">
        <f>IF(D84=0,'11-Viabilidade'!$K$16+'11-Viabilidade'!$K$17,('11-Viabilidade'!$L$11)*((1+'11-Viabilidade'!$O$10)^(($C84-1)/12)))</f>
        <v>521.35847844191846</v>
      </c>
      <c r="I84" s="11">
        <f>'12-SAC Viabilidade'!G87</f>
        <v>2138.9167471673686</v>
      </c>
      <c r="J84" s="11">
        <f>'12-SAC Viabilidade'!H87</f>
        <v>196000.00000000006</v>
      </c>
      <c r="K84" s="132">
        <f>(D84-F84)*'11-Viabilidade'!$O$16</f>
        <v>598.15916081863168</v>
      </c>
      <c r="L84" s="11">
        <f t="shared" si="0"/>
        <v>308.36653549058883</v>
      </c>
      <c r="M84" s="156">
        <f t="shared" si="1"/>
        <v>2447.2832826579574</v>
      </c>
      <c r="N84" s="13"/>
      <c r="O84" s="43"/>
      <c r="P84" s="41">
        <f>IF(B84&lt;='11-Viabilidade'!$G$11,(P83+(P83*'11-Viabilidade'!$H$12)),0)</f>
        <v>0</v>
      </c>
      <c r="Q84" s="41">
        <f>IF(B84='11-Viabilidade'!$G$11,'11-Viabilidade'!$G$16,0)*(1+'11-Viabilidade'!$G$12)^((B84-1)/12)</f>
        <v>0</v>
      </c>
      <c r="R84" s="170">
        <f t="shared" si="2"/>
        <v>0</v>
      </c>
      <c r="S84" s="41">
        <f t="shared" si="5"/>
        <v>77</v>
      </c>
      <c r="T84" s="155">
        <f>IF($S84&lt;'11-Viabilidade'!$C$24,0,$S84-'11-Viabilidade'!$C$24)</f>
        <v>71</v>
      </c>
      <c r="U84" s="11">
        <f>IF(T84&gt;0,'11-Viabilidade'!$K$10,0)*((1+'11-Viabilidade'!$O$10)^(($T84-1)/12))</f>
        <v>3987.727738790878</v>
      </c>
      <c r="V84" s="11">
        <f>U84*'11-Viabilidade'!$L$12</f>
        <v>221.54042993282656</v>
      </c>
      <c r="W84" s="11">
        <f>U84*'11-Viabilidade'!$K$14</f>
        <v>0</v>
      </c>
      <c r="X84" s="11">
        <f>U84*'11-Viabilidade'!$K$15</f>
        <v>199.38638693954391</v>
      </c>
      <c r="Y84" s="11">
        <f>IF(AND(U84=0,S84=0),0,IF(AND(U84=0,S84&lt;&gt;0),'11-Viabilidade'!$K$16+'11-Viabilidade'!$K$17,('11-Viabilidade'!$L$11)*((1+'11-Viabilidade'!$O$10)^(($C84-1)/12))))</f>
        <v>521.35847844191846</v>
      </c>
      <c r="Z84" s="157">
        <f>IFERROR(VLOOKUP(S84,'12-SAC Viabilidade'!$B$11:$G$430,6,FALSE),0)</f>
        <v>2138.9167471673686</v>
      </c>
      <c r="AA84" s="157">
        <f>IFERROR(VLOOKUP(S84,'12-SAC Viabilidade'!$B$11:$H$430,7,FALSE),0)</f>
        <v>196000.00000000006</v>
      </c>
      <c r="AB84" s="132">
        <f>(U84-W84)*'11-Viabilidade'!$O$16</f>
        <v>598.15916081863168</v>
      </c>
      <c r="AC84" s="11">
        <f t="shared" si="3"/>
        <v>308.36653549058883</v>
      </c>
      <c r="AD84" s="156">
        <f t="shared" si="4"/>
        <v>2447.2832826579574</v>
      </c>
      <c r="AE84" s="42"/>
      <c r="AF84" s="42"/>
      <c r="AG84" s="42"/>
      <c r="AH84" s="42"/>
    </row>
    <row r="85" spans="1:34" ht="15.75" customHeight="1">
      <c r="A85" s="37"/>
      <c r="B85" s="38">
        <f>IF(AND(B84&gt;0,B84&lt;'11-Viabilidade'!$P$14),B84+1,0)</f>
        <v>78</v>
      </c>
      <c r="C85" s="155">
        <f>IF($B85&lt;'11-Viabilidade'!$C$24,0,$B85-'11-Viabilidade'!$C$24)</f>
        <v>72</v>
      </c>
      <c r="D85" s="11">
        <f>IF(C85&gt;0,'11-Viabilidade'!$K$10,0)*((1+'11-Viabilidade'!$O$10)^(($C85-1)/12))</f>
        <v>4003.9742352141998</v>
      </c>
      <c r="E85" s="11">
        <f>D85*'11-Viabilidade'!$L$12</f>
        <v>222.44301306745552</v>
      </c>
      <c r="F85" s="11">
        <f>D85*'11-Viabilidade'!$K$14</f>
        <v>0</v>
      </c>
      <c r="G85" s="11">
        <f>D85*'11-Viabilidade'!$K$15</f>
        <v>200.19871176071001</v>
      </c>
      <c r="H85" s="11">
        <f>IF(D85=0,'11-Viabilidade'!$K$16+'11-Viabilidade'!$K$17,('11-Viabilidade'!$L$11)*((1+'11-Viabilidade'!$O$10)^(($C85-1)/12)))</f>
        <v>523.48255741874527</v>
      </c>
      <c r="I85" s="11">
        <f>'12-SAC Viabilidade'!G88</f>
        <v>2134.3600954937097</v>
      </c>
      <c r="J85" s="11">
        <f>'12-SAC Viabilidade'!H88</f>
        <v>195428.57142857151</v>
      </c>
      <c r="K85" s="132">
        <f>(D85-F85)*'11-Viabilidade'!$O$16</f>
        <v>600.59613528212992</v>
      </c>
      <c r="L85" s="11">
        <f t="shared" si="0"/>
        <v>322.89372219144934</v>
      </c>
      <c r="M85" s="156">
        <f t="shared" si="1"/>
        <v>2457.253817685159</v>
      </c>
      <c r="N85" s="13"/>
      <c r="O85" s="43"/>
      <c r="P85" s="41">
        <f>IF(B85&lt;='11-Viabilidade'!$G$11,(P84+(P84*'11-Viabilidade'!$H$12)),0)</f>
        <v>0</v>
      </c>
      <c r="Q85" s="41">
        <f>IF(B85='11-Viabilidade'!$G$11,'11-Viabilidade'!$G$16,0)*(1+'11-Viabilidade'!$G$12)^((B85-1)/12)</f>
        <v>0</v>
      </c>
      <c r="R85" s="170">
        <f t="shared" si="2"/>
        <v>0</v>
      </c>
      <c r="S85" s="41">
        <f t="shared" si="5"/>
        <v>78</v>
      </c>
      <c r="T85" s="155">
        <f>IF($S85&lt;'11-Viabilidade'!$C$24,0,$S85-'11-Viabilidade'!$C$24)</f>
        <v>72</v>
      </c>
      <c r="U85" s="11">
        <f>IF(T85&gt;0,'11-Viabilidade'!$K$10,0)*((1+'11-Viabilidade'!$O$10)^(($T85-1)/12))</f>
        <v>4003.9742352141998</v>
      </c>
      <c r="V85" s="11">
        <f>U85*'11-Viabilidade'!$L$12</f>
        <v>222.44301306745552</v>
      </c>
      <c r="W85" s="11">
        <f>U85*'11-Viabilidade'!$K$14</f>
        <v>0</v>
      </c>
      <c r="X85" s="11">
        <f>U85*'11-Viabilidade'!$K$15</f>
        <v>200.19871176071001</v>
      </c>
      <c r="Y85" s="11">
        <f>IF(AND(U85=0,S85=0),0,IF(AND(U85=0,S85&lt;&gt;0),'11-Viabilidade'!$K$16+'11-Viabilidade'!$K$17,('11-Viabilidade'!$L$11)*((1+'11-Viabilidade'!$O$10)^(($C85-1)/12))))</f>
        <v>523.48255741874527</v>
      </c>
      <c r="Z85" s="157">
        <f>IFERROR(VLOOKUP(S85,'12-SAC Viabilidade'!$B$11:$G$430,6,FALSE),0)</f>
        <v>2134.3600954937097</v>
      </c>
      <c r="AA85" s="157">
        <f>IFERROR(VLOOKUP(S85,'12-SAC Viabilidade'!$B$11:$H$430,7,FALSE),0)</f>
        <v>195428.57142857151</v>
      </c>
      <c r="AB85" s="132">
        <f>(U85-W85)*'11-Viabilidade'!$O$16</f>
        <v>600.59613528212992</v>
      </c>
      <c r="AC85" s="11">
        <f t="shared" si="3"/>
        <v>322.89372219144934</v>
      </c>
      <c r="AD85" s="156">
        <f t="shared" si="4"/>
        <v>2457.253817685159</v>
      </c>
      <c r="AE85" s="42"/>
      <c r="AF85" s="42"/>
      <c r="AG85" s="42"/>
      <c r="AH85" s="42"/>
    </row>
    <row r="86" spans="1:34" ht="15.75" customHeight="1">
      <c r="A86" s="37"/>
      <c r="B86" s="38">
        <f>IF(AND(B85&gt;0,B85&lt;'11-Viabilidade'!$P$14),B85+1,0)</f>
        <v>79</v>
      </c>
      <c r="C86" s="155">
        <f>IF($B86&lt;'11-Viabilidade'!$C$24,0,$B86-'11-Viabilidade'!$C$24)</f>
        <v>73</v>
      </c>
      <c r="D86" s="11">
        <f>IF(C86&gt;0,'11-Viabilidade'!$K$10,0)*((1+'11-Viabilidade'!$O$10)^(($C86-1)/12))</f>
        <v>4020.2869218749997</v>
      </c>
      <c r="E86" s="11">
        <f>D86*'11-Viabilidade'!$L$12</f>
        <v>223.34927343749996</v>
      </c>
      <c r="F86" s="11">
        <f>D86*'11-Viabilidade'!$K$14</f>
        <v>0</v>
      </c>
      <c r="G86" s="11">
        <f>D86*'11-Viabilidade'!$K$15</f>
        <v>201.01434609374999</v>
      </c>
      <c r="H86" s="11">
        <f>IF(D86=0,'11-Viabilidade'!$K$16+'11-Viabilidade'!$K$17,('11-Viabilidade'!$L$11)*((1+'11-Viabilidade'!$O$10)^(($C86-1)/12)))</f>
        <v>525.6152901562499</v>
      </c>
      <c r="I86" s="11">
        <f>'12-SAC Viabilidade'!G89</f>
        <v>2129.8034438200507</v>
      </c>
      <c r="J86" s="11">
        <f>'12-SAC Viabilidade'!H89</f>
        <v>194857.14285714296</v>
      </c>
      <c r="K86" s="132">
        <f>(D86-F86)*'11-Viabilidade'!$O$16</f>
        <v>603.04303828124989</v>
      </c>
      <c r="L86" s="11">
        <f t="shared" si="0"/>
        <v>337.46153008619922</v>
      </c>
      <c r="M86" s="156">
        <f t="shared" si="1"/>
        <v>2467.2649739062499</v>
      </c>
      <c r="N86" s="13"/>
      <c r="O86" s="43"/>
      <c r="P86" s="41">
        <f>IF(B86&lt;='11-Viabilidade'!$G$11,(P85+(P85*'11-Viabilidade'!$H$12)),0)</f>
        <v>0</v>
      </c>
      <c r="Q86" s="41">
        <f>IF(B86='11-Viabilidade'!$G$11,'11-Viabilidade'!$G$16,0)*(1+'11-Viabilidade'!$G$12)^((B86-1)/12)</f>
        <v>0</v>
      </c>
      <c r="R86" s="170">
        <f t="shared" si="2"/>
        <v>0</v>
      </c>
      <c r="S86" s="41">
        <f t="shared" si="5"/>
        <v>79</v>
      </c>
      <c r="T86" s="155">
        <f>IF($S86&lt;'11-Viabilidade'!$C$24,0,$S86-'11-Viabilidade'!$C$24)</f>
        <v>73</v>
      </c>
      <c r="U86" s="11">
        <f>IF(T86&gt;0,'11-Viabilidade'!$K$10,0)*((1+'11-Viabilidade'!$O$10)^(($T86-1)/12))</f>
        <v>4020.2869218749997</v>
      </c>
      <c r="V86" s="11">
        <f>U86*'11-Viabilidade'!$L$12</f>
        <v>223.34927343749996</v>
      </c>
      <c r="W86" s="11">
        <f>U86*'11-Viabilidade'!$K$14</f>
        <v>0</v>
      </c>
      <c r="X86" s="11">
        <f>U86*'11-Viabilidade'!$K$15</f>
        <v>201.01434609374999</v>
      </c>
      <c r="Y86" s="11">
        <f>IF(AND(U86=0,S86=0),0,IF(AND(U86=0,S86&lt;&gt;0),'11-Viabilidade'!$K$16+'11-Viabilidade'!$K$17,('11-Viabilidade'!$L$11)*((1+'11-Viabilidade'!$O$10)^(($C86-1)/12))))</f>
        <v>525.6152901562499</v>
      </c>
      <c r="Z86" s="157">
        <f>IFERROR(VLOOKUP(S86,'12-SAC Viabilidade'!$B$11:$G$430,6,FALSE),0)</f>
        <v>2129.8034438200507</v>
      </c>
      <c r="AA86" s="157">
        <f>IFERROR(VLOOKUP(S86,'12-SAC Viabilidade'!$B$11:$H$430,7,FALSE),0)</f>
        <v>194857.14285714296</v>
      </c>
      <c r="AB86" s="132">
        <f>(U86-W86)*'11-Viabilidade'!$O$16</f>
        <v>603.04303828124989</v>
      </c>
      <c r="AC86" s="11">
        <f t="shared" si="3"/>
        <v>337.46153008619922</v>
      </c>
      <c r="AD86" s="156">
        <f t="shared" si="4"/>
        <v>2467.2649739062499</v>
      </c>
      <c r="AE86" s="42"/>
      <c r="AF86" s="42"/>
      <c r="AG86" s="42"/>
      <c r="AH86" s="42"/>
    </row>
    <row r="87" spans="1:34" ht="15.75" customHeight="1">
      <c r="A87" s="37"/>
      <c r="B87" s="38">
        <f>IF(AND(B86&gt;0,B86&lt;'11-Viabilidade'!$P$14),B86+1,0)</f>
        <v>80</v>
      </c>
      <c r="C87" s="155">
        <f>IF($B87&lt;'11-Viabilidade'!$C$24,0,$B87-'11-Viabilidade'!$C$24)</f>
        <v>74</v>
      </c>
      <c r="D87" s="11">
        <f>IF(C87&gt;0,'11-Viabilidade'!$K$10,0)*((1+'11-Viabilidade'!$O$10)^(($C87-1)/12))</f>
        <v>4036.6660684405024</v>
      </c>
      <c r="E87" s="11">
        <f>D87*'11-Viabilidade'!$L$12</f>
        <v>224.25922602447235</v>
      </c>
      <c r="F87" s="11">
        <f>D87*'11-Viabilidade'!$K$14</f>
        <v>0</v>
      </c>
      <c r="G87" s="11">
        <f>D87*'11-Viabilidade'!$K$15</f>
        <v>201.83330342202512</v>
      </c>
      <c r="H87" s="11">
        <f>IF(D87=0,'11-Viabilidade'!$K$16+'11-Viabilidade'!$K$17,('11-Viabilidade'!$L$11)*((1+'11-Viabilidade'!$O$10)^(($C87-1)/12)))</f>
        <v>527.75671191092488</v>
      </c>
      <c r="I87" s="11">
        <f>'12-SAC Viabilidade'!G90</f>
        <v>2125.2467921463913</v>
      </c>
      <c r="J87" s="11">
        <f>'12-SAC Viabilidade'!H90</f>
        <v>194285.71428571441</v>
      </c>
      <c r="K87" s="132">
        <f>(D87-F87)*'11-Viabilidade'!$O$16</f>
        <v>605.49991026607529</v>
      </c>
      <c r="L87" s="11">
        <f t="shared" si="0"/>
        <v>352.0701246706135</v>
      </c>
      <c r="M87" s="156">
        <f t="shared" si="1"/>
        <v>2477.3169168170048</v>
      </c>
      <c r="N87" s="13"/>
      <c r="O87" s="43"/>
      <c r="P87" s="41">
        <f>IF(B87&lt;='11-Viabilidade'!$G$11,(P86+(P86*'11-Viabilidade'!$H$12)),0)</f>
        <v>0</v>
      </c>
      <c r="Q87" s="41">
        <f>IF(B87='11-Viabilidade'!$G$11,'11-Viabilidade'!$G$16,0)*(1+'11-Viabilidade'!$G$12)^((B87-1)/12)</f>
        <v>0</v>
      </c>
      <c r="R87" s="170">
        <f t="shared" si="2"/>
        <v>0</v>
      </c>
      <c r="S87" s="41">
        <f t="shared" si="5"/>
        <v>80</v>
      </c>
      <c r="T87" s="155">
        <f>IF($S87&lt;'11-Viabilidade'!$C$24,0,$S87-'11-Viabilidade'!$C$24)</f>
        <v>74</v>
      </c>
      <c r="U87" s="11">
        <f>IF(T87&gt;0,'11-Viabilidade'!$K$10,0)*((1+'11-Viabilidade'!$O$10)^(($T87-1)/12))</f>
        <v>4036.6660684405024</v>
      </c>
      <c r="V87" s="11">
        <f>U87*'11-Viabilidade'!$L$12</f>
        <v>224.25922602447235</v>
      </c>
      <c r="W87" s="11">
        <f>U87*'11-Viabilidade'!$K$14</f>
        <v>0</v>
      </c>
      <c r="X87" s="11">
        <f>U87*'11-Viabilidade'!$K$15</f>
        <v>201.83330342202512</v>
      </c>
      <c r="Y87" s="11">
        <f>IF(AND(U87=0,S87=0),0,IF(AND(U87=0,S87&lt;&gt;0),'11-Viabilidade'!$K$16+'11-Viabilidade'!$K$17,('11-Viabilidade'!$L$11)*((1+'11-Viabilidade'!$O$10)^(($C87-1)/12))))</f>
        <v>527.75671191092488</v>
      </c>
      <c r="Z87" s="157">
        <f>IFERROR(VLOOKUP(S87,'12-SAC Viabilidade'!$B$11:$G$430,6,FALSE),0)</f>
        <v>2125.2467921463913</v>
      </c>
      <c r="AA87" s="157">
        <f>IFERROR(VLOOKUP(S87,'12-SAC Viabilidade'!$B$11:$H$430,7,FALSE),0)</f>
        <v>194285.71428571441</v>
      </c>
      <c r="AB87" s="132">
        <f>(U87-W87)*'11-Viabilidade'!$O$16</f>
        <v>605.49991026607529</v>
      </c>
      <c r="AC87" s="11">
        <f t="shared" si="3"/>
        <v>352.0701246706135</v>
      </c>
      <c r="AD87" s="156">
        <f t="shared" si="4"/>
        <v>2477.3169168170048</v>
      </c>
      <c r="AE87" s="42"/>
      <c r="AF87" s="42"/>
      <c r="AG87" s="42"/>
      <c r="AH87" s="42"/>
    </row>
    <row r="88" spans="1:34" ht="15.75" customHeight="1">
      <c r="A88" s="37"/>
      <c r="B88" s="38">
        <f>IF(AND(B87&gt;0,B87&lt;'11-Viabilidade'!$P$14),B87+1,0)</f>
        <v>81</v>
      </c>
      <c r="C88" s="155">
        <f>IF($B88&lt;'11-Viabilidade'!$C$24,0,$B88-'11-Viabilidade'!$C$24)</f>
        <v>75</v>
      </c>
      <c r="D88" s="11">
        <f>IF(C88&gt;0,'11-Viabilidade'!$K$10,0)*((1+'11-Viabilidade'!$O$10)^(($C88-1)/12))</f>
        <v>4053.1119456765819</v>
      </c>
      <c r="E88" s="11">
        <f>D88*'11-Viabilidade'!$L$12</f>
        <v>225.17288587092119</v>
      </c>
      <c r="F88" s="11">
        <f>D88*'11-Viabilidade'!$K$14</f>
        <v>0</v>
      </c>
      <c r="G88" s="11">
        <f>D88*'11-Viabilidade'!$K$15</f>
        <v>202.65559728382911</v>
      </c>
      <c r="H88" s="11">
        <f>IF(D88=0,'11-Viabilidade'!$K$16+'11-Viabilidade'!$K$17,('11-Viabilidade'!$L$11)*((1+'11-Viabilidade'!$O$10)^(($C88-1)/12)))</f>
        <v>529.90685808290118</v>
      </c>
      <c r="I88" s="11">
        <f>'12-SAC Viabilidade'!G91</f>
        <v>2120.6901404727323</v>
      </c>
      <c r="J88" s="11">
        <f>'12-SAC Viabilidade'!H91</f>
        <v>193714.28571428586</v>
      </c>
      <c r="K88" s="132">
        <f>(D88-F88)*'11-Viabilidade'!$O$16</f>
        <v>607.9667918514873</v>
      </c>
      <c r="L88" s="11">
        <f t="shared" si="0"/>
        <v>366.71967211471065</v>
      </c>
      <c r="M88" s="156">
        <f t="shared" si="1"/>
        <v>2487.409812587443</v>
      </c>
      <c r="N88" s="13"/>
      <c r="O88" s="43"/>
      <c r="P88" s="41">
        <f>IF(B88&lt;='11-Viabilidade'!$G$11,(P87+(P87*'11-Viabilidade'!$H$12)),0)</f>
        <v>0</v>
      </c>
      <c r="Q88" s="41">
        <f>IF(B88='11-Viabilidade'!$G$11,'11-Viabilidade'!$G$16,0)*(1+'11-Viabilidade'!$G$12)^((B88-1)/12)</f>
        <v>0</v>
      </c>
      <c r="R88" s="170">
        <f t="shared" si="2"/>
        <v>0</v>
      </c>
      <c r="S88" s="41">
        <f t="shared" si="5"/>
        <v>81</v>
      </c>
      <c r="T88" s="155">
        <f>IF($S88&lt;'11-Viabilidade'!$C$24,0,$S88-'11-Viabilidade'!$C$24)</f>
        <v>75</v>
      </c>
      <c r="U88" s="11">
        <f>IF(T88&gt;0,'11-Viabilidade'!$K$10,0)*((1+'11-Viabilidade'!$O$10)^(($T88-1)/12))</f>
        <v>4053.1119456765819</v>
      </c>
      <c r="V88" s="11">
        <f>U88*'11-Viabilidade'!$L$12</f>
        <v>225.17288587092119</v>
      </c>
      <c r="W88" s="11">
        <f>U88*'11-Viabilidade'!$K$14</f>
        <v>0</v>
      </c>
      <c r="X88" s="11">
        <f>U88*'11-Viabilidade'!$K$15</f>
        <v>202.65559728382911</v>
      </c>
      <c r="Y88" s="11">
        <f>IF(AND(U88=0,S88=0),0,IF(AND(U88=0,S88&lt;&gt;0),'11-Viabilidade'!$K$16+'11-Viabilidade'!$K$17,('11-Viabilidade'!$L$11)*((1+'11-Viabilidade'!$O$10)^(($C88-1)/12))))</f>
        <v>529.90685808290118</v>
      </c>
      <c r="Z88" s="157">
        <f>IFERROR(VLOOKUP(S88,'12-SAC Viabilidade'!$B$11:$G$430,6,FALSE),0)</f>
        <v>2120.6901404727323</v>
      </c>
      <c r="AA88" s="157">
        <f>IFERROR(VLOOKUP(S88,'12-SAC Viabilidade'!$B$11:$H$430,7,FALSE),0)</f>
        <v>193714.28571428586</v>
      </c>
      <c r="AB88" s="132">
        <f>(U88-W88)*'11-Viabilidade'!$O$16</f>
        <v>607.9667918514873</v>
      </c>
      <c r="AC88" s="11">
        <f t="shared" si="3"/>
        <v>366.71967211471065</v>
      </c>
      <c r="AD88" s="156">
        <f t="shared" si="4"/>
        <v>2487.409812587443</v>
      </c>
      <c r="AE88" s="42"/>
      <c r="AF88" s="42"/>
      <c r="AG88" s="42"/>
      <c r="AH88" s="42"/>
    </row>
    <row r="89" spans="1:34" ht="15.75" customHeight="1">
      <c r="A89" s="37"/>
      <c r="B89" s="38">
        <f>IF(AND(B88&gt;0,B88&lt;'11-Viabilidade'!$P$14),B88+1,0)</f>
        <v>82</v>
      </c>
      <c r="C89" s="155">
        <f>IF($B89&lt;'11-Viabilidade'!$C$24,0,$B89-'11-Viabilidade'!$C$24)</f>
        <v>76</v>
      </c>
      <c r="D89" s="11">
        <f>IF(C89&gt;0,'11-Viabilidade'!$K$10,0)*((1+'11-Viabilidade'!$O$10)^(($C89-1)/12))</f>
        <v>4069.624825452252</v>
      </c>
      <c r="E89" s="11">
        <f>D89*'11-Viabilidade'!$L$12</f>
        <v>226.09026808068066</v>
      </c>
      <c r="F89" s="11">
        <f>D89*'11-Viabilidade'!$K$14</f>
        <v>0</v>
      </c>
      <c r="G89" s="11">
        <f>D89*'11-Viabilidade'!$K$15</f>
        <v>203.48124127261261</v>
      </c>
      <c r="H89" s="11">
        <f>IF(D89=0,'11-Viabilidade'!$K$16+'11-Viabilidade'!$K$17,('11-Viabilidade'!$L$11)*((1+'11-Viabilidade'!$O$10)^(($C89-1)/12)))</f>
        <v>532.06576421653506</v>
      </c>
      <c r="I89" s="11">
        <f>'12-SAC Viabilidade'!G92</f>
        <v>2116.1334887990733</v>
      </c>
      <c r="J89" s="11">
        <f>'12-SAC Viabilidade'!H92</f>
        <v>193142.85714285731</v>
      </c>
      <c r="K89" s="132">
        <f>(D89-F89)*'11-Viabilidade'!$O$16</f>
        <v>610.44372381783774</v>
      </c>
      <c r="L89" s="11">
        <f t="shared" si="0"/>
        <v>381.4103392655129</v>
      </c>
      <c r="M89" s="156">
        <f t="shared" si="1"/>
        <v>2497.5438280645858</v>
      </c>
      <c r="N89" s="13"/>
      <c r="O89" s="43"/>
      <c r="P89" s="41">
        <f>IF(B89&lt;='11-Viabilidade'!$G$11,(P88+(P88*'11-Viabilidade'!$H$12)),0)</f>
        <v>0</v>
      </c>
      <c r="Q89" s="41">
        <f>IF(B89='11-Viabilidade'!$G$11,'11-Viabilidade'!$G$16,0)*(1+'11-Viabilidade'!$G$12)^((B89-1)/12)</f>
        <v>0</v>
      </c>
      <c r="R89" s="170">
        <f t="shared" si="2"/>
        <v>0</v>
      </c>
      <c r="S89" s="41">
        <f t="shared" si="5"/>
        <v>82</v>
      </c>
      <c r="T89" s="155">
        <f>IF($S89&lt;'11-Viabilidade'!$C$24,0,$S89-'11-Viabilidade'!$C$24)</f>
        <v>76</v>
      </c>
      <c r="U89" s="11">
        <f>IF(T89&gt;0,'11-Viabilidade'!$K$10,0)*((1+'11-Viabilidade'!$O$10)^(($T89-1)/12))</f>
        <v>4069.624825452252</v>
      </c>
      <c r="V89" s="11">
        <f>U89*'11-Viabilidade'!$L$12</f>
        <v>226.09026808068066</v>
      </c>
      <c r="W89" s="11">
        <f>U89*'11-Viabilidade'!$K$14</f>
        <v>0</v>
      </c>
      <c r="X89" s="11">
        <f>U89*'11-Viabilidade'!$K$15</f>
        <v>203.48124127261261</v>
      </c>
      <c r="Y89" s="11">
        <f>IF(AND(U89=0,S89=0),0,IF(AND(U89=0,S89&lt;&gt;0),'11-Viabilidade'!$K$16+'11-Viabilidade'!$K$17,('11-Viabilidade'!$L$11)*((1+'11-Viabilidade'!$O$10)^(($C89-1)/12))))</f>
        <v>532.06576421653506</v>
      </c>
      <c r="Z89" s="157">
        <f>IFERROR(VLOOKUP(S89,'12-SAC Viabilidade'!$B$11:$G$430,6,FALSE),0)</f>
        <v>2116.1334887990733</v>
      </c>
      <c r="AA89" s="157">
        <f>IFERROR(VLOOKUP(S89,'12-SAC Viabilidade'!$B$11:$H$430,7,FALSE),0)</f>
        <v>193142.85714285731</v>
      </c>
      <c r="AB89" s="132">
        <f>(U89-W89)*'11-Viabilidade'!$O$16</f>
        <v>610.44372381783774</v>
      </c>
      <c r="AC89" s="11">
        <f t="shared" si="3"/>
        <v>381.4103392655129</v>
      </c>
      <c r="AD89" s="156">
        <f t="shared" si="4"/>
        <v>2497.5438280645858</v>
      </c>
      <c r="AE89" s="42"/>
      <c r="AF89" s="42"/>
      <c r="AG89" s="42"/>
      <c r="AH89" s="42"/>
    </row>
    <row r="90" spans="1:34" ht="15.75" customHeight="1">
      <c r="A90" s="37"/>
      <c r="B90" s="38">
        <f>IF(AND(B89&gt;0,B89&lt;'11-Viabilidade'!$P$14),B89+1,0)</f>
        <v>83</v>
      </c>
      <c r="C90" s="155">
        <f>IF($B90&lt;'11-Viabilidade'!$C$24,0,$B90-'11-Viabilidade'!$C$24)</f>
        <v>77</v>
      </c>
      <c r="D90" s="11">
        <f>IF(C90&gt;0,'11-Viabilidade'!$K$10,0)*((1+'11-Viabilidade'!$O$10)^(($C90-1)/12))</f>
        <v>4086.2049807441522</v>
      </c>
      <c r="E90" s="11">
        <f>D90*'11-Viabilidade'!$L$12</f>
        <v>227.01138781911956</v>
      </c>
      <c r="F90" s="11">
        <f>D90*'11-Viabilidade'!$K$14</f>
        <v>0</v>
      </c>
      <c r="G90" s="11">
        <f>D90*'11-Viabilidade'!$K$15</f>
        <v>204.31024903720763</v>
      </c>
      <c r="H90" s="11">
        <f>IF(D90=0,'11-Viabilidade'!$K$16+'11-Viabilidade'!$K$17,('11-Viabilidade'!$L$11)*((1+'11-Viabilidade'!$O$10)^(($C90-1)/12)))</f>
        <v>534.23346600099467</v>
      </c>
      <c r="I90" s="11">
        <f>'12-SAC Viabilidade'!G93</f>
        <v>2111.5768371254139</v>
      </c>
      <c r="J90" s="11">
        <f>'12-SAC Viabilidade'!H93</f>
        <v>192571.42857142873</v>
      </c>
      <c r="K90" s="132">
        <f>(D90-F90)*'11-Viabilidade'!$O$16</f>
        <v>612.93074711162285</v>
      </c>
      <c r="L90" s="11">
        <f t="shared" si="0"/>
        <v>396.14229364979337</v>
      </c>
      <c r="M90" s="156">
        <f t="shared" si="1"/>
        <v>2507.7191307752073</v>
      </c>
      <c r="N90" s="13"/>
      <c r="O90" s="43"/>
      <c r="P90" s="41">
        <f>IF(B90&lt;='11-Viabilidade'!$G$11,(P89+(P89*'11-Viabilidade'!$H$12)),0)</f>
        <v>0</v>
      </c>
      <c r="Q90" s="41">
        <f>IF(B90='11-Viabilidade'!$G$11,'11-Viabilidade'!$G$16,0)*(1+'11-Viabilidade'!$G$12)^((B90-1)/12)</f>
        <v>0</v>
      </c>
      <c r="R90" s="170">
        <f t="shared" si="2"/>
        <v>0</v>
      </c>
      <c r="S90" s="41">
        <f t="shared" si="5"/>
        <v>83</v>
      </c>
      <c r="T90" s="155">
        <f>IF($S90&lt;'11-Viabilidade'!$C$24,0,$S90-'11-Viabilidade'!$C$24)</f>
        <v>77</v>
      </c>
      <c r="U90" s="11">
        <f>IF(T90&gt;0,'11-Viabilidade'!$K$10,0)*((1+'11-Viabilidade'!$O$10)^(($T90-1)/12))</f>
        <v>4086.2049807441522</v>
      </c>
      <c r="V90" s="11">
        <f>U90*'11-Viabilidade'!$L$12</f>
        <v>227.01138781911956</v>
      </c>
      <c r="W90" s="11">
        <f>U90*'11-Viabilidade'!$K$14</f>
        <v>0</v>
      </c>
      <c r="X90" s="11">
        <f>U90*'11-Viabilidade'!$K$15</f>
        <v>204.31024903720763</v>
      </c>
      <c r="Y90" s="11">
        <f>IF(AND(U90=0,S90=0),0,IF(AND(U90=0,S90&lt;&gt;0),'11-Viabilidade'!$K$16+'11-Viabilidade'!$K$17,('11-Viabilidade'!$L$11)*((1+'11-Viabilidade'!$O$10)^(($C90-1)/12))))</f>
        <v>534.23346600099467</v>
      </c>
      <c r="Z90" s="157">
        <f>IFERROR(VLOOKUP(S90,'12-SAC Viabilidade'!$B$11:$G$430,6,FALSE),0)</f>
        <v>2111.5768371254139</v>
      </c>
      <c r="AA90" s="157">
        <f>IFERROR(VLOOKUP(S90,'12-SAC Viabilidade'!$B$11:$H$430,7,FALSE),0)</f>
        <v>192571.42857142873</v>
      </c>
      <c r="AB90" s="132">
        <f>(U90-W90)*'11-Viabilidade'!$O$16</f>
        <v>612.93074711162285</v>
      </c>
      <c r="AC90" s="11">
        <f t="shared" si="3"/>
        <v>396.14229364979337</v>
      </c>
      <c r="AD90" s="156">
        <f t="shared" si="4"/>
        <v>2507.7191307752073</v>
      </c>
      <c r="AE90" s="42"/>
      <c r="AF90" s="42"/>
      <c r="AG90" s="42"/>
      <c r="AH90" s="42"/>
    </row>
    <row r="91" spans="1:34" ht="15.75" customHeight="1">
      <c r="A91" s="158" t="s">
        <v>239</v>
      </c>
      <c r="B91" s="159">
        <f>IF(AND(B90&gt;0,B90&lt;'11-Viabilidade'!$P$14),B90+1,0)</f>
        <v>84</v>
      </c>
      <c r="C91" s="160">
        <f>IF($B91&lt;'11-Viabilidade'!$C$24,0,$B91-'11-Viabilidade'!$C$24)</f>
        <v>78</v>
      </c>
      <c r="D91" s="161">
        <f>IF(C91&gt;0,'11-Viabilidade'!$K$10,0)*((1+'11-Viabilidade'!$O$10)^(($C91-1)/12))</f>
        <v>4102.8526856410645</v>
      </c>
      <c r="E91" s="161">
        <f>D91*'11-Viabilidade'!$L$12</f>
        <v>227.93626031339247</v>
      </c>
      <c r="F91" s="161">
        <f>D91*'11-Viabilidade'!$K$14</f>
        <v>0</v>
      </c>
      <c r="G91" s="161">
        <f>D91*'11-Viabilidade'!$K$15</f>
        <v>205.14263428205322</v>
      </c>
      <c r="H91" s="11">
        <f>IF(D91=0,'11-Viabilidade'!$K$16+'11-Viabilidade'!$K$17,('11-Viabilidade'!$L$11)*((1+'11-Viabilidade'!$O$10)^(($C91-1)/12)))</f>
        <v>536.40999927085022</v>
      </c>
      <c r="I91" s="161">
        <f>'12-SAC Viabilidade'!G94</f>
        <v>2107.0201854517545</v>
      </c>
      <c r="J91" s="161">
        <f>'12-SAC Viabilidade'!H94</f>
        <v>192000.00000000015</v>
      </c>
      <c r="K91" s="162">
        <f>(D91-F91)*'11-Viabilidade'!$O$16</f>
        <v>615.42790284615967</v>
      </c>
      <c r="L91" s="161">
        <f t="shared" si="0"/>
        <v>410.91570347685411</v>
      </c>
      <c r="M91" s="163">
        <f t="shared" si="1"/>
        <v>2517.9358889286086</v>
      </c>
      <c r="N91" s="164"/>
      <c r="O91" s="171"/>
      <c r="P91" s="165">
        <f>IF(B91&lt;='11-Viabilidade'!$G$11,(P90+(P90*'11-Viabilidade'!$H$12)),0)</f>
        <v>0</v>
      </c>
      <c r="Q91" s="165">
        <f>IF(B91='11-Viabilidade'!$G$11,'11-Viabilidade'!$G$16,0)*(1+'11-Viabilidade'!$G$12)^((B91-1)/12)</f>
        <v>0</v>
      </c>
      <c r="R91" s="172">
        <f t="shared" si="2"/>
        <v>0</v>
      </c>
      <c r="S91" s="165">
        <f t="shared" si="5"/>
        <v>84</v>
      </c>
      <c r="T91" s="160">
        <f>IF($S91&lt;'11-Viabilidade'!$C$24,0,$S91-'11-Viabilidade'!$C$24)</f>
        <v>78</v>
      </c>
      <c r="U91" s="161">
        <f>IF(T91&gt;0,'11-Viabilidade'!$K$10,0)*((1+'11-Viabilidade'!$O$10)^(($T91-1)/12))</f>
        <v>4102.8526856410645</v>
      </c>
      <c r="V91" s="161">
        <f>U91*'11-Viabilidade'!$L$12</f>
        <v>227.93626031339247</v>
      </c>
      <c r="W91" s="161">
        <f>U91*'11-Viabilidade'!$K$14</f>
        <v>0</v>
      </c>
      <c r="X91" s="161">
        <f>U91*'11-Viabilidade'!$K$15</f>
        <v>205.14263428205322</v>
      </c>
      <c r="Y91" s="11">
        <f>IF(AND(U91=0,S91=0),0,IF(AND(U91=0,S91&lt;&gt;0),'11-Viabilidade'!$K$16+'11-Viabilidade'!$K$17,('11-Viabilidade'!$L$11)*((1+'11-Viabilidade'!$O$10)^(($C91-1)/12))))</f>
        <v>536.40999927085022</v>
      </c>
      <c r="Z91" s="168">
        <f>IFERROR(VLOOKUP(S91,'12-SAC Viabilidade'!$B$11:$G$430,6,FALSE),0)</f>
        <v>2107.0201854517545</v>
      </c>
      <c r="AA91" s="168">
        <f>IFERROR(VLOOKUP(S91,'12-SAC Viabilidade'!$B$11:$H$430,7,FALSE),0)</f>
        <v>192000.00000000015</v>
      </c>
      <c r="AB91" s="162">
        <f>(U91-W91)*'11-Viabilidade'!$O$16</f>
        <v>615.42790284615967</v>
      </c>
      <c r="AC91" s="161">
        <f t="shared" si="3"/>
        <v>410.91570347685411</v>
      </c>
      <c r="AD91" s="163">
        <f t="shared" si="4"/>
        <v>2517.9358889286086</v>
      </c>
      <c r="AE91" s="173"/>
      <c r="AF91" s="173"/>
      <c r="AG91" s="173"/>
      <c r="AH91" s="173"/>
    </row>
    <row r="92" spans="1:34" ht="15.75" customHeight="1">
      <c r="A92" s="37"/>
      <c r="B92" s="38">
        <f>IF(AND(B91&gt;0,B91&lt;'11-Viabilidade'!$P$14),B91+1,0)</f>
        <v>85</v>
      </c>
      <c r="C92" s="155">
        <f>IF($B92&lt;'11-Viabilidade'!$C$24,0,$B92-'11-Viabilidade'!$C$24)</f>
        <v>79</v>
      </c>
      <c r="D92" s="11">
        <f>IF(C92&gt;0,'11-Viabilidade'!$K$10,0)*((1+'11-Viabilidade'!$O$10)^(($C92-1)/12))</f>
        <v>4119.5682153484395</v>
      </c>
      <c r="E92" s="11">
        <f>D92*'11-Viabilidade'!$L$12</f>
        <v>228.86490085269108</v>
      </c>
      <c r="F92" s="11">
        <f>D92*'11-Viabilidade'!$K$14</f>
        <v>0</v>
      </c>
      <c r="G92" s="11">
        <f>D92*'11-Viabilidade'!$K$15</f>
        <v>205.97841076742199</v>
      </c>
      <c r="H92" s="11">
        <f>IF(D92=0,'11-Viabilidade'!$K$16+'11-Viabilidade'!$K$17,('11-Viabilidade'!$L$11)*((1+'11-Viabilidade'!$O$10)^(($C92-1)/12)))</f>
        <v>538.5954000066663</v>
      </c>
      <c r="I92" s="11">
        <f>'12-SAC Viabilidade'!G95</f>
        <v>2102.4635337780956</v>
      </c>
      <c r="J92" s="11">
        <f>'12-SAC Viabilidade'!H95</f>
        <v>191428.57142857157</v>
      </c>
      <c r="K92" s="132">
        <f>(D92-F92)*'11-Viabilidade'!$O$16</f>
        <v>617.93523230226594</v>
      </c>
      <c r="L92" s="11">
        <f t="shared" si="0"/>
        <v>425.73073764129867</v>
      </c>
      <c r="M92" s="156">
        <f t="shared" si="1"/>
        <v>2528.1942714193942</v>
      </c>
      <c r="N92" s="13"/>
      <c r="O92" s="43"/>
      <c r="P92" s="41">
        <f>IF(B92&lt;='11-Viabilidade'!$G$11,(P91+(P91*'11-Viabilidade'!$H$12)),0)</f>
        <v>0</v>
      </c>
      <c r="Q92" s="41">
        <f>IF(B92='11-Viabilidade'!$G$11,'11-Viabilidade'!$G$16,0)*(1+'11-Viabilidade'!$G$12)^((B92-1)/12)</f>
        <v>0</v>
      </c>
      <c r="R92" s="170">
        <f t="shared" si="2"/>
        <v>0</v>
      </c>
      <c r="S92" s="41">
        <f t="shared" si="5"/>
        <v>85</v>
      </c>
      <c r="T92" s="155">
        <f>IF($S92&lt;'11-Viabilidade'!$C$24,0,$S92-'11-Viabilidade'!$C$24)</f>
        <v>79</v>
      </c>
      <c r="U92" s="11">
        <f>IF(T92&gt;0,'11-Viabilidade'!$K$10,0)*((1+'11-Viabilidade'!$O$10)^(($T92-1)/12))</f>
        <v>4119.5682153484395</v>
      </c>
      <c r="V92" s="11">
        <f>U92*'11-Viabilidade'!$L$12</f>
        <v>228.86490085269108</v>
      </c>
      <c r="W92" s="11">
        <f>U92*'11-Viabilidade'!$K$14</f>
        <v>0</v>
      </c>
      <c r="X92" s="11">
        <f>U92*'11-Viabilidade'!$K$15</f>
        <v>205.97841076742199</v>
      </c>
      <c r="Y92" s="11">
        <f>IF(AND(U92=0,S92=0),0,IF(AND(U92=0,S92&lt;&gt;0),'11-Viabilidade'!$K$16+'11-Viabilidade'!$K$17,('11-Viabilidade'!$L$11)*((1+'11-Viabilidade'!$O$10)^(($C92-1)/12))))</f>
        <v>538.5954000066663</v>
      </c>
      <c r="Z92" s="157">
        <f>IFERROR(VLOOKUP(S92,'12-SAC Viabilidade'!$B$11:$G$430,6,FALSE),0)</f>
        <v>2102.4635337780956</v>
      </c>
      <c r="AA92" s="157">
        <f>IFERROR(VLOOKUP(S92,'12-SAC Viabilidade'!$B$11:$H$430,7,FALSE),0)</f>
        <v>191428.57142857157</v>
      </c>
      <c r="AB92" s="132">
        <f>(U92-W92)*'11-Viabilidade'!$O$16</f>
        <v>617.93523230226594</v>
      </c>
      <c r="AC92" s="11">
        <f t="shared" si="3"/>
        <v>425.73073764129867</v>
      </c>
      <c r="AD92" s="156">
        <f t="shared" si="4"/>
        <v>2528.1942714193942</v>
      </c>
      <c r="AE92" s="42"/>
      <c r="AF92" s="42"/>
      <c r="AG92" s="42"/>
      <c r="AH92" s="42"/>
    </row>
    <row r="93" spans="1:34" ht="15.75" customHeight="1">
      <c r="A93" s="37"/>
      <c r="B93" s="38">
        <f>IF(AND(B92&gt;0,B92&lt;'11-Viabilidade'!$P$14),B92+1,0)</f>
        <v>86</v>
      </c>
      <c r="C93" s="155">
        <f>IF($B93&lt;'11-Viabilidade'!$C$24,0,$B93-'11-Viabilidade'!$C$24)</f>
        <v>80</v>
      </c>
      <c r="D93" s="11">
        <f>IF(C93&gt;0,'11-Viabilidade'!$K$10,0)*((1+'11-Viabilidade'!$O$10)^(($C93-1)/12))</f>
        <v>4136.3518461929525</v>
      </c>
      <c r="E93" s="11">
        <f>D93*'11-Viabilidade'!$L$12</f>
        <v>229.79732478849735</v>
      </c>
      <c r="F93" s="11">
        <f>D93*'11-Viabilidade'!$K$14</f>
        <v>0</v>
      </c>
      <c r="G93" s="11">
        <f>D93*'11-Viabilidade'!$K$15</f>
        <v>206.81759230964764</v>
      </c>
      <c r="H93" s="11">
        <f>IF(D93=0,'11-Viabilidade'!$K$16+'11-Viabilidade'!$K$17,('11-Viabilidade'!$L$11)*((1+'11-Viabilidade'!$O$10)^(($C93-1)/12)))</f>
        <v>540.78970433559709</v>
      </c>
      <c r="I93" s="11">
        <f>'12-SAC Viabilidade'!G96</f>
        <v>2097.9068821044361</v>
      </c>
      <c r="J93" s="11">
        <f>'12-SAC Viabilidade'!H96</f>
        <v>190857.14285714299</v>
      </c>
      <c r="K93" s="132">
        <f>(D93-F93)*'11-Viabilidade'!$O$16</f>
        <v>620.45277692894285</v>
      </c>
      <c r="L93" s="11">
        <f t="shared" si="0"/>
        <v>440.58756572583161</v>
      </c>
      <c r="M93" s="156">
        <f t="shared" si="1"/>
        <v>2538.4944478302677</v>
      </c>
      <c r="N93" s="13"/>
      <c r="O93" s="43"/>
      <c r="P93" s="41">
        <f>IF(B93&lt;='11-Viabilidade'!$G$11,(P92+(P92*'11-Viabilidade'!$H$12)),0)</f>
        <v>0</v>
      </c>
      <c r="Q93" s="41">
        <f>IF(B93='11-Viabilidade'!$G$11,'11-Viabilidade'!$G$16,0)*(1+'11-Viabilidade'!$G$12)^((B93-1)/12)</f>
        <v>0</v>
      </c>
      <c r="R93" s="170">
        <f t="shared" si="2"/>
        <v>0</v>
      </c>
      <c r="S93" s="41">
        <f t="shared" si="5"/>
        <v>86</v>
      </c>
      <c r="T93" s="155">
        <f>IF($S93&lt;'11-Viabilidade'!$C$24,0,$S93-'11-Viabilidade'!$C$24)</f>
        <v>80</v>
      </c>
      <c r="U93" s="11">
        <f>IF(T93&gt;0,'11-Viabilidade'!$K$10,0)*((1+'11-Viabilidade'!$O$10)^(($T93-1)/12))</f>
        <v>4136.3518461929525</v>
      </c>
      <c r="V93" s="11">
        <f>U93*'11-Viabilidade'!$L$12</f>
        <v>229.79732478849735</v>
      </c>
      <c r="W93" s="11">
        <f>U93*'11-Viabilidade'!$K$14</f>
        <v>0</v>
      </c>
      <c r="X93" s="11">
        <f>U93*'11-Viabilidade'!$K$15</f>
        <v>206.81759230964764</v>
      </c>
      <c r="Y93" s="11">
        <f>IF(AND(U93=0,S93=0),0,IF(AND(U93=0,S93&lt;&gt;0),'11-Viabilidade'!$K$16+'11-Viabilidade'!$K$17,('11-Viabilidade'!$L$11)*((1+'11-Viabilidade'!$O$10)^(($C93-1)/12))))</f>
        <v>540.78970433559709</v>
      </c>
      <c r="Z93" s="157">
        <f>IFERROR(VLOOKUP(S93,'12-SAC Viabilidade'!$B$11:$G$430,6,FALSE),0)</f>
        <v>2097.9068821044361</v>
      </c>
      <c r="AA93" s="157">
        <f>IFERROR(VLOOKUP(S93,'12-SAC Viabilidade'!$B$11:$H$430,7,FALSE),0)</f>
        <v>190857.14285714299</v>
      </c>
      <c r="AB93" s="132">
        <f>(U93-W93)*'11-Viabilidade'!$O$16</f>
        <v>620.45277692894285</v>
      </c>
      <c r="AC93" s="11">
        <f t="shared" si="3"/>
        <v>440.58756572583161</v>
      </c>
      <c r="AD93" s="156">
        <f t="shared" si="4"/>
        <v>2538.4944478302677</v>
      </c>
      <c r="AE93" s="42"/>
      <c r="AF93" s="42"/>
      <c r="AG93" s="42"/>
      <c r="AH93" s="42"/>
    </row>
    <row r="94" spans="1:34" ht="15.75" customHeight="1">
      <c r="A94" s="37"/>
      <c r="B94" s="38">
        <f>IF(AND(B93&gt;0,B93&lt;'11-Viabilidade'!$P$14),B93+1,0)</f>
        <v>87</v>
      </c>
      <c r="C94" s="155">
        <f>IF($B94&lt;'11-Viabilidade'!$C$24,0,$B94-'11-Viabilidade'!$C$24)</f>
        <v>81</v>
      </c>
      <c r="D94" s="11">
        <f>IF(C94&gt;0,'11-Viabilidade'!$K$10,0)*((1+'11-Viabilidade'!$O$10)^(($C94-1)/12))</f>
        <v>4153.2038556270654</v>
      </c>
      <c r="E94" s="11">
        <f>D94*'11-Viabilidade'!$L$12</f>
        <v>230.73354753483696</v>
      </c>
      <c r="F94" s="11">
        <f>D94*'11-Viabilidade'!$K$14</f>
        <v>0</v>
      </c>
      <c r="G94" s="11">
        <f>D94*'11-Viabilidade'!$K$15</f>
        <v>207.66019278135329</v>
      </c>
      <c r="H94" s="11">
        <f>IF(D94=0,'11-Viabilidade'!$K$16+'11-Viabilidade'!$K$17,('11-Viabilidade'!$L$11)*((1+'11-Viabilidade'!$O$10)^(($C94-1)/12)))</f>
        <v>542.99294853198285</v>
      </c>
      <c r="I94" s="11">
        <f>'12-SAC Viabilidade'!G97</f>
        <v>2093.3502304307767</v>
      </c>
      <c r="J94" s="11">
        <f>'12-SAC Viabilidade'!H97</f>
        <v>190285.71428571441</v>
      </c>
      <c r="K94" s="132">
        <f>(D94-F94)*'11-Viabilidade'!$O$16</f>
        <v>622.98057834405984</v>
      </c>
      <c r="L94" s="11">
        <f t="shared" si="0"/>
        <v>455.486358004056</v>
      </c>
      <c r="M94" s="156">
        <f t="shared" si="1"/>
        <v>2548.8365884348323</v>
      </c>
      <c r="N94" s="13"/>
      <c r="O94" s="43"/>
      <c r="P94" s="41">
        <f>IF(B94&lt;='11-Viabilidade'!$G$11,(P93+(P93*'11-Viabilidade'!$H$12)),0)</f>
        <v>0</v>
      </c>
      <c r="Q94" s="41">
        <f>IF(B94='11-Viabilidade'!$G$11,'11-Viabilidade'!$G$16,0)*(1+'11-Viabilidade'!$G$12)^((B94-1)/12)</f>
        <v>0</v>
      </c>
      <c r="R94" s="170">
        <f t="shared" si="2"/>
        <v>0</v>
      </c>
      <c r="S94" s="41">
        <f t="shared" si="5"/>
        <v>87</v>
      </c>
      <c r="T94" s="155">
        <f>IF($S94&lt;'11-Viabilidade'!$C$24,0,$S94-'11-Viabilidade'!$C$24)</f>
        <v>81</v>
      </c>
      <c r="U94" s="11">
        <f>IF(T94&gt;0,'11-Viabilidade'!$K$10,0)*((1+'11-Viabilidade'!$O$10)^(($T94-1)/12))</f>
        <v>4153.2038556270654</v>
      </c>
      <c r="V94" s="11">
        <f>U94*'11-Viabilidade'!$L$12</f>
        <v>230.73354753483696</v>
      </c>
      <c r="W94" s="11">
        <f>U94*'11-Viabilidade'!$K$14</f>
        <v>0</v>
      </c>
      <c r="X94" s="11">
        <f>U94*'11-Viabilidade'!$K$15</f>
        <v>207.66019278135329</v>
      </c>
      <c r="Y94" s="11">
        <f>IF(AND(U94=0,S94=0),0,IF(AND(U94=0,S94&lt;&gt;0),'11-Viabilidade'!$K$16+'11-Viabilidade'!$K$17,('11-Viabilidade'!$L$11)*((1+'11-Viabilidade'!$O$10)^(($C94-1)/12))))</f>
        <v>542.99294853198285</v>
      </c>
      <c r="Z94" s="157">
        <f>IFERROR(VLOOKUP(S94,'12-SAC Viabilidade'!$B$11:$G$430,6,FALSE),0)</f>
        <v>2093.3502304307767</v>
      </c>
      <c r="AA94" s="157">
        <f>IFERROR(VLOOKUP(S94,'12-SAC Viabilidade'!$B$11:$H$430,7,FALSE),0)</f>
        <v>190285.71428571441</v>
      </c>
      <c r="AB94" s="132">
        <f>(U94-W94)*'11-Viabilidade'!$O$16</f>
        <v>622.98057834405984</v>
      </c>
      <c r="AC94" s="11">
        <f t="shared" si="3"/>
        <v>455.486358004056</v>
      </c>
      <c r="AD94" s="156">
        <f t="shared" si="4"/>
        <v>2548.8365884348323</v>
      </c>
      <c r="AE94" s="42"/>
      <c r="AF94" s="42"/>
      <c r="AG94" s="42"/>
      <c r="AH94" s="42"/>
    </row>
    <row r="95" spans="1:34" ht="15.75" customHeight="1">
      <c r="A95" s="37"/>
      <c r="B95" s="38">
        <f>IF(AND(B94&gt;0,B94&lt;'11-Viabilidade'!$P$14),B94+1,0)</f>
        <v>88</v>
      </c>
      <c r="C95" s="155">
        <f>IF($B95&lt;'11-Viabilidade'!$C$24,0,$B95-'11-Viabilidade'!$C$24)</f>
        <v>82</v>
      </c>
      <c r="D95" s="11">
        <f>IF(C95&gt;0,'11-Viabilidade'!$K$10,0)*((1+'11-Viabilidade'!$O$10)^(($C95-1)/12))</f>
        <v>4170.1245222336147</v>
      </c>
      <c r="E95" s="11">
        <f>D95*'11-Viabilidade'!$L$12</f>
        <v>231.67358456853412</v>
      </c>
      <c r="F95" s="11">
        <f>D95*'11-Viabilidade'!$K$14</f>
        <v>0</v>
      </c>
      <c r="G95" s="11">
        <f>D95*'11-Viabilidade'!$K$15</f>
        <v>208.50622611168075</v>
      </c>
      <c r="H95" s="11">
        <f>IF(D95=0,'11-Viabilidade'!$K$16+'11-Viabilidade'!$K$17,('11-Viabilidade'!$L$11)*((1+'11-Viabilidade'!$O$10)^(($C95-1)/12)))</f>
        <v>545.20516901795031</v>
      </c>
      <c r="I95" s="11">
        <f>'12-SAC Viabilidade'!G98</f>
        <v>2088.7935787571173</v>
      </c>
      <c r="J95" s="11">
        <f>'12-SAC Viabilidade'!H98</f>
        <v>189714.28571428583</v>
      </c>
      <c r="K95" s="132">
        <f>(D95-F95)*'11-Viabilidade'!$O$16</f>
        <v>625.51867833504218</v>
      </c>
      <c r="L95" s="11">
        <f t="shared" si="0"/>
        <v>470.42728544328975</v>
      </c>
      <c r="M95" s="156">
        <f t="shared" si="1"/>
        <v>2559.2208642004075</v>
      </c>
      <c r="N95" s="13"/>
      <c r="O95" s="43"/>
      <c r="P95" s="41">
        <f>IF(B95&lt;='11-Viabilidade'!$G$11,(P94+(P94*'11-Viabilidade'!$H$12)),0)</f>
        <v>0</v>
      </c>
      <c r="Q95" s="41">
        <f>IF(B95='11-Viabilidade'!$G$11,'11-Viabilidade'!$G$16,0)*(1+'11-Viabilidade'!$G$12)^((B95-1)/12)</f>
        <v>0</v>
      </c>
      <c r="R95" s="170">
        <f t="shared" si="2"/>
        <v>0</v>
      </c>
      <c r="S95" s="41">
        <f t="shared" si="5"/>
        <v>88</v>
      </c>
      <c r="T95" s="155">
        <f>IF($S95&lt;'11-Viabilidade'!$C$24,0,$S95-'11-Viabilidade'!$C$24)</f>
        <v>82</v>
      </c>
      <c r="U95" s="11">
        <f>IF(T95&gt;0,'11-Viabilidade'!$K$10,0)*((1+'11-Viabilidade'!$O$10)^(($T95-1)/12))</f>
        <v>4170.1245222336147</v>
      </c>
      <c r="V95" s="11">
        <f>U95*'11-Viabilidade'!$L$12</f>
        <v>231.67358456853412</v>
      </c>
      <c r="W95" s="11">
        <f>U95*'11-Viabilidade'!$K$14</f>
        <v>0</v>
      </c>
      <c r="X95" s="11">
        <f>U95*'11-Viabilidade'!$K$15</f>
        <v>208.50622611168075</v>
      </c>
      <c r="Y95" s="11">
        <f>IF(AND(U95=0,S95=0),0,IF(AND(U95=0,S95&lt;&gt;0),'11-Viabilidade'!$K$16+'11-Viabilidade'!$K$17,('11-Viabilidade'!$L$11)*((1+'11-Viabilidade'!$O$10)^(($C95-1)/12))))</f>
        <v>545.20516901795031</v>
      </c>
      <c r="Z95" s="157">
        <f>IFERROR(VLOOKUP(S95,'12-SAC Viabilidade'!$B$11:$G$430,6,FALSE),0)</f>
        <v>2088.7935787571173</v>
      </c>
      <c r="AA95" s="157">
        <f>IFERROR(VLOOKUP(S95,'12-SAC Viabilidade'!$B$11:$H$430,7,FALSE),0)</f>
        <v>189714.28571428583</v>
      </c>
      <c r="AB95" s="132">
        <f>(U95-W95)*'11-Viabilidade'!$O$16</f>
        <v>625.51867833504218</v>
      </c>
      <c r="AC95" s="11">
        <f t="shared" si="3"/>
        <v>470.42728544328975</v>
      </c>
      <c r="AD95" s="156">
        <f t="shared" si="4"/>
        <v>2559.2208642004075</v>
      </c>
      <c r="AE95" s="42"/>
      <c r="AF95" s="42"/>
      <c r="AG95" s="42"/>
      <c r="AH95" s="42"/>
    </row>
    <row r="96" spans="1:34" ht="15.75" customHeight="1">
      <c r="A96" s="37"/>
      <c r="B96" s="38">
        <f>IF(AND(B95&gt;0,B95&lt;'11-Viabilidade'!$P$14),B95+1,0)</f>
        <v>89</v>
      </c>
      <c r="C96" s="155">
        <f>IF($B96&lt;'11-Viabilidade'!$C$24,0,$B96-'11-Viabilidade'!$C$24)</f>
        <v>83</v>
      </c>
      <c r="D96" s="11">
        <f>IF(C96&gt;0,'11-Viabilidade'!$K$10,0)*((1+'11-Viabilidade'!$O$10)^(($C96-1)/12))</f>
        <v>4187.1141257304216</v>
      </c>
      <c r="E96" s="11">
        <f>D96*'11-Viabilidade'!$L$12</f>
        <v>232.61745142946785</v>
      </c>
      <c r="F96" s="11">
        <f>D96*'11-Viabilidade'!$K$14</f>
        <v>0</v>
      </c>
      <c r="G96" s="11">
        <f>D96*'11-Viabilidade'!$K$15</f>
        <v>209.3557062865211</v>
      </c>
      <c r="H96" s="11">
        <f>IF(D96=0,'11-Viabilidade'!$K$16+'11-Viabilidade'!$K$17,('11-Viabilidade'!$L$11)*((1+'11-Viabilidade'!$O$10)^(($C96-1)/12)))</f>
        <v>547.42640236401439</v>
      </c>
      <c r="I96" s="11">
        <f>'12-SAC Viabilidade'!G99</f>
        <v>2084.2369270834579</v>
      </c>
      <c r="J96" s="11">
        <f>'12-SAC Viabilidade'!H99</f>
        <v>189142.85714285725</v>
      </c>
      <c r="K96" s="132">
        <f>(D96-F96)*'11-Viabilidade'!$O$16</f>
        <v>628.06711885956327</v>
      </c>
      <c r="L96" s="11">
        <f t="shared" si="0"/>
        <v>485.41051970739682</v>
      </c>
      <c r="M96" s="156">
        <f t="shared" si="1"/>
        <v>2569.6474467908552</v>
      </c>
      <c r="N96" s="13"/>
      <c r="O96" s="43"/>
      <c r="P96" s="41">
        <f>IF(B96&lt;='11-Viabilidade'!$G$11,(P95+(P95*'11-Viabilidade'!$H$12)),0)</f>
        <v>0</v>
      </c>
      <c r="Q96" s="41">
        <f>IF(B96='11-Viabilidade'!$G$11,'11-Viabilidade'!$G$16,0)*(1+'11-Viabilidade'!$G$12)^((B96-1)/12)</f>
        <v>0</v>
      </c>
      <c r="R96" s="170">
        <f t="shared" si="2"/>
        <v>0</v>
      </c>
      <c r="S96" s="41">
        <f t="shared" si="5"/>
        <v>89</v>
      </c>
      <c r="T96" s="155">
        <f>IF($S96&lt;'11-Viabilidade'!$C$24,0,$S96-'11-Viabilidade'!$C$24)</f>
        <v>83</v>
      </c>
      <c r="U96" s="11">
        <f>IF(T96&gt;0,'11-Viabilidade'!$K$10,0)*((1+'11-Viabilidade'!$O$10)^(($T96-1)/12))</f>
        <v>4187.1141257304216</v>
      </c>
      <c r="V96" s="11">
        <f>U96*'11-Viabilidade'!$L$12</f>
        <v>232.61745142946785</v>
      </c>
      <c r="W96" s="11">
        <f>U96*'11-Viabilidade'!$K$14</f>
        <v>0</v>
      </c>
      <c r="X96" s="11">
        <f>U96*'11-Viabilidade'!$K$15</f>
        <v>209.3557062865211</v>
      </c>
      <c r="Y96" s="11">
        <f>IF(AND(U96=0,S96=0),0,IF(AND(U96=0,S96&lt;&gt;0),'11-Viabilidade'!$K$16+'11-Viabilidade'!$K$17,('11-Viabilidade'!$L$11)*((1+'11-Viabilidade'!$O$10)^(($C96-1)/12))))</f>
        <v>547.42640236401439</v>
      </c>
      <c r="Z96" s="157">
        <f>IFERROR(VLOOKUP(S96,'12-SAC Viabilidade'!$B$11:$G$430,6,FALSE),0)</f>
        <v>2084.2369270834579</v>
      </c>
      <c r="AA96" s="157">
        <f>IFERROR(VLOOKUP(S96,'12-SAC Viabilidade'!$B$11:$H$430,7,FALSE),0)</f>
        <v>189142.85714285725</v>
      </c>
      <c r="AB96" s="132">
        <f>(U96-W96)*'11-Viabilidade'!$O$16</f>
        <v>628.06711885956327</v>
      </c>
      <c r="AC96" s="11">
        <f t="shared" si="3"/>
        <v>485.41051970739682</v>
      </c>
      <c r="AD96" s="156">
        <f t="shared" si="4"/>
        <v>2569.6474467908552</v>
      </c>
      <c r="AE96" s="42"/>
      <c r="AF96" s="42"/>
      <c r="AG96" s="42"/>
      <c r="AH96" s="42"/>
    </row>
    <row r="97" spans="1:34" ht="15.75" customHeight="1">
      <c r="A97" s="37"/>
      <c r="B97" s="38">
        <f>IF(AND(B96&gt;0,B96&lt;'11-Viabilidade'!$P$14),B96+1,0)</f>
        <v>90</v>
      </c>
      <c r="C97" s="155">
        <f>IF($B97&lt;'11-Viabilidade'!$C$24,0,$B97-'11-Viabilidade'!$C$24)</f>
        <v>84</v>
      </c>
      <c r="D97" s="11">
        <f>IF(C97&gt;0,'11-Viabilidade'!$K$10,0)*((1+'11-Viabilidade'!$O$10)^(($C97-1)/12))</f>
        <v>4204.1729469749098</v>
      </c>
      <c r="E97" s="11">
        <f>D97*'11-Viabilidade'!$L$12</f>
        <v>233.56516372082831</v>
      </c>
      <c r="F97" s="11">
        <f>D97*'11-Viabilidade'!$K$14</f>
        <v>0</v>
      </c>
      <c r="G97" s="11">
        <f>D97*'11-Viabilidade'!$K$15</f>
        <v>210.2086473487455</v>
      </c>
      <c r="H97" s="11">
        <f>IF(D97=0,'11-Viabilidade'!$K$16+'11-Viabilidade'!$K$17,('11-Viabilidade'!$L$11)*((1+'11-Viabilidade'!$O$10)^(($C97-1)/12)))</f>
        <v>549.65668528968263</v>
      </c>
      <c r="I97" s="11">
        <f>'12-SAC Viabilidade'!G100</f>
        <v>2079.6802754097985</v>
      </c>
      <c r="J97" s="11">
        <f>'12-SAC Viabilidade'!H100</f>
        <v>188571.42857142867</v>
      </c>
      <c r="K97" s="132">
        <f>(D97-F97)*'11-Viabilidade'!$O$16</f>
        <v>630.62594204623645</v>
      </c>
      <c r="L97" s="11">
        <f t="shared" si="0"/>
        <v>500.4362331596185</v>
      </c>
      <c r="M97" s="156">
        <f t="shared" si="1"/>
        <v>2580.116508569417</v>
      </c>
      <c r="N97" s="13"/>
      <c r="O97" s="43"/>
      <c r="P97" s="41">
        <f>IF(B97&lt;='11-Viabilidade'!$G$11,(P96+(P96*'11-Viabilidade'!$H$12)),0)</f>
        <v>0</v>
      </c>
      <c r="Q97" s="41">
        <f>IF(B97='11-Viabilidade'!$G$11,'11-Viabilidade'!$G$16,0)*(1+'11-Viabilidade'!$G$12)^((B97-1)/12)</f>
        <v>0</v>
      </c>
      <c r="R97" s="170">
        <f t="shared" si="2"/>
        <v>0</v>
      </c>
      <c r="S97" s="41">
        <f t="shared" si="5"/>
        <v>90</v>
      </c>
      <c r="T97" s="155">
        <f>IF($S97&lt;'11-Viabilidade'!$C$24,0,$S97-'11-Viabilidade'!$C$24)</f>
        <v>84</v>
      </c>
      <c r="U97" s="11">
        <f>IF(T97&gt;0,'11-Viabilidade'!$K$10,0)*((1+'11-Viabilidade'!$O$10)^(($T97-1)/12))</f>
        <v>4204.1729469749098</v>
      </c>
      <c r="V97" s="11">
        <f>U97*'11-Viabilidade'!$L$12</f>
        <v>233.56516372082831</v>
      </c>
      <c r="W97" s="11">
        <f>U97*'11-Viabilidade'!$K$14</f>
        <v>0</v>
      </c>
      <c r="X97" s="11">
        <f>U97*'11-Viabilidade'!$K$15</f>
        <v>210.2086473487455</v>
      </c>
      <c r="Y97" s="11">
        <f>IF(AND(U97=0,S97=0),0,IF(AND(U97=0,S97&lt;&gt;0),'11-Viabilidade'!$K$16+'11-Viabilidade'!$K$17,('11-Viabilidade'!$L$11)*((1+'11-Viabilidade'!$O$10)^(($C97-1)/12))))</f>
        <v>549.65668528968263</v>
      </c>
      <c r="Z97" s="157">
        <f>IFERROR(VLOOKUP(S97,'12-SAC Viabilidade'!$B$11:$G$430,6,FALSE),0)</f>
        <v>2079.6802754097985</v>
      </c>
      <c r="AA97" s="157">
        <f>IFERROR(VLOOKUP(S97,'12-SAC Viabilidade'!$B$11:$H$430,7,FALSE),0)</f>
        <v>188571.42857142867</v>
      </c>
      <c r="AB97" s="132">
        <f>(U97-W97)*'11-Viabilidade'!$O$16</f>
        <v>630.62594204623645</v>
      </c>
      <c r="AC97" s="11">
        <f t="shared" si="3"/>
        <v>500.4362331596185</v>
      </c>
      <c r="AD97" s="156">
        <f t="shared" si="4"/>
        <v>2580.116508569417</v>
      </c>
      <c r="AE97" s="42"/>
      <c r="AF97" s="42"/>
      <c r="AG97" s="42"/>
      <c r="AH97" s="42"/>
    </row>
    <row r="98" spans="1:34" ht="15.75" customHeight="1">
      <c r="A98" s="37"/>
      <c r="B98" s="38">
        <f>IF(AND(B97&gt;0,B97&lt;'11-Viabilidade'!$P$14),B97+1,0)</f>
        <v>91</v>
      </c>
      <c r="C98" s="155">
        <f>IF($B98&lt;'11-Viabilidade'!$C$24,0,$B98-'11-Viabilidade'!$C$24)</f>
        <v>85</v>
      </c>
      <c r="D98" s="11">
        <f>IF(C98&gt;0,'11-Viabilidade'!$K$10,0)*((1+'11-Viabilidade'!$O$10)^(($C98-1)/12))</f>
        <v>4221.3012679687508</v>
      </c>
      <c r="E98" s="11">
        <f>D98*'11-Viabilidade'!$L$12</f>
        <v>234.51673710937504</v>
      </c>
      <c r="F98" s="11">
        <f>D98*'11-Viabilidade'!$K$14</f>
        <v>0</v>
      </c>
      <c r="G98" s="11">
        <f>D98*'11-Viabilidade'!$K$15</f>
        <v>211.06506339843756</v>
      </c>
      <c r="H98" s="11">
        <f>IF(D98=0,'11-Viabilidade'!$K$16+'11-Viabilidade'!$K$17,('11-Viabilidade'!$L$11)*((1+'11-Viabilidade'!$O$10)^(($C98-1)/12)))</f>
        <v>551.89605466406249</v>
      </c>
      <c r="I98" s="11">
        <f>'12-SAC Viabilidade'!G101</f>
        <v>2075.1236237361391</v>
      </c>
      <c r="J98" s="11">
        <f>'12-SAC Viabilidade'!H101</f>
        <v>188000.00000000009</v>
      </c>
      <c r="K98" s="132">
        <f>(D98-F98)*'11-Viabilidade'!$O$16</f>
        <v>633.19519019531265</v>
      </c>
      <c r="L98" s="11">
        <f t="shared" si="0"/>
        <v>515.50459886542421</v>
      </c>
      <c r="M98" s="156">
        <f t="shared" si="1"/>
        <v>2590.6282226015633</v>
      </c>
      <c r="N98" s="13"/>
      <c r="O98" s="43"/>
      <c r="P98" s="41">
        <f>IF(B98&lt;='11-Viabilidade'!$G$11,(P97+(P97*'11-Viabilidade'!$H$12)),0)</f>
        <v>0</v>
      </c>
      <c r="Q98" s="41">
        <f>IF(B98='11-Viabilidade'!$G$11,'11-Viabilidade'!$G$16,0)*(1+'11-Viabilidade'!$G$12)^((B98-1)/12)</f>
        <v>0</v>
      </c>
      <c r="R98" s="170">
        <f t="shared" si="2"/>
        <v>0</v>
      </c>
      <c r="S98" s="41">
        <f t="shared" si="5"/>
        <v>91</v>
      </c>
      <c r="T98" s="155">
        <f>IF($S98&lt;'11-Viabilidade'!$C$24,0,$S98-'11-Viabilidade'!$C$24)</f>
        <v>85</v>
      </c>
      <c r="U98" s="11">
        <f>IF(T98&gt;0,'11-Viabilidade'!$K$10,0)*((1+'11-Viabilidade'!$O$10)^(($T98-1)/12))</f>
        <v>4221.3012679687508</v>
      </c>
      <c r="V98" s="11">
        <f>U98*'11-Viabilidade'!$L$12</f>
        <v>234.51673710937504</v>
      </c>
      <c r="W98" s="11">
        <f>U98*'11-Viabilidade'!$K$14</f>
        <v>0</v>
      </c>
      <c r="X98" s="11">
        <f>U98*'11-Viabilidade'!$K$15</f>
        <v>211.06506339843756</v>
      </c>
      <c r="Y98" s="11">
        <f>IF(AND(U98=0,S98=0),0,IF(AND(U98=0,S98&lt;&gt;0),'11-Viabilidade'!$K$16+'11-Viabilidade'!$K$17,('11-Viabilidade'!$L$11)*((1+'11-Viabilidade'!$O$10)^(($C98-1)/12))))</f>
        <v>551.89605466406249</v>
      </c>
      <c r="Z98" s="157">
        <f>IFERROR(VLOOKUP(S98,'12-SAC Viabilidade'!$B$11:$G$430,6,FALSE),0)</f>
        <v>2075.1236237361391</v>
      </c>
      <c r="AA98" s="157">
        <f>IFERROR(VLOOKUP(S98,'12-SAC Viabilidade'!$B$11:$H$430,7,FALSE),0)</f>
        <v>188000.00000000009</v>
      </c>
      <c r="AB98" s="132">
        <f>(U98-W98)*'11-Viabilidade'!$O$16</f>
        <v>633.19519019531265</v>
      </c>
      <c r="AC98" s="11">
        <f t="shared" si="3"/>
        <v>515.50459886542421</v>
      </c>
      <c r="AD98" s="156">
        <f t="shared" si="4"/>
        <v>2590.6282226015633</v>
      </c>
      <c r="AE98" s="42"/>
      <c r="AF98" s="42"/>
      <c r="AG98" s="42"/>
      <c r="AH98" s="42"/>
    </row>
    <row r="99" spans="1:34" ht="15.75" customHeight="1">
      <c r="A99" s="37"/>
      <c r="B99" s="38">
        <f>IF(AND(B98&gt;0,B98&lt;'11-Viabilidade'!$P$14),B98+1,0)</f>
        <v>92</v>
      </c>
      <c r="C99" s="155">
        <f>IF($B99&lt;'11-Viabilidade'!$C$24,0,$B99-'11-Viabilidade'!$C$24)</f>
        <v>86</v>
      </c>
      <c r="D99" s="11">
        <f>IF(C99&gt;0,'11-Viabilidade'!$K$10,0)*((1+'11-Viabilidade'!$O$10)^(($C99-1)/12))</f>
        <v>4238.4993718625274</v>
      </c>
      <c r="E99" s="11">
        <f>D99*'11-Viabilidade'!$L$12</f>
        <v>235.47218732569596</v>
      </c>
      <c r="F99" s="11">
        <f>D99*'11-Viabilidade'!$K$14</f>
        <v>0</v>
      </c>
      <c r="G99" s="11">
        <f>D99*'11-Viabilidade'!$K$15</f>
        <v>211.92496859312638</v>
      </c>
      <c r="H99" s="11">
        <f>IF(D99=0,'11-Viabilidade'!$K$16+'11-Viabilidade'!$K$17,('11-Viabilidade'!$L$11)*((1+'11-Viabilidade'!$O$10)^(($C99-1)/12)))</f>
        <v>554.1445475064711</v>
      </c>
      <c r="I99" s="11">
        <f>'12-SAC Viabilidade'!G102</f>
        <v>2070.5669720624796</v>
      </c>
      <c r="J99" s="11">
        <f>'12-SAC Viabilidade'!H102</f>
        <v>187428.57142857151</v>
      </c>
      <c r="K99" s="132">
        <f>(D99-F99)*'11-Viabilidade'!$O$16</f>
        <v>635.77490577937908</v>
      </c>
      <c r="L99" s="11">
        <f t="shared" si="0"/>
        <v>530.61579059537507</v>
      </c>
      <c r="M99" s="156">
        <f t="shared" si="1"/>
        <v>2601.1827626578547</v>
      </c>
      <c r="N99" s="13"/>
      <c r="O99" s="43"/>
      <c r="P99" s="41">
        <f>IF(B99&lt;='11-Viabilidade'!$G$11,(P98+(P98*'11-Viabilidade'!$H$12)),0)</f>
        <v>0</v>
      </c>
      <c r="Q99" s="41">
        <f>IF(B99='11-Viabilidade'!$G$11,'11-Viabilidade'!$G$16,0)*(1+'11-Viabilidade'!$G$12)^((B99-1)/12)</f>
        <v>0</v>
      </c>
      <c r="R99" s="170">
        <f t="shared" si="2"/>
        <v>0</v>
      </c>
      <c r="S99" s="41">
        <f t="shared" si="5"/>
        <v>92</v>
      </c>
      <c r="T99" s="155">
        <f>IF($S99&lt;'11-Viabilidade'!$C$24,0,$S99-'11-Viabilidade'!$C$24)</f>
        <v>86</v>
      </c>
      <c r="U99" s="11">
        <f>IF(T99&gt;0,'11-Viabilidade'!$K$10,0)*((1+'11-Viabilidade'!$O$10)^(($T99-1)/12))</f>
        <v>4238.4993718625274</v>
      </c>
      <c r="V99" s="11">
        <f>U99*'11-Viabilidade'!$L$12</f>
        <v>235.47218732569596</v>
      </c>
      <c r="W99" s="11">
        <f>U99*'11-Viabilidade'!$K$14</f>
        <v>0</v>
      </c>
      <c r="X99" s="11">
        <f>U99*'11-Viabilidade'!$K$15</f>
        <v>211.92496859312638</v>
      </c>
      <c r="Y99" s="11">
        <f>IF(AND(U99=0,S99=0),0,IF(AND(U99=0,S99&lt;&gt;0),'11-Viabilidade'!$K$16+'11-Viabilidade'!$K$17,('11-Viabilidade'!$L$11)*((1+'11-Viabilidade'!$O$10)^(($C99-1)/12))))</f>
        <v>554.1445475064711</v>
      </c>
      <c r="Z99" s="157">
        <f>IFERROR(VLOOKUP(S99,'12-SAC Viabilidade'!$B$11:$G$430,6,FALSE),0)</f>
        <v>2070.5669720624796</v>
      </c>
      <c r="AA99" s="157">
        <f>IFERROR(VLOOKUP(S99,'12-SAC Viabilidade'!$B$11:$H$430,7,FALSE),0)</f>
        <v>187428.57142857151</v>
      </c>
      <c r="AB99" s="132">
        <f>(U99-W99)*'11-Viabilidade'!$O$16</f>
        <v>635.77490577937908</v>
      </c>
      <c r="AC99" s="11">
        <f t="shared" si="3"/>
        <v>530.61579059537507</v>
      </c>
      <c r="AD99" s="156">
        <f t="shared" si="4"/>
        <v>2601.1827626578547</v>
      </c>
      <c r="AE99" s="42"/>
      <c r="AF99" s="42"/>
      <c r="AG99" s="42"/>
      <c r="AH99" s="42"/>
    </row>
    <row r="100" spans="1:34" ht="15.75" customHeight="1">
      <c r="A100" s="37"/>
      <c r="B100" s="38">
        <f>IF(AND(B99&gt;0,B99&lt;'11-Viabilidade'!$P$14),B99+1,0)</f>
        <v>93</v>
      </c>
      <c r="C100" s="155">
        <f>IF($B100&lt;'11-Viabilidade'!$C$24,0,$B100-'11-Viabilidade'!$C$24)</f>
        <v>87</v>
      </c>
      <c r="D100" s="11">
        <f>IF(C100&gt;0,'11-Viabilidade'!$K$10,0)*((1+'11-Viabilidade'!$O$10)^(($C100-1)/12))</f>
        <v>4255.7675429604114</v>
      </c>
      <c r="E100" s="11">
        <f>D100*'11-Viabilidade'!$L$12</f>
        <v>236.43153016446729</v>
      </c>
      <c r="F100" s="11">
        <f>D100*'11-Viabilidade'!$K$14</f>
        <v>0</v>
      </c>
      <c r="G100" s="11">
        <f>D100*'11-Viabilidade'!$K$15</f>
        <v>212.78837714802057</v>
      </c>
      <c r="H100" s="11">
        <f>IF(D100=0,'11-Viabilidade'!$K$16+'11-Viabilidade'!$K$17,('11-Viabilidade'!$L$11)*((1+'11-Viabilidade'!$O$10)^(($C100-1)/12)))</f>
        <v>556.40220098704629</v>
      </c>
      <c r="I100" s="11">
        <f>'12-SAC Viabilidade'!G103</f>
        <v>2066.0103203888207</v>
      </c>
      <c r="J100" s="11">
        <f>'12-SAC Viabilidade'!H103</f>
        <v>186857.14285714293</v>
      </c>
      <c r="K100" s="132">
        <f>(D100-F100)*'11-Viabilidade'!$O$16</f>
        <v>638.36513144406172</v>
      </c>
      <c r="L100" s="11">
        <f t="shared" si="0"/>
        <v>545.76998282799514</v>
      </c>
      <c r="M100" s="156">
        <f t="shared" si="1"/>
        <v>2611.7803032168158</v>
      </c>
      <c r="N100" s="13"/>
      <c r="O100" s="43"/>
      <c r="P100" s="41">
        <f>IF(B100&lt;='11-Viabilidade'!$G$11,(P99+(P99*'11-Viabilidade'!$H$12)),0)</f>
        <v>0</v>
      </c>
      <c r="Q100" s="41">
        <f>IF(B100='11-Viabilidade'!$G$11,'11-Viabilidade'!$G$16,0)*(1+'11-Viabilidade'!$G$12)^((B100-1)/12)</f>
        <v>0</v>
      </c>
      <c r="R100" s="170">
        <f t="shared" si="2"/>
        <v>0</v>
      </c>
      <c r="S100" s="41">
        <f t="shared" si="5"/>
        <v>93</v>
      </c>
      <c r="T100" s="155">
        <f>IF($S100&lt;'11-Viabilidade'!$C$24,0,$S100-'11-Viabilidade'!$C$24)</f>
        <v>87</v>
      </c>
      <c r="U100" s="11">
        <f>IF(T100&gt;0,'11-Viabilidade'!$K$10,0)*((1+'11-Viabilidade'!$O$10)^(($T100-1)/12))</f>
        <v>4255.7675429604114</v>
      </c>
      <c r="V100" s="11">
        <f>U100*'11-Viabilidade'!$L$12</f>
        <v>236.43153016446729</v>
      </c>
      <c r="W100" s="11">
        <f>U100*'11-Viabilidade'!$K$14</f>
        <v>0</v>
      </c>
      <c r="X100" s="11">
        <f>U100*'11-Viabilidade'!$K$15</f>
        <v>212.78837714802057</v>
      </c>
      <c r="Y100" s="11">
        <f>IF(AND(U100=0,S100=0),0,IF(AND(U100=0,S100&lt;&gt;0),'11-Viabilidade'!$K$16+'11-Viabilidade'!$K$17,('11-Viabilidade'!$L$11)*((1+'11-Viabilidade'!$O$10)^(($C100-1)/12))))</f>
        <v>556.40220098704629</v>
      </c>
      <c r="Z100" s="157">
        <f>IFERROR(VLOOKUP(S100,'12-SAC Viabilidade'!$B$11:$G$430,6,FALSE),0)</f>
        <v>2066.0103203888207</v>
      </c>
      <c r="AA100" s="157">
        <f>IFERROR(VLOOKUP(S100,'12-SAC Viabilidade'!$B$11:$H$430,7,FALSE),0)</f>
        <v>186857.14285714293</v>
      </c>
      <c r="AB100" s="132">
        <f>(U100-W100)*'11-Viabilidade'!$O$16</f>
        <v>638.36513144406172</v>
      </c>
      <c r="AC100" s="11">
        <f t="shared" si="3"/>
        <v>545.76998282799514</v>
      </c>
      <c r="AD100" s="156">
        <f t="shared" si="4"/>
        <v>2611.7803032168158</v>
      </c>
      <c r="AE100" s="42"/>
      <c r="AF100" s="42"/>
      <c r="AG100" s="42"/>
      <c r="AH100" s="42"/>
    </row>
    <row r="101" spans="1:34" ht="15.75" customHeight="1">
      <c r="A101" s="37"/>
      <c r="B101" s="38">
        <f>IF(AND(B100&gt;0,B100&lt;'11-Viabilidade'!$P$14),B100+1,0)</f>
        <v>94</v>
      </c>
      <c r="C101" s="155">
        <f>IF($B101&lt;'11-Viabilidade'!$C$24,0,$B101-'11-Viabilidade'!$C$24)</f>
        <v>88</v>
      </c>
      <c r="D101" s="11">
        <f>IF(C101&gt;0,'11-Viabilidade'!$K$10,0)*((1+'11-Viabilidade'!$O$10)^(($C101-1)/12))</f>
        <v>4273.1060667248648</v>
      </c>
      <c r="E101" s="11">
        <f>D101*'11-Viabilidade'!$L$12</f>
        <v>237.39478148471471</v>
      </c>
      <c r="F101" s="11">
        <f>D101*'11-Viabilidade'!$K$14</f>
        <v>0</v>
      </c>
      <c r="G101" s="11">
        <f>D101*'11-Viabilidade'!$K$15</f>
        <v>213.65530333624326</v>
      </c>
      <c r="H101" s="11">
        <f>IF(D101=0,'11-Viabilidade'!$K$16+'11-Viabilidade'!$K$17,('11-Viabilidade'!$L$11)*((1+'11-Viabilidade'!$O$10)^(($C101-1)/12)))</f>
        <v>558.66905242736186</v>
      </c>
      <c r="I101" s="11">
        <f>'12-SAC Viabilidade'!G104</f>
        <v>2061.4536687151613</v>
      </c>
      <c r="J101" s="11">
        <f>'12-SAC Viabilidade'!H104</f>
        <v>186285.71428571435</v>
      </c>
      <c r="K101" s="132">
        <f>(D101-F101)*'11-Viabilidade'!$O$16</f>
        <v>640.96591000872968</v>
      </c>
      <c r="L101" s="11">
        <f t="shared" si="0"/>
        <v>560.96735075265406</v>
      </c>
      <c r="M101" s="156">
        <f t="shared" si="1"/>
        <v>2622.4210194678153</v>
      </c>
      <c r="N101" s="13"/>
      <c r="O101" s="43"/>
      <c r="P101" s="41">
        <f>IF(B101&lt;='11-Viabilidade'!$G$11,(P100+(P100*'11-Viabilidade'!$H$12)),0)</f>
        <v>0</v>
      </c>
      <c r="Q101" s="41">
        <f>IF(B101='11-Viabilidade'!$G$11,'11-Viabilidade'!$G$16,0)*(1+'11-Viabilidade'!$G$12)^((B101-1)/12)</f>
        <v>0</v>
      </c>
      <c r="R101" s="170">
        <f t="shared" si="2"/>
        <v>0</v>
      </c>
      <c r="S101" s="41">
        <f t="shared" si="5"/>
        <v>94</v>
      </c>
      <c r="T101" s="155">
        <f>IF($S101&lt;'11-Viabilidade'!$C$24,0,$S101-'11-Viabilidade'!$C$24)</f>
        <v>88</v>
      </c>
      <c r="U101" s="11">
        <f>IF(T101&gt;0,'11-Viabilidade'!$K$10,0)*((1+'11-Viabilidade'!$O$10)^(($T101-1)/12))</f>
        <v>4273.1060667248648</v>
      </c>
      <c r="V101" s="11">
        <f>U101*'11-Viabilidade'!$L$12</f>
        <v>237.39478148471471</v>
      </c>
      <c r="W101" s="11">
        <f>U101*'11-Viabilidade'!$K$14</f>
        <v>0</v>
      </c>
      <c r="X101" s="11">
        <f>U101*'11-Viabilidade'!$K$15</f>
        <v>213.65530333624326</v>
      </c>
      <c r="Y101" s="11">
        <f>IF(AND(U101=0,S101=0),0,IF(AND(U101=0,S101&lt;&gt;0),'11-Viabilidade'!$K$16+'11-Viabilidade'!$K$17,('11-Viabilidade'!$L$11)*((1+'11-Viabilidade'!$O$10)^(($C101-1)/12))))</f>
        <v>558.66905242736186</v>
      </c>
      <c r="Z101" s="157">
        <f>IFERROR(VLOOKUP(S101,'12-SAC Viabilidade'!$B$11:$G$430,6,FALSE),0)</f>
        <v>2061.4536687151613</v>
      </c>
      <c r="AA101" s="157">
        <f>IFERROR(VLOOKUP(S101,'12-SAC Viabilidade'!$B$11:$H$430,7,FALSE),0)</f>
        <v>186285.71428571435</v>
      </c>
      <c r="AB101" s="132">
        <f>(U101-W101)*'11-Viabilidade'!$O$16</f>
        <v>640.96591000872968</v>
      </c>
      <c r="AC101" s="11">
        <f t="shared" si="3"/>
        <v>560.96735075265406</v>
      </c>
      <c r="AD101" s="156">
        <f t="shared" si="4"/>
        <v>2622.4210194678153</v>
      </c>
      <c r="AE101" s="42"/>
      <c r="AF101" s="42"/>
      <c r="AG101" s="42"/>
      <c r="AH101" s="42"/>
    </row>
    <row r="102" spans="1:34" ht="15.75" customHeight="1">
      <c r="A102" s="37"/>
      <c r="B102" s="38">
        <f>IF(AND(B101&gt;0,B101&lt;'11-Viabilidade'!$P$14),B101+1,0)</f>
        <v>95</v>
      </c>
      <c r="C102" s="155">
        <f>IF($B102&lt;'11-Viabilidade'!$C$24,0,$B102-'11-Viabilidade'!$C$24)</f>
        <v>89</v>
      </c>
      <c r="D102" s="11">
        <f>IF(C102&gt;0,'11-Viabilidade'!$K$10,0)*((1+'11-Viabilidade'!$O$10)^(($C102-1)/12))</f>
        <v>4290.5152297813602</v>
      </c>
      <c r="E102" s="11">
        <f>D102*'11-Viabilidade'!$L$12</f>
        <v>238.36195721007556</v>
      </c>
      <c r="F102" s="11">
        <f>D102*'11-Viabilidade'!$K$14</f>
        <v>0</v>
      </c>
      <c r="G102" s="11">
        <f>D102*'11-Viabilidade'!$K$15</f>
        <v>214.52576148906803</v>
      </c>
      <c r="H102" s="11">
        <f>IF(D102=0,'11-Viabilidade'!$K$16+'11-Viabilidade'!$K$17,('11-Viabilidade'!$L$11)*((1+'11-Viabilidade'!$O$10)^(($C102-1)/12)))</f>
        <v>560.94513930104438</v>
      </c>
      <c r="I102" s="11">
        <f>'12-SAC Viabilidade'!G105</f>
        <v>2056.8970170415018</v>
      </c>
      <c r="J102" s="11">
        <f>'12-SAC Viabilidade'!H105</f>
        <v>185714.28571428577</v>
      </c>
      <c r="K102" s="132">
        <f>(D102-F102)*'11-Viabilidade'!$O$16</f>
        <v>643.57728446720398</v>
      </c>
      <c r="L102" s="11">
        <f t="shared" si="0"/>
        <v>576.2080702724661</v>
      </c>
      <c r="M102" s="156">
        <f t="shared" si="1"/>
        <v>2633.1050873139684</v>
      </c>
      <c r="N102" s="13"/>
      <c r="O102" s="43"/>
      <c r="P102" s="41">
        <f>IF(B102&lt;='11-Viabilidade'!$G$11,(P101+(P101*'11-Viabilidade'!$H$12)),0)</f>
        <v>0</v>
      </c>
      <c r="Q102" s="41">
        <f>IF(B102='11-Viabilidade'!$G$11,'11-Viabilidade'!$G$16,0)*(1+'11-Viabilidade'!$G$12)^((B102-1)/12)</f>
        <v>0</v>
      </c>
      <c r="R102" s="170">
        <f t="shared" si="2"/>
        <v>0</v>
      </c>
      <c r="S102" s="41">
        <f t="shared" si="5"/>
        <v>95</v>
      </c>
      <c r="T102" s="155">
        <f>IF($S102&lt;'11-Viabilidade'!$C$24,0,$S102-'11-Viabilidade'!$C$24)</f>
        <v>89</v>
      </c>
      <c r="U102" s="11">
        <f>IF(T102&gt;0,'11-Viabilidade'!$K$10,0)*((1+'11-Viabilidade'!$O$10)^(($T102-1)/12))</f>
        <v>4290.5152297813602</v>
      </c>
      <c r="V102" s="11">
        <f>U102*'11-Viabilidade'!$L$12</f>
        <v>238.36195721007556</v>
      </c>
      <c r="W102" s="11">
        <f>U102*'11-Viabilidade'!$K$14</f>
        <v>0</v>
      </c>
      <c r="X102" s="11">
        <f>U102*'11-Viabilidade'!$K$15</f>
        <v>214.52576148906803</v>
      </c>
      <c r="Y102" s="11">
        <f>IF(AND(U102=0,S102=0),0,IF(AND(U102=0,S102&lt;&gt;0),'11-Viabilidade'!$K$16+'11-Viabilidade'!$K$17,('11-Viabilidade'!$L$11)*((1+'11-Viabilidade'!$O$10)^(($C102-1)/12))))</f>
        <v>560.94513930104438</v>
      </c>
      <c r="Z102" s="157">
        <f>IFERROR(VLOOKUP(S102,'12-SAC Viabilidade'!$B$11:$G$430,6,FALSE),0)</f>
        <v>2056.8970170415018</v>
      </c>
      <c r="AA102" s="157">
        <f>IFERROR(VLOOKUP(S102,'12-SAC Viabilidade'!$B$11:$H$430,7,FALSE),0)</f>
        <v>185714.28571428577</v>
      </c>
      <c r="AB102" s="132">
        <f>(U102-W102)*'11-Viabilidade'!$O$16</f>
        <v>643.57728446720398</v>
      </c>
      <c r="AC102" s="11">
        <f t="shared" si="3"/>
        <v>576.2080702724661</v>
      </c>
      <c r="AD102" s="156">
        <f t="shared" si="4"/>
        <v>2633.1050873139684</v>
      </c>
      <c r="AE102" s="42"/>
      <c r="AF102" s="42"/>
      <c r="AG102" s="42"/>
      <c r="AH102" s="42"/>
    </row>
    <row r="103" spans="1:34" ht="15.75" customHeight="1">
      <c r="A103" s="158" t="s">
        <v>240</v>
      </c>
      <c r="B103" s="159">
        <f>IF(AND(B102&gt;0,B102&lt;'11-Viabilidade'!$P$14),B102+1,0)</f>
        <v>96</v>
      </c>
      <c r="C103" s="160">
        <f>IF($B103&lt;'11-Viabilidade'!$C$24,0,$B103-'11-Viabilidade'!$C$24)</f>
        <v>90</v>
      </c>
      <c r="D103" s="161">
        <f>IF(C103&gt;0,'11-Viabilidade'!$K$10,0)*((1+'11-Viabilidade'!$O$10)^(($C103-1)/12))</f>
        <v>4307.9953199231177</v>
      </c>
      <c r="E103" s="161">
        <f>D103*'11-Viabilidade'!$L$12</f>
        <v>239.33307332906207</v>
      </c>
      <c r="F103" s="161">
        <f>D103*'11-Viabilidade'!$K$14</f>
        <v>0</v>
      </c>
      <c r="G103" s="161">
        <f>D103*'11-Viabilidade'!$K$15</f>
        <v>215.39976599615591</v>
      </c>
      <c r="H103" s="11">
        <f>IF(D103=0,'11-Viabilidade'!$K$16+'11-Viabilidade'!$K$17,('11-Viabilidade'!$L$11)*((1+'11-Viabilidade'!$O$10)^(($C103-1)/12)))</f>
        <v>563.23049923439271</v>
      </c>
      <c r="I103" s="161">
        <f>'12-SAC Viabilidade'!G106</f>
        <v>2052.3403653678424</v>
      </c>
      <c r="J103" s="161">
        <f>'12-SAC Viabilidade'!H106</f>
        <v>185142.85714285719</v>
      </c>
      <c r="K103" s="162">
        <f>(D103-F103)*'11-Viabilidade'!$O$16</f>
        <v>646.19929798846761</v>
      </c>
      <c r="L103" s="161">
        <f t="shared" si="0"/>
        <v>591.4923180071969</v>
      </c>
      <c r="M103" s="163">
        <f t="shared" si="1"/>
        <v>2643.8326833750393</v>
      </c>
      <c r="N103" s="164"/>
      <c r="O103" s="171"/>
      <c r="P103" s="165">
        <f>IF(B103&lt;='11-Viabilidade'!$G$11,(P102+(P102*'11-Viabilidade'!$H$12)),0)</f>
        <v>0</v>
      </c>
      <c r="Q103" s="165">
        <f>IF(B103='11-Viabilidade'!$G$11,'11-Viabilidade'!$G$16,0)*(1+'11-Viabilidade'!$G$12)^((B103-1)/12)</f>
        <v>0</v>
      </c>
      <c r="R103" s="172">
        <f t="shared" si="2"/>
        <v>0</v>
      </c>
      <c r="S103" s="165">
        <f t="shared" si="5"/>
        <v>96</v>
      </c>
      <c r="T103" s="160">
        <f>IF($S103&lt;'11-Viabilidade'!$C$24,0,$S103-'11-Viabilidade'!$C$24)</f>
        <v>90</v>
      </c>
      <c r="U103" s="161">
        <f>IF(T103&gt;0,'11-Viabilidade'!$K$10,0)*((1+'11-Viabilidade'!$O$10)^(($T103-1)/12))</f>
        <v>4307.9953199231177</v>
      </c>
      <c r="V103" s="161">
        <f>U103*'11-Viabilidade'!$L$12</f>
        <v>239.33307332906207</v>
      </c>
      <c r="W103" s="161">
        <f>U103*'11-Viabilidade'!$K$14</f>
        <v>0</v>
      </c>
      <c r="X103" s="161">
        <f>U103*'11-Viabilidade'!$K$15</f>
        <v>215.39976599615591</v>
      </c>
      <c r="Y103" s="11">
        <f>IF(AND(U103=0,S103=0),0,IF(AND(U103=0,S103&lt;&gt;0),'11-Viabilidade'!$K$16+'11-Viabilidade'!$K$17,('11-Viabilidade'!$L$11)*((1+'11-Viabilidade'!$O$10)^(($C103-1)/12))))</f>
        <v>563.23049923439271</v>
      </c>
      <c r="Z103" s="168">
        <f>IFERROR(VLOOKUP(S103,'12-SAC Viabilidade'!$B$11:$G$430,6,FALSE),0)</f>
        <v>2052.3403653678424</v>
      </c>
      <c r="AA103" s="168">
        <f>IFERROR(VLOOKUP(S103,'12-SAC Viabilidade'!$B$11:$H$430,7,FALSE),0)</f>
        <v>185142.85714285719</v>
      </c>
      <c r="AB103" s="162">
        <f>(U103-W103)*'11-Viabilidade'!$O$16</f>
        <v>646.19929798846761</v>
      </c>
      <c r="AC103" s="161">
        <f t="shared" si="3"/>
        <v>591.4923180071969</v>
      </c>
      <c r="AD103" s="163">
        <f t="shared" si="4"/>
        <v>2643.8326833750393</v>
      </c>
      <c r="AE103" s="173"/>
      <c r="AF103" s="173"/>
      <c r="AG103" s="173"/>
      <c r="AH103" s="173"/>
    </row>
    <row r="104" spans="1:34" ht="15.75" customHeight="1">
      <c r="A104" s="37"/>
      <c r="B104" s="38">
        <f>IF(AND(B103&gt;0,B103&lt;'11-Viabilidade'!$P$14),B103+1,0)</f>
        <v>97</v>
      </c>
      <c r="C104" s="155">
        <f>IF($B104&lt;'11-Viabilidade'!$C$24,0,$B104-'11-Viabilidade'!$C$24)</f>
        <v>91</v>
      </c>
      <c r="D104" s="11">
        <f>IF(C104&gt;0,'11-Viabilidade'!$K$10,0)*((1+'11-Viabilidade'!$O$10)^(($C104-1)/12))</f>
        <v>4325.5466261158617</v>
      </c>
      <c r="E104" s="11">
        <f>D104*'11-Viabilidade'!$L$12</f>
        <v>240.30814589532565</v>
      </c>
      <c r="F104" s="11">
        <f>D104*'11-Viabilidade'!$K$14</f>
        <v>0</v>
      </c>
      <c r="G104" s="11">
        <f>D104*'11-Viabilidade'!$K$15</f>
        <v>216.2773313057931</v>
      </c>
      <c r="H104" s="11">
        <f>IF(D104=0,'11-Viabilidade'!$K$16+'11-Viabilidade'!$K$17,('11-Viabilidade'!$L$11)*((1+'11-Viabilidade'!$O$10)^(($C104-1)/12)))</f>
        <v>565.5251700069997</v>
      </c>
      <c r="I104" s="11">
        <f>'12-SAC Viabilidade'!G107</f>
        <v>2047.783713694183</v>
      </c>
      <c r="J104" s="11">
        <f>'12-SAC Viabilidade'!H107</f>
        <v>184571.42857142861</v>
      </c>
      <c r="K104" s="132">
        <f>(D104-F104)*'11-Viabilidade'!$O$16</f>
        <v>648.83199391737924</v>
      </c>
      <c r="L104" s="11">
        <f t="shared" si="0"/>
        <v>606.82027129618064</v>
      </c>
      <c r="M104" s="156">
        <f t="shared" si="1"/>
        <v>2654.6039849903641</v>
      </c>
      <c r="N104" s="13"/>
      <c r="O104" s="43"/>
      <c r="P104" s="41">
        <f>IF(B104&lt;='11-Viabilidade'!$G$11,(P103+(P103*'11-Viabilidade'!$H$12)),0)</f>
        <v>0</v>
      </c>
      <c r="Q104" s="41">
        <f>IF(B104='11-Viabilidade'!$G$11,'11-Viabilidade'!$G$16,0)*(1+'11-Viabilidade'!$G$12)^((B104-1)/12)</f>
        <v>0</v>
      </c>
      <c r="R104" s="170">
        <f t="shared" si="2"/>
        <v>0</v>
      </c>
      <c r="S104" s="41">
        <f t="shared" si="5"/>
        <v>97</v>
      </c>
      <c r="T104" s="155">
        <f>IF($S104&lt;'11-Viabilidade'!$C$24,0,$S104-'11-Viabilidade'!$C$24)</f>
        <v>91</v>
      </c>
      <c r="U104" s="11">
        <f>IF(T104&gt;0,'11-Viabilidade'!$K$10,0)*((1+'11-Viabilidade'!$O$10)^(($T104-1)/12))</f>
        <v>4325.5466261158617</v>
      </c>
      <c r="V104" s="11">
        <f>U104*'11-Viabilidade'!$L$12</f>
        <v>240.30814589532565</v>
      </c>
      <c r="W104" s="11">
        <f>U104*'11-Viabilidade'!$K$14</f>
        <v>0</v>
      </c>
      <c r="X104" s="11">
        <f>U104*'11-Viabilidade'!$K$15</f>
        <v>216.2773313057931</v>
      </c>
      <c r="Y104" s="11">
        <f>IF(AND(U104=0,S104=0),0,IF(AND(U104=0,S104&lt;&gt;0),'11-Viabilidade'!$K$16+'11-Viabilidade'!$K$17,('11-Viabilidade'!$L$11)*((1+'11-Viabilidade'!$O$10)^(($C104-1)/12))))</f>
        <v>565.5251700069997</v>
      </c>
      <c r="Z104" s="157">
        <f>IFERROR(VLOOKUP(S104,'12-SAC Viabilidade'!$B$11:$G$430,6,FALSE),0)</f>
        <v>2047.783713694183</v>
      </c>
      <c r="AA104" s="157">
        <f>IFERROR(VLOOKUP(S104,'12-SAC Viabilidade'!$B$11:$H$430,7,FALSE),0)</f>
        <v>184571.42857142861</v>
      </c>
      <c r="AB104" s="132">
        <f>(U104-W104)*'11-Viabilidade'!$O$16</f>
        <v>648.83199391737924</v>
      </c>
      <c r="AC104" s="11">
        <f t="shared" si="3"/>
        <v>606.82027129618064</v>
      </c>
      <c r="AD104" s="156">
        <f t="shared" si="4"/>
        <v>2654.6039849903641</v>
      </c>
      <c r="AE104" s="42"/>
      <c r="AF104" s="42"/>
      <c r="AG104" s="42"/>
      <c r="AH104" s="42"/>
    </row>
    <row r="105" spans="1:34" ht="15.75" customHeight="1">
      <c r="A105" s="37"/>
      <c r="B105" s="38">
        <f>IF(AND(B104&gt;0,B104&lt;'11-Viabilidade'!$P$14),B104+1,0)</f>
        <v>98</v>
      </c>
      <c r="C105" s="155">
        <f>IF($B105&lt;'11-Viabilidade'!$C$24,0,$B105-'11-Viabilidade'!$C$24)</f>
        <v>92</v>
      </c>
      <c r="D105" s="11">
        <f>IF(C105&gt;0,'11-Viabilidade'!$K$10,0)*((1+'11-Viabilidade'!$O$10)^(($C105-1)/12))</f>
        <v>4343.1694385026003</v>
      </c>
      <c r="E105" s="11">
        <f>D105*'11-Viabilidade'!$L$12</f>
        <v>241.28719102792223</v>
      </c>
      <c r="F105" s="11">
        <f>D105*'11-Viabilidade'!$K$14</f>
        <v>0</v>
      </c>
      <c r="G105" s="11">
        <f>D105*'11-Viabilidade'!$K$15</f>
        <v>217.15847192513002</v>
      </c>
      <c r="H105" s="11">
        <f>IF(D105=0,'11-Viabilidade'!$K$16+'11-Viabilidade'!$K$17,('11-Viabilidade'!$L$11)*((1+'11-Viabilidade'!$O$10)^(($C105-1)/12)))</f>
        <v>567.82918955237699</v>
      </c>
      <c r="I105" s="11">
        <f>'12-SAC Viabilidade'!G108</f>
        <v>2043.2270620205236</v>
      </c>
      <c r="J105" s="11">
        <f>'12-SAC Viabilidade'!H108</f>
        <v>184000.00000000006</v>
      </c>
      <c r="K105" s="132">
        <f>(D105-F105)*'11-Viabilidade'!$O$16</f>
        <v>651.47541577539005</v>
      </c>
      <c r="L105" s="11">
        <f t="shared" si="0"/>
        <v>622.19210820125727</v>
      </c>
      <c r="M105" s="156">
        <f t="shared" si="1"/>
        <v>2665.4191702217813</v>
      </c>
      <c r="N105" s="13"/>
      <c r="O105" s="43"/>
      <c r="P105" s="41">
        <f>IF(B105&lt;='11-Viabilidade'!$G$11,(P104+(P104*'11-Viabilidade'!$H$12)),0)</f>
        <v>0</v>
      </c>
      <c r="Q105" s="41">
        <f>IF(B105='11-Viabilidade'!$G$11,'11-Viabilidade'!$G$16,0)*(1+'11-Viabilidade'!$G$12)^((B105-1)/12)</f>
        <v>0</v>
      </c>
      <c r="R105" s="170">
        <f t="shared" si="2"/>
        <v>0</v>
      </c>
      <c r="S105" s="41">
        <f t="shared" si="5"/>
        <v>98</v>
      </c>
      <c r="T105" s="155">
        <f>IF($S105&lt;'11-Viabilidade'!$C$24,0,$S105-'11-Viabilidade'!$C$24)</f>
        <v>92</v>
      </c>
      <c r="U105" s="11">
        <f>IF(T105&gt;0,'11-Viabilidade'!$K$10,0)*((1+'11-Viabilidade'!$O$10)^(($T105-1)/12))</f>
        <v>4343.1694385026003</v>
      </c>
      <c r="V105" s="11">
        <f>U105*'11-Viabilidade'!$L$12</f>
        <v>241.28719102792223</v>
      </c>
      <c r="W105" s="11">
        <f>U105*'11-Viabilidade'!$K$14</f>
        <v>0</v>
      </c>
      <c r="X105" s="11">
        <f>U105*'11-Viabilidade'!$K$15</f>
        <v>217.15847192513002</v>
      </c>
      <c r="Y105" s="11">
        <f>IF(AND(U105=0,S105=0),0,IF(AND(U105=0,S105&lt;&gt;0),'11-Viabilidade'!$K$16+'11-Viabilidade'!$K$17,('11-Viabilidade'!$L$11)*((1+'11-Viabilidade'!$O$10)^(($C105-1)/12))))</f>
        <v>567.82918955237699</v>
      </c>
      <c r="Z105" s="157">
        <f>IFERROR(VLOOKUP(S105,'12-SAC Viabilidade'!$B$11:$G$430,6,FALSE),0)</f>
        <v>2043.2270620205236</v>
      </c>
      <c r="AA105" s="157">
        <f>IFERROR(VLOOKUP(S105,'12-SAC Viabilidade'!$B$11:$H$430,7,FALSE),0)</f>
        <v>184000.00000000006</v>
      </c>
      <c r="AB105" s="132">
        <f>(U105-W105)*'11-Viabilidade'!$O$16</f>
        <v>651.47541577539005</v>
      </c>
      <c r="AC105" s="11">
        <f t="shared" si="3"/>
        <v>622.19210820125727</v>
      </c>
      <c r="AD105" s="156">
        <f t="shared" si="4"/>
        <v>2665.4191702217813</v>
      </c>
      <c r="AE105" s="42"/>
      <c r="AF105" s="42"/>
      <c r="AG105" s="42"/>
      <c r="AH105" s="42"/>
    </row>
    <row r="106" spans="1:34" ht="15.75" customHeight="1">
      <c r="A106" s="37"/>
      <c r="B106" s="38">
        <f>IF(AND(B105&gt;0,B105&lt;'11-Viabilidade'!$P$14),B105+1,0)</f>
        <v>99</v>
      </c>
      <c r="C106" s="155">
        <f>IF($B106&lt;'11-Viabilidade'!$C$24,0,$B106-'11-Viabilidade'!$C$24)</f>
        <v>93</v>
      </c>
      <c r="D106" s="11">
        <f>IF(C106&gt;0,'11-Viabilidade'!$K$10,0)*((1+'11-Viabilidade'!$O$10)^(($C106-1)/12))</f>
        <v>4360.8640484084181</v>
      </c>
      <c r="E106" s="11">
        <f>D106*'11-Viabilidade'!$L$12</f>
        <v>242.27022491157877</v>
      </c>
      <c r="F106" s="11">
        <f>D106*'11-Viabilidade'!$K$14</f>
        <v>0</v>
      </c>
      <c r="G106" s="11">
        <f>D106*'11-Viabilidade'!$K$15</f>
        <v>218.04320242042093</v>
      </c>
      <c r="H106" s="11">
        <f>IF(D106=0,'11-Viabilidade'!$K$16+'11-Viabilidade'!$K$17,('11-Viabilidade'!$L$11)*((1+'11-Viabilidade'!$O$10)^(($C106-1)/12)))</f>
        <v>570.14259595858198</v>
      </c>
      <c r="I106" s="11">
        <f>'12-SAC Viabilidade'!G109</f>
        <v>2038.6704103468646</v>
      </c>
      <c r="J106" s="11">
        <f>'12-SAC Viabilidade'!H109</f>
        <v>183428.57142857151</v>
      </c>
      <c r="K106" s="132">
        <f>(D106-F106)*'11-Viabilidade'!$O$16</f>
        <v>654.12960726126266</v>
      </c>
      <c r="L106" s="11">
        <f t="shared" si="0"/>
        <v>637.6080075097093</v>
      </c>
      <c r="M106" s="156">
        <f t="shared" si="1"/>
        <v>2676.2784178565735</v>
      </c>
      <c r="N106" s="13"/>
      <c r="O106" s="43"/>
      <c r="P106" s="41">
        <f>IF(B106&lt;='11-Viabilidade'!$G$11,(P105+(P105*'11-Viabilidade'!$H$12)),0)</f>
        <v>0</v>
      </c>
      <c r="Q106" s="41">
        <f>IF(B106='11-Viabilidade'!$G$11,'11-Viabilidade'!$G$16,0)*(1+'11-Viabilidade'!$G$12)^((B106-1)/12)</f>
        <v>0</v>
      </c>
      <c r="R106" s="170">
        <f t="shared" si="2"/>
        <v>0</v>
      </c>
      <c r="S106" s="41">
        <f t="shared" si="5"/>
        <v>99</v>
      </c>
      <c r="T106" s="155">
        <f>IF($S106&lt;'11-Viabilidade'!$C$24,0,$S106-'11-Viabilidade'!$C$24)</f>
        <v>93</v>
      </c>
      <c r="U106" s="11">
        <f>IF(T106&gt;0,'11-Viabilidade'!$K$10,0)*((1+'11-Viabilidade'!$O$10)^(($T106-1)/12))</f>
        <v>4360.8640484084181</v>
      </c>
      <c r="V106" s="11">
        <f>U106*'11-Viabilidade'!$L$12</f>
        <v>242.27022491157877</v>
      </c>
      <c r="W106" s="11">
        <f>U106*'11-Viabilidade'!$K$14</f>
        <v>0</v>
      </c>
      <c r="X106" s="11">
        <f>U106*'11-Viabilidade'!$K$15</f>
        <v>218.04320242042093</v>
      </c>
      <c r="Y106" s="11">
        <f>IF(AND(U106=0,S106=0),0,IF(AND(U106=0,S106&lt;&gt;0),'11-Viabilidade'!$K$16+'11-Viabilidade'!$K$17,('11-Viabilidade'!$L$11)*((1+'11-Viabilidade'!$O$10)^(($C106-1)/12))))</f>
        <v>570.14259595858198</v>
      </c>
      <c r="Z106" s="157">
        <f>IFERROR(VLOOKUP(S106,'12-SAC Viabilidade'!$B$11:$G$430,6,FALSE),0)</f>
        <v>2038.6704103468646</v>
      </c>
      <c r="AA106" s="157">
        <f>IFERROR(VLOOKUP(S106,'12-SAC Viabilidade'!$B$11:$H$430,7,FALSE),0)</f>
        <v>183428.57142857151</v>
      </c>
      <c r="AB106" s="132">
        <f>(U106-W106)*'11-Viabilidade'!$O$16</f>
        <v>654.12960726126266</v>
      </c>
      <c r="AC106" s="11">
        <f t="shared" si="3"/>
        <v>637.6080075097093</v>
      </c>
      <c r="AD106" s="156">
        <f t="shared" si="4"/>
        <v>2676.2784178565735</v>
      </c>
      <c r="AE106" s="42"/>
      <c r="AF106" s="42"/>
      <c r="AG106" s="42"/>
      <c r="AH106" s="42"/>
    </row>
    <row r="107" spans="1:34" ht="15.75" customHeight="1">
      <c r="A107" s="37"/>
      <c r="B107" s="38">
        <f>IF(AND(B106&gt;0,B106&lt;'11-Viabilidade'!$P$14),B106+1,0)</f>
        <v>100</v>
      </c>
      <c r="C107" s="155">
        <f>IF($B107&lt;'11-Viabilidade'!$C$24,0,$B107-'11-Viabilidade'!$C$24)</f>
        <v>94</v>
      </c>
      <c r="D107" s="11">
        <f>IF(C107&gt;0,'11-Viabilidade'!$K$10,0)*((1+'11-Viabilidade'!$O$10)^(($C107-1)/12))</f>
        <v>4378.6307483452956</v>
      </c>
      <c r="E107" s="11">
        <f>D107*'11-Viabilidade'!$L$12</f>
        <v>243.25726379696084</v>
      </c>
      <c r="F107" s="11">
        <f>D107*'11-Viabilidade'!$K$14</f>
        <v>0</v>
      </c>
      <c r="G107" s="11">
        <f>D107*'11-Viabilidade'!$K$15</f>
        <v>218.93153741726479</v>
      </c>
      <c r="H107" s="11">
        <f>IF(D107=0,'11-Viabilidade'!$K$16+'11-Viabilidade'!$K$17,('11-Viabilidade'!$L$11)*((1+'11-Viabilidade'!$O$10)^(($C107-1)/12)))</f>
        <v>572.46542746884791</v>
      </c>
      <c r="I107" s="11">
        <f>'12-SAC Viabilidade'!G110</f>
        <v>2034.1137586732052</v>
      </c>
      <c r="J107" s="11">
        <f>'12-SAC Viabilidade'!H110</f>
        <v>182857.14285714296</v>
      </c>
      <c r="K107" s="132">
        <f>(D107-F107)*'11-Viabilidade'!$O$16</f>
        <v>656.79461225179432</v>
      </c>
      <c r="L107" s="11">
        <f t="shared" si="0"/>
        <v>653.0681487372226</v>
      </c>
      <c r="M107" s="156">
        <f t="shared" si="1"/>
        <v>2687.1819074104278</v>
      </c>
      <c r="N107" s="13"/>
      <c r="O107" s="43"/>
      <c r="P107" s="41">
        <f>IF(B107&lt;='11-Viabilidade'!$G$11,(P106+(P106*'11-Viabilidade'!$H$12)),0)</f>
        <v>0</v>
      </c>
      <c r="Q107" s="41">
        <f>IF(B107='11-Viabilidade'!$G$11,'11-Viabilidade'!$G$16,0)*(1+'11-Viabilidade'!$G$12)^((B107-1)/12)</f>
        <v>0</v>
      </c>
      <c r="R107" s="170">
        <f t="shared" si="2"/>
        <v>0</v>
      </c>
      <c r="S107" s="41">
        <f t="shared" si="5"/>
        <v>100</v>
      </c>
      <c r="T107" s="155">
        <f>IF($S107&lt;'11-Viabilidade'!$C$24,0,$S107-'11-Viabilidade'!$C$24)</f>
        <v>94</v>
      </c>
      <c r="U107" s="11">
        <f>IF(T107&gt;0,'11-Viabilidade'!$K$10,0)*((1+'11-Viabilidade'!$O$10)^(($T107-1)/12))</f>
        <v>4378.6307483452956</v>
      </c>
      <c r="V107" s="11">
        <f>U107*'11-Viabilidade'!$L$12</f>
        <v>243.25726379696084</v>
      </c>
      <c r="W107" s="11">
        <f>U107*'11-Viabilidade'!$K$14</f>
        <v>0</v>
      </c>
      <c r="X107" s="11">
        <f>U107*'11-Viabilidade'!$K$15</f>
        <v>218.93153741726479</v>
      </c>
      <c r="Y107" s="11">
        <f>IF(AND(U107=0,S107=0),0,IF(AND(U107=0,S107&lt;&gt;0),'11-Viabilidade'!$K$16+'11-Viabilidade'!$K$17,('11-Viabilidade'!$L$11)*((1+'11-Viabilidade'!$O$10)^(($C107-1)/12))))</f>
        <v>572.46542746884791</v>
      </c>
      <c r="Z107" s="157">
        <f>IFERROR(VLOOKUP(S107,'12-SAC Viabilidade'!$B$11:$G$430,6,FALSE),0)</f>
        <v>2034.1137586732052</v>
      </c>
      <c r="AA107" s="157">
        <f>IFERROR(VLOOKUP(S107,'12-SAC Viabilidade'!$B$11:$H$430,7,FALSE),0)</f>
        <v>182857.14285714296</v>
      </c>
      <c r="AB107" s="132">
        <f>(U107-W107)*'11-Viabilidade'!$O$16</f>
        <v>656.79461225179432</v>
      </c>
      <c r="AC107" s="11">
        <f t="shared" si="3"/>
        <v>653.0681487372226</v>
      </c>
      <c r="AD107" s="156">
        <f t="shared" si="4"/>
        <v>2687.1819074104278</v>
      </c>
      <c r="AE107" s="42"/>
      <c r="AF107" s="42"/>
      <c r="AG107" s="42"/>
      <c r="AH107" s="42"/>
    </row>
    <row r="108" spans="1:34" ht="15.75" customHeight="1">
      <c r="A108" s="37"/>
      <c r="B108" s="38">
        <f>IF(AND(B107&gt;0,B107&lt;'11-Viabilidade'!$P$14),B107+1,0)</f>
        <v>101</v>
      </c>
      <c r="C108" s="155">
        <f>IF($B108&lt;'11-Viabilidade'!$C$24,0,$B108-'11-Viabilidade'!$C$24)</f>
        <v>95</v>
      </c>
      <c r="D108" s="11">
        <f>IF(C108&gt;0,'11-Viabilidade'!$K$10,0)*((1+'11-Viabilidade'!$O$10)^(($C108-1)/12))</f>
        <v>4396.4698320169427</v>
      </c>
      <c r="E108" s="11">
        <f>D108*'11-Viabilidade'!$L$12</f>
        <v>244.24832400094124</v>
      </c>
      <c r="F108" s="11">
        <f>D108*'11-Viabilidade'!$K$14</f>
        <v>0</v>
      </c>
      <c r="G108" s="11">
        <f>D108*'11-Viabilidade'!$K$15</f>
        <v>219.82349160084715</v>
      </c>
      <c r="H108" s="11">
        <f>IF(D108=0,'11-Viabilidade'!$K$16+'11-Viabilidade'!$K$17,('11-Viabilidade'!$L$11)*((1+'11-Viabilidade'!$O$10)^(($C108-1)/12)))</f>
        <v>574.79772248221502</v>
      </c>
      <c r="I108" s="11">
        <f>'12-SAC Viabilidade'!G111</f>
        <v>2029.5571069995462</v>
      </c>
      <c r="J108" s="11">
        <f>'12-SAC Viabilidade'!H111</f>
        <v>182285.71428571441</v>
      </c>
      <c r="K108" s="132">
        <f>(D108-F108)*'11-Viabilidade'!$O$16</f>
        <v>659.47047480254139</v>
      </c>
      <c r="L108" s="11">
        <f t="shared" si="0"/>
        <v>668.57271213085187</v>
      </c>
      <c r="M108" s="156">
        <f t="shared" si="1"/>
        <v>2698.1298191303981</v>
      </c>
      <c r="N108" s="13"/>
      <c r="O108" s="43"/>
      <c r="P108" s="41">
        <f>IF(B108&lt;='11-Viabilidade'!$G$11,(P107+(P107*'11-Viabilidade'!$H$12)),0)</f>
        <v>0</v>
      </c>
      <c r="Q108" s="41">
        <f>IF(B108='11-Viabilidade'!$G$11,'11-Viabilidade'!$G$16,0)*(1+'11-Viabilidade'!$G$12)^((B108-1)/12)</f>
        <v>0</v>
      </c>
      <c r="R108" s="170">
        <f t="shared" si="2"/>
        <v>0</v>
      </c>
      <c r="S108" s="41">
        <f t="shared" si="5"/>
        <v>101</v>
      </c>
      <c r="T108" s="155">
        <f>IF($S108&lt;'11-Viabilidade'!$C$24,0,$S108-'11-Viabilidade'!$C$24)</f>
        <v>95</v>
      </c>
      <c r="U108" s="11">
        <f>IF(T108&gt;0,'11-Viabilidade'!$K$10,0)*((1+'11-Viabilidade'!$O$10)^(($T108-1)/12))</f>
        <v>4396.4698320169427</v>
      </c>
      <c r="V108" s="11">
        <f>U108*'11-Viabilidade'!$L$12</f>
        <v>244.24832400094124</v>
      </c>
      <c r="W108" s="11">
        <f>U108*'11-Viabilidade'!$K$14</f>
        <v>0</v>
      </c>
      <c r="X108" s="11">
        <f>U108*'11-Viabilidade'!$K$15</f>
        <v>219.82349160084715</v>
      </c>
      <c r="Y108" s="11">
        <f>IF(AND(U108=0,S108=0),0,IF(AND(U108=0,S108&lt;&gt;0),'11-Viabilidade'!$K$16+'11-Viabilidade'!$K$17,('11-Viabilidade'!$L$11)*((1+'11-Viabilidade'!$O$10)^(($C108-1)/12))))</f>
        <v>574.79772248221502</v>
      </c>
      <c r="Z108" s="157">
        <f>IFERROR(VLOOKUP(S108,'12-SAC Viabilidade'!$B$11:$G$430,6,FALSE),0)</f>
        <v>2029.5571069995462</v>
      </c>
      <c r="AA108" s="157">
        <f>IFERROR(VLOOKUP(S108,'12-SAC Viabilidade'!$B$11:$H$430,7,FALSE),0)</f>
        <v>182285.71428571441</v>
      </c>
      <c r="AB108" s="132">
        <f>(U108-W108)*'11-Viabilidade'!$O$16</f>
        <v>659.47047480254139</v>
      </c>
      <c r="AC108" s="11">
        <f t="shared" si="3"/>
        <v>668.57271213085187</v>
      </c>
      <c r="AD108" s="156">
        <f t="shared" si="4"/>
        <v>2698.1298191303981</v>
      </c>
      <c r="AE108" s="42"/>
      <c r="AF108" s="42"/>
      <c r="AG108" s="42"/>
      <c r="AH108" s="42"/>
    </row>
    <row r="109" spans="1:34" ht="15.75" customHeight="1">
      <c r="A109" s="37"/>
      <c r="B109" s="38">
        <f>IF(AND(B108&gt;0,B108&lt;'11-Viabilidade'!$P$14),B108+1,0)</f>
        <v>102</v>
      </c>
      <c r="C109" s="155">
        <f>IF($B109&lt;'11-Viabilidade'!$C$24,0,$B109-'11-Viabilidade'!$C$24)</f>
        <v>96</v>
      </c>
      <c r="D109" s="11">
        <f>IF(C109&gt;0,'11-Viabilidade'!$K$10,0)*((1+'11-Viabilidade'!$O$10)^(($C109-1)/12))</f>
        <v>4414.3815943236559</v>
      </c>
      <c r="E109" s="11">
        <f>D109*'11-Viabilidade'!$L$12</f>
        <v>245.24342190686977</v>
      </c>
      <c r="F109" s="11">
        <f>D109*'11-Viabilidade'!$K$14</f>
        <v>0</v>
      </c>
      <c r="G109" s="11">
        <f>D109*'11-Viabilidade'!$K$15</f>
        <v>220.71907971618282</v>
      </c>
      <c r="H109" s="11">
        <f>IF(D109=0,'11-Viabilidade'!$K$16+'11-Viabilidade'!$K$17,('11-Viabilidade'!$L$11)*((1+'11-Viabilidade'!$O$10)^(($C109-1)/12)))</f>
        <v>577.13951955416678</v>
      </c>
      <c r="I109" s="11">
        <f>'12-SAC Viabilidade'!G112</f>
        <v>2025.0004553258873</v>
      </c>
      <c r="J109" s="11">
        <f>'12-SAC Viabilidade'!H112</f>
        <v>181714.28571428586</v>
      </c>
      <c r="K109" s="132">
        <f>(D109-F109)*'11-Viabilidade'!$O$16</f>
        <v>662.15723914854834</v>
      </c>
      <c r="L109" s="11">
        <f t="shared" si="0"/>
        <v>684.121878672001</v>
      </c>
      <c r="M109" s="156">
        <f t="shared" si="1"/>
        <v>2709.1223339978883</v>
      </c>
      <c r="N109" s="13"/>
      <c r="O109" s="43"/>
      <c r="P109" s="41">
        <f>IF(B109&lt;='11-Viabilidade'!$G$11,(P108+(P108*'11-Viabilidade'!$H$12)),0)</f>
        <v>0</v>
      </c>
      <c r="Q109" s="41">
        <f>IF(B109='11-Viabilidade'!$G$11,'11-Viabilidade'!$G$16,0)*(1+'11-Viabilidade'!$G$12)^((B109-1)/12)</f>
        <v>0</v>
      </c>
      <c r="R109" s="170">
        <f t="shared" si="2"/>
        <v>0</v>
      </c>
      <c r="S109" s="41">
        <f t="shared" si="5"/>
        <v>102</v>
      </c>
      <c r="T109" s="155">
        <f>IF($S109&lt;'11-Viabilidade'!$C$24,0,$S109-'11-Viabilidade'!$C$24)</f>
        <v>96</v>
      </c>
      <c r="U109" s="11">
        <f>IF(T109&gt;0,'11-Viabilidade'!$K$10,0)*((1+'11-Viabilidade'!$O$10)^(($T109-1)/12))</f>
        <v>4414.3815943236559</v>
      </c>
      <c r="V109" s="11">
        <f>U109*'11-Viabilidade'!$L$12</f>
        <v>245.24342190686977</v>
      </c>
      <c r="W109" s="11">
        <f>U109*'11-Viabilidade'!$K$14</f>
        <v>0</v>
      </c>
      <c r="X109" s="11">
        <f>U109*'11-Viabilidade'!$K$15</f>
        <v>220.71907971618282</v>
      </c>
      <c r="Y109" s="11">
        <f>IF(AND(U109=0,S109=0),0,IF(AND(U109=0,S109&lt;&gt;0),'11-Viabilidade'!$K$16+'11-Viabilidade'!$K$17,('11-Viabilidade'!$L$11)*((1+'11-Viabilidade'!$O$10)^(($C109-1)/12))))</f>
        <v>577.13951955416678</v>
      </c>
      <c r="Z109" s="157">
        <f>IFERROR(VLOOKUP(S109,'12-SAC Viabilidade'!$B$11:$G$430,6,FALSE),0)</f>
        <v>2025.0004553258873</v>
      </c>
      <c r="AA109" s="157">
        <f>IFERROR(VLOOKUP(S109,'12-SAC Viabilidade'!$B$11:$H$430,7,FALSE),0)</f>
        <v>181714.28571428586</v>
      </c>
      <c r="AB109" s="132">
        <f>(U109-W109)*'11-Viabilidade'!$O$16</f>
        <v>662.15723914854834</v>
      </c>
      <c r="AC109" s="11">
        <f t="shared" si="3"/>
        <v>684.121878672001</v>
      </c>
      <c r="AD109" s="156">
        <f t="shared" si="4"/>
        <v>2709.1223339978883</v>
      </c>
      <c r="AE109" s="42"/>
      <c r="AF109" s="42"/>
      <c r="AG109" s="42"/>
      <c r="AH109" s="42"/>
    </row>
    <row r="110" spans="1:34" ht="15.75" customHeight="1">
      <c r="A110" s="37"/>
      <c r="B110" s="38">
        <f>IF(AND(B109&gt;0,B109&lt;'11-Viabilidade'!$P$14),B109+1,0)</f>
        <v>103</v>
      </c>
      <c r="C110" s="155">
        <f>IF($B110&lt;'11-Viabilidade'!$C$24,0,$B110-'11-Viabilidade'!$C$24)</f>
        <v>97</v>
      </c>
      <c r="D110" s="11">
        <f>IF(C110&gt;0,'11-Viabilidade'!$K$10,0)*((1+'11-Viabilidade'!$O$10)^(($C110-1)/12))</f>
        <v>4432.3663313671877</v>
      </c>
      <c r="E110" s="11">
        <f>D110*'11-Viabilidade'!$L$12</f>
        <v>246.24257396484376</v>
      </c>
      <c r="F110" s="11">
        <f>D110*'11-Viabilidade'!$K$14</f>
        <v>0</v>
      </c>
      <c r="G110" s="11">
        <f>D110*'11-Viabilidade'!$K$15</f>
        <v>221.6183165683594</v>
      </c>
      <c r="H110" s="11">
        <f>IF(D110=0,'11-Viabilidade'!$K$16+'11-Viabilidade'!$K$17,('11-Viabilidade'!$L$11)*((1+'11-Viabilidade'!$O$10)^(($C110-1)/12)))</f>
        <v>579.49085739726559</v>
      </c>
      <c r="I110" s="11">
        <f>'12-SAC Viabilidade'!G113</f>
        <v>2020.4438036522279</v>
      </c>
      <c r="J110" s="11">
        <f>'12-SAC Viabilidade'!H113</f>
        <v>181142.85714285731</v>
      </c>
      <c r="K110" s="132">
        <f>(D110-F110)*'11-Viabilidade'!$O$16</f>
        <v>664.85494970507818</v>
      </c>
      <c r="L110" s="11">
        <f t="shared" si="0"/>
        <v>699.71583007941308</v>
      </c>
      <c r="M110" s="156">
        <f t="shared" si="1"/>
        <v>2720.159633731641</v>
      </c>
      <c r="N110" s="13"/>
      <c r="O110" s="43"/>
      <c r="P110" s="41">
        <f>IF(B110&lt;='11-Viabilidade'!$G$11,(P109+(P109*'11-Viabilidade'!$H$12)),0)</f>
        <v>0</v>
      </c>
      <c r="Q110" s="41">
        <f>IF(B110='11-Viabilidade'!$G$11,'11-Viabilidade'!$G$16,0)*(1+'11-Viabilidade'!$G$12)^((B110-1)/12)</f>
        <v>0</v>
      </c>
      <c r="R110" s="170">
        <f t="shared" si="2"/>
        <v>0</v>
      </c>
      <c r="S110" s="41">
        <f t="shared" si="5"/>
        <v>103</v>
      </c>
      <c r="T110" s="155">
        <f>IF($S110&lt;'11-Viabilidade'!$C$24,0,$S110-'11-Viabilidade'!$C$24)</f>
        <v>97</v>
      </c>
      <c r="U110" s="11">
        <f>IF(T110&gt;0,'11-Viabilidade'!$K$10,0)*((1+'11-Viabilidade'!$O$10)^(($T110-1)/12))</f>
        <v>4432.3663313671877</v>
      </c>
      <c r="V110" s="11">
        <f>U110*'11-Viabilidade'!$L$12</f>
        <v>246.24257396484376</v>
      </c>
      <c r="W110" s="11">
        <f>U110*'11-Viabilidade'!$K$14</f>
        <v>0</v>
      </c>
      <c r="X110" s="11">
        <f>U110*'11-Viabilidade'!$K$15</f>
        <v>221.6183165683594</v>
      </c>
      <c r="Y110" s="11">
        <f>IF(AND(U110=0,S110=0),0,IF(AND(U110=0,S110&lt;&gt;0),'11-Viabilidade'!$K$16+'11-Viabilidade'!$K$17,('11-Viabilidade'!$L$11)*((1+'11-Viabilidade'!$O$10)^(($C110-1)/12))))</f>
        <v>579.49085739726559</v>
      </c>
      <c r="Z110" s="157">
        <f>IFERROR(VLOOKUP(S110,'12-SAC Viabilidade'!$B$11:$G$430,6,FALSE),0)</f>
        <v>2020.4438036522279</v>
      </c>
      <c r="AA110" s="157">
        <f>IFERROR(VLOOKUP(S110,'12-SAC Viabilidade'!$B$11:$H$430,7,FALSE),0)</f>
        <v>181142.85714285731</v>
      </c>
      <c r="AB110" s="132">
        <f>(U110-W110)*'11-Viabilidade'!$O$16</f>
        <v>664.85494970507818</v>
      </c>
      <c r="AC110" s="11">
        <f t="shared" si="3"/>
        <v>699.71583007941308</v>
      </c>
      <c r="AD110" s="156">
        <f t="shared" si="4"/>
        <v>2720.159633731641</v>
      </c>
      <c r="AE110" s="42"/>
      <c r="AF110" s="42"/>
      <c r="AG110" s="42"/>
      <c r="AH110" s="42"/>
    </row>
    <row r="111" spans="1:34" ht="15.75" customHeight="1">
      <c r="A111" s="37"/>
      <c r="B111" s="38">
        <f>IF(AND(B110&gt;0,B110&lt;'11-Viabilidade'!$P$14),B110+1,0)</f>
        <v>104</v>
      </c>
      <c r="C111" s="155">
        <f>IF($B111&lt;'11-Viabilidade'!$C$24,0,$B111-'11-Viabilidade'!$C$24)</f>
        <v>98</v>
      </c>
      <c r="D111" s="11">
        <f>IF(C111&gt;0,'11-Viabilidade'!$K$10,0)*((1+'11-Viabilidade'!$O$10)^(($C111-1)/12))</f>
        <v>4450.4243404556546</v>
      </c>
      <c r="E111" s="11">
        <f>D111*'11-Viabilidade'!$L$12</f>
        <v>247.24579669198079</v>
      </c>
      <c r="F111" s="11">
        <f>D111*'11-Viabilidade'!$K$14</f>
        <v>0</v>
      </c>
      <c r="G111" s="11">
        <f>D111*'11-Viabilidade'!$K$15</f>
        <v>222.52121702278274</v>
      </c>
      <c r="H111" s="11">
        <f>IF(D111=0,'11-Viabilidade'!$K$16+'11-Viabilidade'!$K$17,('11-Viabilidade'!$L$11)*((1+'11-Viabilidade'!$O$10)^(($C111-1)/12)))</f>
        <v>581.85177488179477</v>
      </c>
      <c r="I111" s="11">
        <f>'12-SAC Viabilidade'!G114</f>
        <v>2015.8871519785689</v>
      </c>
      <c r="J111" s="11">
        <f>'12-SAC Viabilidade'!H114</f>
        <v>180571.42857142875</v>
      </c>
      <c r="K111" s="132">
        <f>(D111-F111)*'11-Viabilidade'!$O$16</f>
        <v>667.56365106834812</v>
      </c>
      <c r="L111" s="11">
        <f t="shared" si="0"/>
        <v>715.35474881217942</v>
      </c>
      <c r="M111" s="156">
        <f t="shared" si="1"/>
        <v>2731.2419007907483</v>
      </c>
      <c r="N111" s="13"/>
      <c r="O111" s="43"/>
      <c r="P111" s="41">
        <f>IF(B111&lt;='11-Viabilidade'!$G$11,(P110+(P110*'11-Viabilidade'!$H$12)),0)</f>
        <v>0</v>
      </c>
      <c r="Q111" s="41">
        <f>IF(B111='11-Viabilidade'!$G$11,'11-Viabilidade'!$G$16,0)*(1+'11-Viabilidade'!$G$12)^((B111-1)/12)</f>
        <v>0</v>
      </c>
      <c r="R111" s="170">
        <f t="shared" si="2"/>
        <v>0</v>
      </c>
      <c r="S111" s="41">
        <f t="shared" si="5"/>
        <v>104</v>
      </c>
      <c r="T111" s="155">
        <f>IF($S111&lt;'11-Viabilidade'!$C$24,0,$S111-'11-Viabilidade'!$C$24)</f>
        <v>98</v>
      </c>
      <c r="U111" s="11">
        <f>IF(T111&gt;0,'11-Viabilidade'!$K$10,0)*((1+'11-Viabilidade'!$O$10)^(($T111-1)/12))</f>
        <v>4450.4243404556546</v>
      </c>
      <c r="V111" s="11">
        <f>U111*'11-Viabilidade'!$L$12</f>
        <v>247.24579669198079</v>
      </c>
      <c r="W111" s="11">
        <f>U111*'11-Viabilidade'!$K$14</f>
        <v>0</v>
      </c>
      <c r="X111" s="11">
        <f>U111*'11-Viabilidade'!$K$15</f>
        <v>222.52121702278274</v>
      </c>
      <c r="Y111" s="11">
        <f>IF(AND(U111=0,S111=0),0,IF(AND(U111=0,S111&lt;&gt;0),'11-Viabilidade'!$K$16+'11-Viabilidade'!$K$17,('11-Viabilidade'!$L$11)*((1+'11-Viabilidade'!$O$10)^(($C111-1)/12))))</f>
        <v>581.85177488179477</v>
      </c>
      <c r="Z111" s="157">
        <f>IFERROR(VLOOKUP(S111,'12-SAC Viabilidade'!$B$11:$G$430,6,FALSE),0)</f>
        <v>2015.8871519785689</v>
      </c>
      <c r="AA111" s="157">
        <f>IFERROR(VLOOKUP(S111,'12-SAC Viabilidade'!$B$11:$H$430,7,FALSE),0)</f>
        <v>180571.42857142875</v>
      </c>
      <c r="AB111" s="132">
        <f>(U111-W111)*'11-Viabilidade'!$O$16</f>
        <v>667.56365106834812</v>
      </c>
      <c r="AC111" s="11">
        <f t="shared" si="3"/>
        <v>715.35474881217942</v>
      </c>
      <c r="AD111" s="156">
        <f t="shared" si="4"/>
        <v>2731.2419007907483</v>
      </c>
      <c r="AE111" s="42"/>
      <c r="AF111" s="42"/>
      <c r="AG111" s="42"/>
      <c r="AH111" s="42"/>
    </row>
    <row r="112" spans="1:34" ht="15.75" customHeight="1">
      <c r="A112" s="37"/>
      <c r="B112" s="38">
        <f>IF(AND(B111&gt;0,B111&lt;'11-Viabilidade'!$P$14),B111+1,0)</f>
        <v>105</v>
      </c>
      <c r="C112" s="155">
        <f>IF($B112&lt;'11-Viabilidade'!$C$24,0,$B112-'11-Viabilidade'!$C$24)</f>
        <v>99</v>
      </c>
      <c r="D112" s="11">
        <f>IF(C112&gt;0,'11-Viabilidade'!$K$10,0)*((1+'11-Viabilidade'!$O$10)^(($C112-1)/12))</f>
        <v>4468.5559201084316</v>
      </c>
      <c r="E112" s="11">
        <f>D112*'11-Viabilidade'!$L$12</f>
        <v>248.25310667269062</v>
      </c>
      <c r="F112" s="11">
        <f>D112*'11-Viabilidade'!$K$14</f>
        <v>0</v>
      </c>
      <c r="G112" s="11">
        <f>D112*'11-Viabilidade'!$K$15</f>
        <v>223.42779600542158</v>
      </c>
      <c r="H112" s="11">
        <f>IF(D112=0,'11-Viabilidade'!$K$16+'11-Viabilidade'!$K$17,('11-Viabilidade'!$L$11)*((1+'11-Viabilidade'!$O$10)^(($C112-1)/12)))</f>
        <v>584.22231103639865</v>
      </c>
      <c r="I112" s="11">
        <f>'12-SAC Viabilidade'!G115</f>
        <v>2011.3305003049099</v>
      </c>
      <c r="J112" s="11">
        <f>'12-SAC Viabilidade'!H115</f>
        <v>180000.0000000002</v>
      </c>
      <c r="K112" s="132">
        <f>(D112-F112)*'11-Viabilidade'!$O$16</f>
        <v>670.28338801626467</v>
      </c>
      <c r="L112" s="11">
        <f t="shared" si="0"/>
        <v>731.03881807274593</v>
      </c>
      <c r="M112" s="156">
        <f t="shared" si="1"/>
        <v>2742.3693183776559</v>
      </c>
      <c r="N112" s="13"/>
      <c r="O112" s="43"/>
      <c r="P112" s="41">
        <f>IF(B112&lt;='11-Viabilidade'!$G$11,(P111+(P111*'11-Viabilidade'!$H$12)),0)</f>
        <v>0</v>
      </c>
      <c r="Q112" s="41">
        <f>IF(B112='11-Viabilidade'!$G$11,'11-Viabilidade'!$G$16,0)*(1+'11-Viabilidade'!$G$12)^((B112-1)/12)</f>
        <v>0</v>
      </c>
      <c r="R112" s="170">
        <f t="shared" si="2"/>
        <v>0</v>
      </c>
      <c r="S112" s="41">
        <f t="shared" si="5"/>
        <v>105</v>
      </c>
      <c r="T112" s="155">
        <f>IF($S112&lt;'11-Viabilidade'!$C$24,0,$S112-'11-Viabilidade'!$C$24)</f>
        <v>99</v>
      </c>
      <c r="U112" s="11">
        <f>IF(T112&gt;0,'11-Viabilidade'!$K$10,0)*((1+'11-Viabilidade'!$O$10)^(($T112-1)/12))</f>
        <v>4468.5559201084316</v>
      </c>
      <c r="V112" s="11">
        <f>U112*'11-Viabilidade'!$L$12</f>
        <v>248.25310667269062</v>
      </c>
      <c r="W112" s="11">
        <f>U112*'11-Viabilidade'!$K$14</f>
        <v>0</v>
      </c>
      <c r="X112" s="11">
        <f>U112*'11-Viabilidade'!$K$15</f>
        <v>223.42779600542158</v>
      </c>
      <c r="Y112" s="11">
        <f>IF(AND(U112=0,S112=0),0,IF(AND(U112=0,S112&lt;&gt;0),'11-Viabilidade'!$K$16+'11-Viabilidade'!$K$17,('11-Viabilidade'!$L$11)*((1+'11-Viabilidade'!$O$10)^(($C112-1)/12))))</f>
        <v>584.22231103639865</v>
      </c>
      <c r="Z112" s="157">
        <f>IFERROR(VLOOKUP(S112,'12-SAC Viabilidade'!$B$11:$G$430,6,FALSE),0)</f>
        <v>2011.3305003049099</v>
      </c>
      <c r="AA112" s="157">
        <f>IFERROR(VLOOKUP(S112,'12-SAC Viabilidade'!$B$11:$H$430,7,FALSE),0)</f>
        <v>180000.0000000002</v>
      </c>
      <c r="AB112" s="132">
        <f>(U112-W112)*'11-Viabilidade'!$O$16</f>
        <v>670.28338801626467</v>
      </c>
      <c r="AC112" s="11">
        <f t="shared" si="3"/>
        <v>731.03881807274593</v>
      </c>
      <c r="AD112" s="156">
        <f t="shared" si="4"/>
        <v>2742.3693183776559</v>
      </c>
      <c r="AE112" s="42"/>
      <c r="AF112" s="42"/>
      <c r="AG112" s="42"/>
      <c r="AH112" s="42"/>
    </row>
    <row r="113" spans="1:34" ht="15.75" customHeight="1">
      <c r="A113" s="37"/>
      <c r="B113" s="38">
        <f>IF(AND(B112&gt;0,B112&lt;'11-Viabilidade'!$P$14),B112+1,0)</f>
        <v>106</v>
      </c>
      <c r="C113" s="155">
        <f>IF($B113&lt;'11-Viabilidade'!$C$24,0,$B113-'11-Viabilidade'!$C$24)</f>
        <v>100</v>
      </c>
      <c r="D113" s="11">
        <f>IF(C113&gt;0,'11-Viabilidade'!$K$10,0)*((1+'11-Viabilidade'!$O$10)^(($C113-1)/12))</f>
        <v>4486.7613700611082</v>
      </c>
      <c r="E113" s="11">
        <f>D113*'11-Viabilidade'!$L$12</f>
        <v>249.26452055895044</v>
      </c>
      <c r="F113" s="11">
        <f>D113*'11-Viabilidade'!$K$14</f>
        <v>0</v>
      </c>
      <c r="G113" s="11">
        <f>D113*'11-Viabilidade'!$K$15</f>
        <v>224.33806850305541</v>
      </c>
      <c r="H113" s="11">
        <f>IF(D113=0,'11-Viabilidade'!$K$16+'11-Viabilidade'!$K$17,('11-Viabilidade'!$L$11)*((1+'11-Viabilidade'!$O$10)^(($C113-1)/12)))</f>
        <v>586.60250504872999</v>
      </c>
      <c r="I113" s="11">
        <f>'12-SAC Viabilidade'!G116</f>
        <v>2006.7738486312505</v>
      </c>
      <c r="J113" s="11">
        <f>'12-SAC Viabilidade'!H116</f>
        <v>179428.57142857162</v>
      </c>
      <c r="K113" s="132">
        <f>(D113-F113)*'11-Viabilidade'!$O$16</f>
        <v>673.01420550916623</v>
      </c>
      <c r="L113" s="11">
        <f t="shared" si="0"/>
        <v>746.76822180995532</v>
      </c>
      <c r="M113" s="156">
        <f t="shared" si="1"/>
        <v>2753.5420704412063</v>
      </c>
      <c r="N113" s="13"/>
      <c r="O113" s="43"/>
      <c r="P113" s="41">
        <f>IF(B113&lt;='11-Viabilidade'!$G$11,(P112+(P112*'11-Viabilidade'!$H$12)),0)</f>
        <v>0</v>
      </c>
      <c r="Q113" s="41">
        <f>IF(B113='11-Viabilidade'!$G$11,'11-Viabilidade'!$G$16,0)*(1+'11-Viabilidade'!$G$12)^((B113-1)/12)</f>
        <v>0</v>
      </c>
      <c r="R113" s="170">
        <f t="shared" si="2"/>
        <v>0</v>
      </c>
      <c r="S113" s="41">
        <f t="shared" si="5"/>
        <v>106</v>
      </c>
      <c r="T113" s="155">
        <f>IF($S113&lt;'11-Viabilidade'!$C$24,0,$S113-'11-Viabilidade'!$C$24)</f>
        <v>100</v>
      </c>
      <c r="U113" s="11">
        <f>IF(T113&gt;0,'11-Viabilidade'!$K$10,0)*((1+'11-Viabilidade'!$O$10)^(($T113-1)/12))</f>
        <v>4486.7613700611082</v>
      </c>
      <c r="V113" s="11">
        <f>U113*'11-Viabilidade'!$L$12</f>
        <v>249.26452055895044</v>
      </c>
      <c r="W113" s="11">
        <f>U113*'11-Viabilidade'!$K$14</f>
        <v>0</v>
      </c>
      <c r="X113" s="11">
        <f>U113*'11-Viabilidade'!$K$15</f>
        <v>224.33806850305541</v>
      </c>
      <c r="Y113" s="11">
        <f>IF(AND(U113=0,S113=0),0,IF(AND(U113=0,S113&lt;&gt;0),'11-Viabilidade'!$K$16+'11-Viabilidade'!$K$17,('11-Viabilidade'!$L$11)*((1+'11-Viabilidade'!$O$10)^(($C113-1)/12))))</f>
        <v>586.60250504872999</v>
      </c>
      <c r="Z113" s="157">
        <f>IFERROR(VLOOKUP(S113,'12-SAC Viabilidade'!$B$11:$G$430,6,FALSE),0)</f>
        <v>2006.7738486312505</v>
      </c>
      <c r="AA113" s="157">
        <f>IFERROR(VLOOKUP(S113,'12-SAC Viabilidade'!$B$11:$H$430,7,FALSE),0)</f>
        <v>179428.57142857162</v>
      </c>
      <c r="AB113" s="132">
        <f>(U113-W113)*'11-Viabilidade'!$O$16</f>
        <v>673.01420550916623</v>
      </c>
      <c r="AC113" s="11">
        <f t="shared" si="3"/>
        <v>746.76822180995532</v>
      </c>
      <c r="AD113" s="156">
        <f t="shared" si="4"/>
        <v>2753.5420704412063</v>
      </c>
      <c r="AE113" s="42"/>
      <c r="AF113" s="42"/>
      <c r="AG113" s="42"/>
      <c r="AH113" s="42"/>
    </row>
    <row r="114" spans="1:34" ht="15.75" customHeight="1">
      <c r="A114" s="37"/>
      <c r="B114" s="38">
        <f>IF(AND(B113&gt;0,B113&lt;'11-Viabilidade'!$P$14),B113+1,0)</f>
        <v>107</v>
      </c>
      <c r="C114" s="155">
        <f>IF($B114&lt;'11-Viabilidade'!$C$24,0,$B114-'11-Viabilidade'!$C$24)</f>
        <v>101</v>
      </c>
      <c r="D114" s="11">
        <f>IF(C114&gt;0,'11-Viabilidade'!$K$10,0)*((1+'11-Viabilidade'!$O$10)^(($C114-1)/12))</f>
        <v>4505.040991270429</v>
      </c>
      <c r="E114" s="11">
        <f>D114*'11-Viabilidade'!$L$12</f>
        <v>250.28005507057938</v>
      </c>
      <c r="F114" s="11">
        <f>D114*'11-Viabilidade'!$K$14</f>
        <v>0</v>
      </c>
      <c r="G114" s="11">
        <f>D114*'11-Viabilidade'!$K$15</f>
        <v>225.25204956352147</v>
      </c>
      <c r="H114" s="11">
        <f>IF(D114=0,'11-Viabilidade'!$K$16+'11-Viabilidade'!$K$17,('11-Viabilidade'!$L$11)*((1+'11-Viabilidade'!$O$10)^(($C114-1)/12)))</f>
        <v>588.99239626609676</v>
      </c>
      <c r="I114" s="11">
        <f>'12-SAC Viabilidade'!G117</f>
        <v>2002.2171969575911</v>
      </c>
      <c r="J114" s="11">
        <f>'12-SAC Viabilidade'!H117</f>
        <v>178857.14285714304</v>
      </c>
      <c r="K114" s="132">
        <f>(D114-F114)*'11-Viabilidade'!$O$16</f>
        <v>675.75614869056437</v>
      </c>
      <c r="L114" s="11">
        <f t="shared" si="0"/>
        <v>762.54314472207625</v>
      </c>
      <c r="M114" s="156">
        <f t="shared" si="1"/>
        <v>2764.7603416796669</v>
      </c>
      <c r="N114" s="13"/>
      <c r="O114" s="43"/>
      <c r="P114" s="41">
        <f>IF(B114&lt;='11-Viabilidade'!$G$11,(P113+(P113*'11-Viabilidade'!$H$12)),0)</f>
        <v>0</v>
      </c>
      <c r="Q114" s="41">
        <f>IF(B114='11-Viabilidade'!$G$11,'11-Viabilidade'!$G$16,0)*(1+'11-Viabilidade'!$G$12)^((B114-1)/12)</f>
        <v>0</v>
      </c>
      <c r="R114" s="170">
        <f t="shared" si="2"/>
        <v>0</v>
      </c>
      <c r="S114" s="41">
        <f t="shared" si="5"/>
        <v>107</v>
      </c>
      <c r="T114" s="155">
        <f>IF($S114&lt;'11-Viabilidade'!$C$24,0,$S114-'11-Viabilidade'!$C$24)</f>
        <v>101</v>
      </c>
      <c r="U114" s="11">
        <f>IF(T114&gt;0,'11-Viabilidade'!$K$10,0)*((1+'11-Viabilidade'!$O$10)^(($T114-1)/12))</f>
        <v>4505.040991270429</v>
      </c>
      <c r="V114" s="11">
        <f>U114*'11-Viabilidade'!$L$12</f>
        <v>250.28005507057938</v>
      </c>
      <c r="W114" s="11">
        <f>U114*'11-Viabilidade'!$K$14</f>
        <v>0</v>
      </c>
      <c r="X114" s="11">
        <f>U114*'11-Viabilidade'!$K$15</f>
        <v>225.25204956352147</v>
      </c>
      <c r="Y114" s="11">
        <f>IF(AND(U114=0,S114=0),0,IF(AND(U114=0,S114&lt;&gt;0),'11-Viabilidade'!$K$16+'11-Viabilidade'!$K$17,('11-Viabilidade'!$L$11)*((1+'11-Viabilidade'!$O$10)^(($C114-1)/12))))</f>
        <v>588.99239626609676</v>
      </c>
      <c r="Z114" s="157">
        <f>IFERROR(VLOOKUP(S114,'12-SAC Viabilidade'!$B$11:$G$430,6,FALSE),0)</f>
        <v>2002.2171969575911</v>
      </c>
      <c r="AA114" s="157">
        <f>IFERROR(VLOOKUP(S114,'12-SAC Viabilidade'!$B$11:$H$430,7,FALSE),0)</f>
        <v>178857.14285714304</v>
      </c>
      <c r="AB114" s="132">
        <f>(U114-W114)*'11-Viabilidade'!$O$16</f>
        <v>675.75614869056437</v>
      </c>
      <c r="AC114" s="11">
        <f t="shared" si="3"/>
        <v>762.54314472207625</v>
      </c>
      <c r="AD114" s="156">
        <f t="shared" si="4"/>
        <v>2764.7603416796669</v>
      </c>
      <c r="AE114" s="42"/>
      <c r="AF114" s="42"/>
      <c r="AG114" s="42"/>
      <c r="AH114" s="42"/>
    </row>
    <row r="115" spans="1:34" ht="15.75" customHeight="1">
      <c r="A115" s="158" t="s">
        <v>272</v>
      </c>
      <c r="B115" s="159">
        <f>IF(AND(B114&gt;0,B114&lt;'11-Viabilidade'!$P$14),B114+1,0)</f>
        <v>108</v>
      </c>
      <c r="C115" s="160">
        <f>IF($B115&lt;'11-Viabilidade'!$C$24,0,$B115-'11-Viabilidade'!$C$24)</f>
        <v>102</v>
      </c>
      <c r="D115" s="161">
        <f>IF(C115&gt;0,'11-Viabilidade'!$K$10,0)*((1+'11-Viabilidade'!$O$10)^(($C115-1)/12))</f>
        <v>4523.3950859192737</v>
      </c>
      <c r="E115" s="161">
        <f>D115*'11-Viabilidade'!$L$12</f>
        <v>251.29972699551519</v>
      </c>
      <c r="F115" s="161">
        <f>D115*'11-Viabilidade'!$K$14</f>
        <v>0</v>
      </c>
      <c r="G115" s="161">
        <f>D115*'11-Viabilidade'!$K$15</f>
        <v>226.16975429596368</v>
      </c>
      <c r="H115" s="11">
        <f>IF(D115=0,'11-Viabilidade'!$K$16+'11-Viabilidade'!$K$17,('11-Viabilidade'!$L$11)*((1+'11-Viabilidade'!$O$10)^(($C115-1)/12)))</f>
        <v>591.3920241961124</v>
      </c>
      <c r="I115" s="161">
        <f>'12-SAC Viabilidade'!G118</f>
        <v>1997.6605452839317</v>
      </c>
      <c r="J115" s="161">
        <f>'12-SAC Viabilidade'!H118</f>
        <v>178285.71428571446</v>
      </c>
      <c r="K115" s="162">
        <f>(D115-F115)*'11-Viabilidade'!$O$16</f>
        <v>678.50926288789105</v>
      </c>
      <c r="L115" s="161">
        <f t="shared" si="0"/>
        <v>778.36377225985962</v>
      </c>
      <c r="M115" s="163">
        <f t="shared" si="1"/>
        <v>2776.0243175437913</v>
      </c>
      <c r="N115" s="164"/>
      <c r="O115" s="171"/>
      <c r="P115" s="165">
        <f>IF(B115&lt;='11-Viabilidade'!$G$11,(P114+(P114*'11-Viabilidade'!$H$12)),0)</f>
        <v>0</v>
      </c>
      <c r="Q115" s="165">
        <f>IF(B115='11-Viabilidade'!$G$11,'11-Viabilidade'!$G$16,0)*(1+'11-Viabilidade'!$G$12)^((B115-1)/12)</f>
        <v>0</v>
      </c>
      <c r="R115" s="172">
        <f t="shared" si="2"/>
        <v>0</v>
      </c>
      <c r="S115" s="165">
        <f t="shared" si="5"/>
        <v>108</v>
      </c>
      <c r="T115" s="160">
        <f>IF($S115&lt;'11-Viabilidade'!$C$24,0,$S115-'11-Viabilidade'!$C$24)</f>
        <v>102</v>
      </c>
      <c r="U115" s="161">
        <f>IF(T115&gt;0,'11-Viabilidade'!$K$10,0)*((1+'11-Viabilidade'!$O$10)^(($T115-1)/12))</f>
        <v>4523.3950859192737</v>
      </c>
      <c r="V115" s="161">
        <f>U115*'11-Viabilidade'!$L$12</f>
        <v>251.29972699551519</v>
      </c>
      <c r="W115" s="161">
        <f>U115*'11-Viabilidade'!$K$14</f>
        <v>0</v>
      </c>
      <c r="X115" s="161">
        <f>U115*'11-Viabilidade'!$K$15</f>
        <v>226.16975429596368</v>
      </c>
      <c r="Y115" s="11">
        <f>IF(AND(U115=0,S115=0),0,IF(AND(U115=0,S115&lt;&gt;0),'11-Viabilidade'!$K$16+'11-Viabilidade'!$K$17,('11-Viabilidade'!$L$11)*((1+'11-Viabilidade'!$O$10)^(($C115-1)/12))))</f>
        <v>591.3920241961124</v>
      </c>
      <c r="Z115" s="168">
        <f>IFERROR(VLOOKUP(S115,'12-SAC Viabilidade'!$B$11:$G$430,6,FALSE),0)</f>
        <v>1997.6605452839317</v>
      </c>
      <c r="AA115" s="168">
        <f>IFERROR(VLOOKUP(S115,'12-SAC Viabilidade'!$B$11:$H$430,7,FALSE),0)</f>
        <v>178285.71428571446</v>
      </c>
      <c r="AB115" s="162">
        <f>(U115-W115)*'11-Viabilidade'!$O$16</f>
        <v>678.50926288789105</v>
      </c>
      <c r="AC115" s="161">
        <f t="shared" si="3"/>
        <v>778.36377225985962</v>
      </c>
      <c r="AD115" s="163">
        <f t="shared" si="4"/>
        <v>2776.0243175437913</v>
      </c>
      <c r="AE115" s="173"/>
      <c r="AF115" s="173"/>
      <c r="AG115" s="173"/>
      <c r="AH115" s="173"/>
    </row>
    <row r="116" spans="1:34" ht="15.75" customHeight="1">
      <c r="A116" s="37"/>
      <c r="B116" s="38">
        <f>IF(AND(B115&gt;0,B115&lt;'11-Viabilidade'!$P$14),B115+1,0)</f>
        <v>109</v>
      </c>
      <c r="C116" s="155">
        <f>IF($B116&lt;'11-Viabilidade'!$C$24,0,$B116-'11-Viabilidade'!$C$24)</f>
        <v>103</v>
      </c>
      <c r="D116" s="11">
        <f>IF(C116&gt;0,'11-Viabilidade'!$K$10,0)*((1+'11-Viabilidade'!$O$10)^(($C116-1)/12))</f>
        <v>4541.823957421655</v>
      </c>
      <c r="E116" s="11">
        <f>D116*'11-Viabilidade'!$L$12</f>
        <v>252.32355319009193</v>
      </c>
      <c r="F116" s="11">
        <f>D116*'11-Viabilidade'!$K$14</f>
        <v>0</v>
      </c>
      <c r="G116" s="11">
        <f>D116*'11-Viabilidade'!$K$15</f>
        <v>227.09119787108276</v>
      </c>
      <c r="H116" s="11">
        <f>IF(D116=0,'11-Viabilidade'!$K$16+'11-Viabilidade'!$K$17,('11-Viabilidade'!$L$11)*((1+'11-Viabilidade'!$O$10)^(($C116-1)/12)))</f>
        <v>593.80142850734967</v>
      </c>
      <c r="I116" s="11">
        <f>'12-SAC Viabilidade'!G119</f>
        <v>1993.1038936102727</v>
      </c>
      <c r="J116" s="11">
        <f>'12-SAC Viabilidade'!H119</f>
        <v>177714.28571428588</v>
      </c>
      <c r="K116" s="132">
        <f>(D116-F116)*'11-Viabilidade'!$O$16</f>
        <v>681.27359361324818</v>
      </c>
      <c r="L116" s="11">
        <f t="shared" si="0"/>
        <v>794.23029062960995</v>
      </c>
      <c r="M116" s="156">
        <f t="shared" si="1"/>
        <v>2787.3341842398827</v>
      </c>
      <c r="N116" s="13"/>
      <c r="O116" s="43"/>
      <c r="P116" s="41">
        <f>IF(B116&lt;='11-Viabilidade'!$G$11,(P115+(P115*'11-Viabilidade'!$H$12)),0)</f>
        <v>0</v>
      </c>
      <c r="Q116" s="41">
        <f>IF(B116='11-Viabilidade'!$G$11,'11-Viabilidade'!$G$16,0)*(1+'11-Viabilidade'!$G$12)^((B116-1)/12)</f>
        <v>0</v>
      </c>
      <c r="R116" s="170">
        <f t="shared" si="2"/>
        <v>0</v>
      </c>
      <c r="S116" s="41">
        <f t="shared" si="5"/>
        <v>109</v>
      </c>
      <c r="T116" s="155">
        <f>IF($S116&lt;'11-Viabilidade'!$C$24,0,$S116-'11-Viabilidade'!$C$24)</f>
        <v>103</v>
      </c>
      <c r="U116" s="11">
        <f>IF(T116&gt;0,'11-Viabilidade'!$K$10,0)*((1+'11-Viabilidade'!$O$10)^(($T116-1)/12))</f>
        <v>4541.823957421655</v>
      </c>
      <c r="V116" s="11">
        <f>U116*'11-Viabilidade'!$L$12</f>
        <v>252.32355319009193</v>
      </c>
      <c r="W116" s="11">
        <f>U116*'11-Viabilidade'!$K$14</f>
        <v>0</v>
      </c>
      <c r="X116" s="11">
        <f>U116*'11-Viabilidade'!$K$15</f>
        <v>227.09119787108276</v>
      </c>
      <c r="Y116" s="11">
        <f>IF(AND(U116=0,S116=0),0,IF(AND(U116=0,S116&lt;&gt;0),'11-Viabilidade'!$K$16+'11-Viabilidade'!$K$17,('11-Viabilidade'!$L$11)*((1+'11-Viabilidade'!$O$10)^(($C116-1)/12))))</f>
        <v>593.80142850734967</v>
      </c>
      <c r="Z116" s="157">
        <f>IFERROR(VLOOKUP(S116,'12-SAC Viabilidade'!$B$11:$G$430,6,FALSE),0)</f>
        <v>1993.1038936102727</v>
      </c>
      <c r="AA116" s="157">
        <f>IFERROR(VLOOKUP(S116,'12-SAC Viabilidade'!$B$11:$H$430,7,FALSE),0)</f>
        <v>177714.28571428588</v>
      </c>
      <c r="AB116" s="132">
        <f>(U116-W116)*'11-Viabilidade'!$O$16</f>
        <v>681.27359361324818</v>
      </c>
      <c r="AC116" s="11">
        <f t="shared" si="3"/>
        <v>794.23029062960995</v>
      </c>
      <c r="AD116" s="156">
        <f t="shared" si="4"/>
        <v>2787.3341842398827</v>
      </c>
      <c r="AE116" s="42"/>
      <c r="AF116" s="42"/>
      <c r="AG116" s="42"/>
      <c r="AH116" s="42"/>
    </row>
    <row r="117" spans="1:34" ht="15.75" customHeight="1">
      <c r="A117" s="37"/>
      <c r="B117" s="38">
        <f>IF(AND(B116&gt;0,B116&lt;'11-Viabilidade'!$P$14),B116+1,0)</f>
        <v>110</v>
      </c>
      <c r="C117" s="155">
        <f>IF($B117&lt;'11-Viabilidade'!$C$24,0,$B117-'11-Viabilidade'!$C$24)</f>
        <v>104</v>
      </c>
      <c r="D117" s="11">
        <f>IF(C117&gt;0,'11-Viabilidade'!$K$10,0)*((1+'11-Viabilidade'!$O$10)^(($C117-1)/12))</f>
        <v>4560.3279104277308</v>
      </c>
      <c r="E117" s="11">
        <f>D117*'11-Viabilidade'!$L$12</f>
        <v>253.35155057931837</v>
      </c>
      <c r="F117" s="11">
        <f>D117*'11-Viabilidade'!$K$14</f>
        <v>0</v>
      </c>
      <c r="G117" s="11">
        <f>D117*'11-Viabilidade'!$K$15</f>
        <v>228.01639552138656</v>
      </c>
      <c r="H117" s="11">
        <f>IF(D117=0,'11-Viabilidade'!$K$16+'11-Viabilidade'!$K$17,('11-Viabilidade'!$L$11)*((1+'11-Viabilidade'!$O$10)^(($C117-1)/12)))</f>
        <v>596.22064902999591</v>
      </c>
      <c r="I117" s="11">
        <f>'12-SAC Viabilidade'!G120</f>
        <v>1988.5472419366133</v>
      </c>
      <c r="J117" s="11">
        <f>'12-SAC Viabilidade'!H120</f>
        <v>177142.85714285731</v>
      </c>
      <c r="K117" s="132">
        <f>(D117-F117)*'11-Viabilidade'!$O$16</f>
        <v>684.04918656415964</v>
      </c>
      <c r="L117" s="11">
        <f t="shared" si="0"/>
        <v>810.14288679625679</v>
      </c>
      <c r="M117" s="156">
        <f t="shared" si="1"/>
        <v>2798.6901287328701</v>
      </c>
      <c r="N117" s="13"/>
      <c r="O117" s="43"/>
      <c r="P117" s="41">
        <f>IF(B117&lt;='11-Viabilidade'!$G$11,(P116+(P116*'11-Viabilidade'!$H$12)),0)</f>
        <v>0</v>
      </c>
      <c r="Q117" s="41">
        <f>IF(B117='11-Viabilidade'!$G$11,'11-Viabilidade'!$G$16,0)*(1+'11-Viabilidade'!$G$12)^((B117-1)/12)</f>
        <v>0</v>
      </c>
      <c r="R117" s="170">
        <f t="shared" si="2"/>
        <v>0</v>
      </c>
      <c r="S117" s="41">
        <f t="shared" si="5"/>
        <v>110</v>
      </c>
      <c r="T117" s="155">
        <f>IF($S117&lt;'11-Viabilidade'!$C$24,0,$S117-'11-Viabilidade'!$C$24)</f>
        <v>104</v>
      </c>
      <c r="U117" s="11">
        <f>IF(T117&gt;0,'11-Viabilidade'!$K$10,0)*((1+'11-Viabilidade'!$O$10)^(($T117-1)/12))</f>
        <v>4560.3279104277308</v>
      </c>
      <c r="V117" s="11">
        <f>U117*'11-Viabilidade'!$L$12</f>
        <v>253.35155057931837</v>
      </c>
      <c r="W117" s="11">
        <f>U117*'11-Viabilidade'!$K$14</f>
        <v>0</v>
      </c>
      <c r="X117" s="11">
        <f>U117*'11-Viabilidade'!$K$15</f>
        <v>228.01639552138656</v>
      </c>
      <c r="Y117" s="11">
        <f>IF(AND(U117=0,S117=0),0,IF(AND(U117=0,S117&lt;&gt;0),'11-Viabilidade'!$K$16+'11-Viabilidade'!$K$17,('11-Viabilidade'!$L$11)*((1+'11-Viabilidade'!$O$10)^(($C117-1)/12))))</f>
        <v>596.22064902999591</v>
      </c>
      <c r="Z117" s="157">
        <f>IFERROR(VLOOKUP(S117,'12-SAC Viabilidade'!$B$11:$G$430,6,FALSE),0)</f>
        <v>1988.5472419366133</v>
      </c>
      <c r="AA117" s="157">
        <f>IFERROR(VLOOKUP(S117,'12-SAC Viabilidade'!$B$11:$H$430,7,FALSE),0)</f>
        <v>177142.85714285731</v>
      </c>
      <c r="AB117" s="132">
        <f>(U117-W117)*'11-Viabilidade'!$O$16</f>
        <v>684.04918656415964</v>
      </c>
      <c r="AC117" s="11">
        <f t="shared" si="3"/>
        <v>810.14288679625679</v>
      </c>
      <c r="AD117" s="156">
        <f t="shared" si="4"/>
        <v>2798.6901287328701</v>
      </c>
      <c r="AE117" s="42"/>
      <c r="AF117" s="42"/>
      <c r="AG117" s="42"/>
      <c r="AH117" s="42"/>
    </row>
    <row r="118" spans="1:34" ht="15.75" customHeight="1">
      <c r="A118" s="37"/>
      <c r="B118" s="38">
        <f>IF(AND(B117&gt;0,B117&lt;'11-Viabilidade'!$P$14),B117+1,0)</f>
        <v>111</v>
      </c>
      <c r="C118" s="155">
        <f>IF($B118&lt;'11-Viabilidade'!$C$24,0,$B118-'11-Viabilidade'!$C$24)</f>
        <v>105</v>
      </c>
      <c r="D118" s="11">
        <f>IF(C118&gt;0,'11-Viabilidade'!$K$10,0)*((1+'11-Viabilidade'!$O$10)^(($C118-1)/12))</f>
        <v>4578.9072508288391</v>
      </c>
      <c r="E118" s="11">
        <f>D118*'11-Viabilidade'!$L$12</f>
        <v>254.38373615715773</v>
      </c>
      <c r="F118" s="11">
        <f>D118*'11-Viabilidade'!$K$14</f>
        <v>0</v>
      </c>
      <c r="G118" s="11">
        <f>D118*'11-Viabilidade'!$K$15</f>
        <v>228.94536254144197</v>
      </c>
      <c r="H118" s="11">
        <f>IF(D118=0,'11-Viabilidade'!$K$16+'11-Viabilidade'!$K$17,('11-Viabilidade'!$L$11)*((1+'11-Viabilidade'!$O$10)^(($C118-1)/12)))</f>
        <v>598.64972575651109</v>
      </c>
      <c r="I118" s="11">
        <f>'12-SAC Viabilidade'!G121</f>
        <v>1983.9905902629539</v>
      </c>
      <c r="J118" s="11">
        <f>'12-SAC Viabilidade'!H121</f>
        <v>176571.42857142873</v>
      </c>
      <c r="K118" s="132">
        <f>(D118-F118)*'11-Viabilidade'!$O$16</f>
        <v>686.83608762432584</v>
      </c>
      <c r="L118" s="11">
        <f t="shared" si="0"/>
        <v>826.10174848644874</v>
      </c>
      <c r="M118" s="156">
        <f t="shared" si="1"/>
        <v>2810.0923387494026</v>
      </c>
      <c r="N118" s="13"/>
      <c r="O118" s="43"/>
      <c r="P118" s="41">
        <f>IF(B118&lt;='11-Viabilidade'!$G$11,(P117+(P117*'11-Viabilidade'!$H$12)),0)</f>
        <v>0</v>
      </c>
      <c r="Q118" s="41">
        <f>IF(B118='11-Viabilidade'!$G$11,'11-Viabilidade'!$G$16,0)*(1+'11-Viabilidade'!$G$12)^((B118-1)/12)</f>
        <v>0</v>
      </c>
      <c r="R118" s="170">
        <f t="shared" si="2"/>
        <v>0</v>
      </c>
      <c r="S118" s="41">
        <f t="shared" si="5"/>
        <v>111</v>
      </c>
      <c r="T118" s="155">
        <f>IF($S118&lt;'11-Viabilidade'!$C$24,0,$S118-'11-Viabilidade'!$C$24)</f>
        <v>105</v>
      </c>
      <c r="U118" s="11">
        <f>IF(T118&gt;0,'11-Viabilidade'!$K$10,0)*((1+'11-Viabilidade'!$O$10)^(($T118-1)/12))</f>
        <v>4578.9072508288391</v>
      </c>
      <c r="V118" s="11">
        <f>U118*'11-Viabilidade'!$L$12</f>
        <v>254.38373615715773</v>
      </c>
      <c r="W118" s="11">
        <f>U118*'11-Viabilidade'!$K$14</f>
        <v>0</v>
      </c>
      <c r="X118" s="11">
        <f>U118*'11-Viabilidade'!$K$15</f>
        <v>228.94536254144197</v>
      </c>
      <c r="Y118" s="11">
        <f>IF(AND(U118=0,S118=0),0,IF(AND(U118=0,S118&lt;&gt;0),'11-Viabilidade'!$K$16+'11-Viabilidade'!$K$17,('11-Viabilidade'!$L$11)*((1+'11-Viabilidade'!$O$10)^(($C118-1)/12))))</f>
        <v>598.64972575651109</v>
      </c>
      <c r="Z118" s="157">
        <f>IFERROR(VLOOKUP(S118,'12-SAC Viabilidade'!$B$11:$G$430,6,FALSE),0)</f>
        <v>1983.9905902629539</v>
      </c>
      <c r="AA118" s="157">
        <f>IFERROR(VLOOKUP(S118,'12-SAC Viabilidade'!$B$11:$H$430,7,FALSE),0)</f>
        <v>176571.42857142873</v>
      </c>
      <c r="AB118" s="132">
        <f>(U118-W118)*'11-Viabilidade'!$O$16</f>
        <v>686.83608762432584</v>
      </c>
      <c r="AC118" s="11">
        <f t="shared" si="3"/>
        <v>826.10174848644874</v>
      </c>
      <c r="AD118" s="156">
        <f t="shared" si="4"/>
        <v>2810.0923387494026</v>
      </c>
      <c r="AE118" s="42"/>
      <c r="AF118" s="42"/>
      <c r="AG118" s="42"/>
      <c r="AH118" s="42"/>
    </row>
    <row r="119" spans="1:34" ht="15.75" customHeight="1">
      <c r="A119" s="37"/>
      <c r="B119" s="38">
        <f>IF(AND(B118&gt;0,B118&lt;'11-Viabilidade'!$P$14),B118+1,0)</f>
        <v>112</v>
      </c>
      <c r="C119" s="155">
        <f>IF($B119&lt;'11-Viabilidade'!$C$24,0,$B119-'11-Viabilidade'!$C$24)</f>
        <v>106</v>
      </c>
      <c r="D119" s="11">
        <f>IF(C119&gt;0,'11-Viabilidade'!$K$10,0)*((1+'11-Viabilidade'!$O$10)^(($C119-1)/12))</f>
        <v>4597.5622857625613</v>
      </c>
      <c r="E119" s="11">
        <f>D119*'11-Viabilidade'!$L$12</f>
        <v>255.42012698680895</v>
      </c>
      <c r="F119" s="11">
        <f>D119*'11-Viabilidade'!$K$14</f>
        <v>0</v>
      </c>
      <c r="G119" s="11">
        <f>D119*'11-Viabilidade'!$K$15</f>
        <v>229.87811428812807</v>
      </c>
      <c r="H119" s="11">
        <f>IF(D119=0,'11-Viabilidade'!$K$16+'11-Viabilidade'!$K$17,('11-Viabilidade'!$L$11)*((1+'11-Viabilidade'!$O$10)^(($C119-1)/12)))</f>
        <v>601.08869884229034</v>
      </c>
      <c r="I119" s="11">
        <f>'12-SAC Viabilidade'!G122</f>
        <v>1979.4339385892945</v>
      </c>
      <c r="J119" s="11">
        <f>'12-SAC Viabilidade'!H122</f>
        <v>176000.00000000015</v>
      </c>
      <c r="K119" s="132">
        <f>(D119-F119)*'11-Viabilidade'!$O$16</f>
        <v>689.63434286438417</v>
      </c>
      <c r="L119" s="11">
        <f t="shared" si="0"/>
        <v>842.10706419165535</v>
      </c>
      <c r="M119" s="156">
        <f t="shared" si="1"/>
        <v>2821.5410027809498</v>
      </c>
      <c r="N119" s="13"/>
      <c r="O119" s="43"/>
      <c r="P119" s="41">
        <f>IF(B119&lt;='11-Viabilidade'!$G$11,(P118+(P118*'11-Viabilidade'!$H$12)),0)</f>
        <v>0</v>
      </c>
      <c r="Q119" s="41">
        <f>IF(B119='11-Viabilidade'!$G$11,'11-Viabilidade'!$G$16,0)*(1+'11-Viabilidade'!$G$12)^((B119-1)/12)</f>
        <v>0</v>
      </c>
      <c r="R119" s="170">
        <f t="shared" si="2"/>
        <v>0</v>
      </c>
      <c r="S119" s="41">
        <f t="shared" si="5"/>
        <v>112</v>
      </c>
      <c r="T119" s="155">
        <f>IF($S119&lt;'11-Viabilidade'!$C$24,0,$S119-'11-Viabilidade'!$C$24)</f>
        <v>106</v>
      </c>
      <c r="U119" s="11">
        <f>IF(T119&gt;0,'11-Viabilidade'!$K$10,0)*((1+'11-Viabilidade'!$O$10)^(($T119-1)/12))</f>
        <v>4597.5622857625613</v>
      </c>
      <c r="V119" s="11">
        <f>U119*'11-Viabilidade'!$L$12</f>
        <v>255.42012698680895</v>
      </c>
      <c r="W119" s="11">
        <f>U119*'11-Viabilidade'!$K$14</f>
        <v>0</v>
      </c>
      <c r="X119" s="11">
        <f>U119*'11-Viabilidade'!$K$15</f>
        <v>229.87811428812807</v>
      </c>
      <c r="Y119" s="11">
        <f>IF(AND(U119=0,S119=0),0,IF(AND(U119=0,S119&lt;&gt;0),'11-Viabilidade'!$K$16+'11-Viabilidade'!$K$17,('11-Viabilidade'!$L$11)*((1+'11-Viabilidade'!$O$10)^(($C119-1)/12))))</f>
        <v>601.08869884229034</v>
      </c>
      <c r="Z119" s="157">
        <f>IFERROR(VLOOKUP(S119,'12-SAC Viabilidade'!$B$11:$G$430,6,FALSE),0)</f>
        <v>1979.4339385892945</v>
      </c>
      <c r="AA119" s="157">
        <f>IFERROR(VLOOKUP(S119,'12-SAC Viabilidade'!$B$11:$H$430,7,FALSE),0)</f>
        <v>176000.00000000015</v>
      </c>
      <c r="AB119" s="132">
        <f>(U119-W119)*'11-Viabilidade'!$O$16</f>
        <v>689.63434286438417</v>
      </c>
      <c r="AC119" s="11">
        <f t="shared" si="3"/>
        <v>842.10706419165535</v>
      </c>
      <c r="AD119" s="156">
        <f t="shared" si="4"/>
        <v>2821.5410027809498</v>
      </c>
      <c r="AE119" s="42"/>
      <c r="AF119" s="42"/>
      <c r="AG119" s="42"/>
      <c r="AH119" s="42"/>
    </row>
    <row r="120" spans="1:34" ht="15.75" customHeight="1">
      <c r="A120" s="37"/>
      <c r="B120" s="38">
        <f>IF(AND(B119&gt;0,B119&lt;'11-Viabilidade'!$P$14),B119+1,0)</f>
        <v>113</v>
      </c>
      <c r="C120" s="155">
        <f>IF($B120&lt;'11-Viabilidade'!$C$24,0,$B120-'11-Viabilidade'!$C$24)</f>
        <v>107</v>
      </c>
      <c r="D120" s="11">
        <f>IF(C120&gt;0,'11-Viabilidade'!$K$10,0)*((1+'11-Viabilidade'!$O$10)^(($C120-1)/12))</f>
        <v>4616.2933236177905</v>
      </c>
      <c r="E120" s="11">
        <f>D120*'11-Viabilidade'!$L$12</f>
        <v>256.46074020098837</v>
      </c>
      <c r="F120" s="11">
        <f>D120*'11-Viabilidade'!$K$14</f>
        <v>0</v>
      </c>
      <c r="G120" s="11">
        <f>D120*'11-Viabilidade'!$K$15</f>
        <v>230.81466618088953</v>
      </c>
      <c r="H120" s="11">
        <f>IF(D120=0,'11-Viabilidade'!$K$16+'11-Viabilidade'!$K$17,('11-Viabilidade'!$L$11)*((1+'11-Viabilidade'!$O$10)^(($C120-1)/12)))</f>
        <v>603.53760860632588</v>
      </c>
      <c r="I120" s="11">
        <f>'12-SAC Viabilidade'!G123</f>
        <v>1974.8772869156351</v>
      </c>
      <c r="J120" s="11">
        <f>'12-SAC Viabilidade'!H123</f>
        <v>175428.57142857157</v>
      </c>
      <c r="K120" s="132">
        <f>(D120-F120)*'11-Viabilidade'!$O$16</f>
        <v>692.44399854266851</v>
      </c>
      <c r="L120" s="11">
        <f t="shared" si="0"/>
        <v>858.15902317128302</v>
      </c>
      <c r="M120" s="156">
        <f t="shared" si="1"/>
        <v>2833.0363100869181</v>
      </c>
      <c r="N120" s="13"/>
      <c r="O120" s="43"/>
      <c r="P120" s="41">
        <f>IF(B120&lt;='11-Viabilidade'!$G$11,(P119+(P119*'11-Viabilidade'!$H$12)),0)</f>
        <v>0</v>
      </c>
      <c r="Q120" s="41">
        <f>IF(B120='11-Viabilidade'!$G$11,'11-Viabilidade'!$G$16,0)*(1+'11-Viabilidade'!$G$12)^((B120-1)/12)</f>
        <v>0</v>
      </c>
      <c r="R120" s="170">
        <f t="shared" si="2"/>
        <v>0</v>
      </c>
      <c r="S120" s="41">
        <f t="shared" si="5"/>
        <v>113</v>
      </c>
      <c r="T120" s="155">
        <f>IF($S120&lt;'11-Viabilidade'!$C$24,0,$S120-'11-Viabilidade'!$C$24)</f>
        <v>107</v>
      </c>
      <c r="U120" s="11">
        <f>IF(T120&gt;0,'11-Viabilidade'!$K$10,0)*((1+'11-Viabilidade'!$O$10)^(($T120-1)/12))</f>
        <v>4616.2933236177905</v>
      </c>
      <c r="V120" s="11">
        <f>U120*'11-Viabilidade'!$L$12</f>
        <v>256.46074020098837</v>
      </c>
      <c r="W120" s="11">
        <f>U120*'11-Viabilidade'!$K$14</f>
        <v>0</v>
      </c>
      <c r="X120" s="11">
        <f>U120*'11-Viabilidade'!$K$15</f>
        <v>230.81466618088953</v>
      </c>
      <c r="Y120" s="11">
        <f>IF(AND(U120=0,S120=0),0,IF(AND(U120=0,S120&lt;&gt;0),'11-Viabilidade'!$K$16+'11-Viabilidade'!$K$17,('11-Viabilidade'!$L$11)*((1+'11-Viabilidade'!$O$10)^(($C120-1)/12))))</f>
        <v>603.53760860632588</v>
      </c>
      <c r="Z120" s="157">
        <f>IFERROR(VLOOKUP(S120,'12-SAC Viabilidade'!$B$11:$G$430,6,FALSE),0)</f>
        <v>1974.8772869156351</v>
      </c>
      <c r="AA120" s="157">
        <f>IFERROR(VLOOKUP(S120,'12-SAC Viabilidade'!$B$11:$H$430,7,FALSE),0)</f>
        <v>175428.57142857157</v>
      </c>
      <c r="AB120" s="132">
        <f>(U120-W120)*'11-Viabilidade'!$O$16</f>
        <v>692.44399854266851</v>
      </c>
      <c r="AC120" s="11">
        <f t="shared" si="3"/>
        <v>858.15902317128302</v>
      </c>
      <c r="AD120" s="156">
        <f t="shared" si="4"/>
        <v>2833.0363100869181</v>
      </c>
      <c r="AE120" s="42"/>
      <c r="AF120" s="42"/>
      <c r="AG120" s="42"/>
      <c r="AH120" s="42"/>
    </row>
    <row r="121" spans="1:34" ht="15.75" customHeight="1">
      <c r="A121" s="37"/>
      <c r="B121" s="38">
        <f>IF(AND(B120&gt;0,B120&lt;'11-Viabilidade'!$P$14),B120+1,0)</f>
        <v>114</v>
      </c>
      <c r="C121" s="155">
        <f>IF($B121&lt;'11-Viabilidade'!$C$24,0,$B121-'11-Viabilidade'!$C$24)</f>
        <v>108</v>
      </c>
      <c r="D121" s="11">
        <f>IF(C121&gt;0,'11-Viabilidade'!$K$10,0)*((1+'11-Viabilidade'!$O$10)^(($C121-1)/12))</f>
        <v>4635.1006740398379</v>
      </c>
      <c r="E121" s="11">
        <f>D121*'11-Viabilidade'!$L$12</f>
        <v>257.50559300221323</v>
      </c>
      <c r="F121" s="11">
        <f>D121*'11-Viabilidade'!$K$14</f>
        <v>0</v>
      </c>
      <c r="G121" s="11">
        <f>D121*'11-Viabilidade'!$K$15</f>
        <v>231.75503370199192</v>
      </c>
      <c r="H121" s="11">
        <f>IF(D121=0,'11-Viabilidade'!$K$16+'11-Viabilidade'!$K$17,('11-Viabilidade'!$L$11)*((1+'11-Viabilidade'!$O$10)^(($C121-1)/12)))</f>
        <v>605.9964955318751</v>
      </c>
      <c r="I121" s="11">
        <f>'12-SAC Viabilidade'!G124</f>
        <v>1970.3206352419757</v>
      </c>
      <c r="J121" s="11">
        <f>'12-SAC Viabilidade'!H124</f>
        <v>174857.14285714299</v>
      </c>
      <c r="K121" s="132">
        <f>(D121-F121)*'11-Viabilidade'!$O$16</f>
        <v>695.26510110597565</v>
      </c>
      <c r="L121" s="11">
        <f t="shared" si="0"/>
        <v>874.25781545580639</v>
      </c>
      <c r="M121" s="156">
        <f t="shared" si="1"/>
        <v>2844.578450697782</v>
      </c>
      <c r="N121" s="13"/>
      <c r="O121" s="43"/>
      <c r="P121" s="41">
        <f>IF(B121&lt;='11-Viabilidade'!$G$11,(P120+(P120*'11-Viabilidade'!$H$12)),0)</f>
        <v>0</v>
      </c>
      <c r="Q121" s="41">
        <f>IF(B121='11-Viabilidade'!$G$11,'11-Viabilidade'!$G$16,0)*(1+'11-Viabilidade'!$G$12)^((B121-1)/12)</f>
        <v>0</v>
      </c>
      <c r="R121" s="170">
        <f t="shared" si="2"/>
        <v>0</v>
      </c>
      <c r="S121" s="41">
        <f t="shared" si="5"/>
        <v>114</v>
      </c>
      <c r="T121" s="155">
        <f>IF($S121&lt;'11-Viabilidade'!$C$24,0,$S121-'11-Viabilidade'!$C$24)</f>
        <v>108</v>
      </c>
      <c r="U121" s="11">
        <f>IF(T121&gt;0,'11-Viabilidade'!$K$10,0)*((1+'11-Viabilidade'!$O$10)^(($T121-1)/12))</f>
        <v>4635.1006740398379</v>
      </c>
      <c r="V121" s="11">
        <f>U121*'11-Viabilidade'!$L$12</f>
        <v>257.50559300221323</v>
      </c>
      <c r="W121" s="11">
        <f>U121*'11-Viabilidade'!$K$14</f>
        <v>0</v>
      </c>
      <c r="X121" s="11">
        <f>U121*'11-Viabilidade'!$K$15</f>
        <v>231.75503370199192</v>
      </c>
      <c r="Y121" s="11">
        <f>IF(AND(U121=0,S121=0),0,IF(AND(U121=0,S121&lt;&gt;0),'11-Viabilidade'!$K$16+'11-Viabilidade'!$K$17,('11-Viabilidade'!$L$11)*((1+'11-Viabilidade'!$O$10)^(($C121-1)/12))))</f>
        <v>605.9964955318751</v>
      </c>
      <c r="Z121" s="157">
        <f>IFERROR(VLOOKUP(S121,'12-SAC Viabilidade'!$B$11:$G$430,6,FALSE),0)</f>
        <v>1970.3206352419757</v>
      </c>
      <c r="AA121" s="157">
        <f>IFERROR(VLOOKUP(S121,'12-SAC Viabilidade'!$B$11:$H$430,7,FALSE),0)</f>
        <v>174857.14285714299</v>
      </c>
      <c r="AB121" s="132">
        <f>(U121-W121)*'11-Viabilidade'!$O$16</f>
        <v>695.26510110597565</v>
      </c>
      <c r="AC121" s="11">
        <f t="shared" si="3"/>
        <v>874.25781545580639</v>
      </c>
      <c r="AD121" s="156">
        <f t="shared" si="4"/>
        <v>2844.578450697782</v>
      </c>
      <c r="AE121" s="42"/>
      <c r="AF121" s="42"/>
      <c r="AG121" s="42"/>
      <c r="AH121" s="42"/>
    </row>
    <row r="122" spans="1:34" ht="15.75" customHeight="1">
      <c r="A122" s="37"/>
      <c r="B122" s="38">
        <f>IF(AND(B121&gt;0,B121&lt;'11-Viabilidade'!$P$14),B121+1,0)</f>
        <v>115</v>
      </c>
      <c r="C122" s="155">
        <f>IF($B122&lt;'11-Viabilidade'!$C$24,0,$B122-'11-Viabilidade'!$C$24)</f>
        <v>109</v>
      </c>
      <c r="D122" s="11">
        <f>IF(C122&gt;0,'11-Viabilidade'!$K$10,0)*((1+'11-Viabilidade'!$O$10)^(($C122-1)/12))</f>
        <v>4653.9846479355474</v>
      </c>
      <c r="E122" s="11">
        <f>D122*'11-Viabilidade'!$L$12</f>
        <v>258.55470266308595</v>
      </c>
      <c r="F122" s="11">
        <f>D122*'11-Viabilidade'!$K$14</f>
        <v>0</v>
      </c>
      <c r="G122" s="11">
        <f>D122*'11-Viabilidade'!$K$15</f>
        <v>232.69923239677738</v>
      </c>
      <c r="H122" s="11">
        <f>IF(D122=0,'11-Viabilidade'!$K$16+'11-Viabilidade'!$K$17,('11-Viabilidade'!$L$11)*((1+'11-Viabilidade'!$O$10)^(($C122-1)/12)))</f>
        <v>608.46540026712887</v>
      </c>
      <c r="I122" s="11">
        <f>'12-SAC Viabilidade'!G125</f>
        <v>1965.7639835683162</v>
      </c>
      <c r="J122" s="11">
        <f>'12-SAC Viabilidade'!H125</f>
        <v>174285.71428571441</v>
      </c>
      <c r="K122" s="132">
        <f>(D122-F122)*'11-Viabilidade'!$O$16</f>
        <v>698.09769719033204</v>
      </c>
      <c r="L122" s="11">
        <f t="shared" si="0"/>
        <v>890.40363184990701</v>
      </c>
      <c r="M122" s="156">
        <f t="shared" si="1"/>
        <v>2856.1676154182232</v>
      </c>
      <c r="N122" s="13"/>
      <c r="O122" s="43"/>
      <c r="P122" s="41">
        <f>IF(B122&lt;='11-Viabilidade'!$G$11,(P121+(P121*'11-Viabilidade'!$H$12)),0)</f>
        <v>0</v>
      </c>
      <c r="Q122" s="41">
        <f>IF(B122='11-Viabilidade'!$G$11,'11-Viabilidade'!$G$16,0)*(1+'11-Viabilidade'!$G$12)^((B122-1)/12)</f>
        <v>0</v>
      </c>
      <c r="R122" s="170">
        <f t="shared" si="2"/>
        <v>0</v>
      </c>
      <c r="S122" s="41">
        <f t="shared" si="5"/>
        <v>115</v>
      </c>
      <c r="T122" s="155">
        <f>IF($S122&lt;'11-Viabilidade'!$C$24,0,$S122-'11-Viabilidade'!$C$24)</f>
        <v>109</v>
      </c>
      <c r="U122" s="11">
        <f>IF(T122&gt;0,'11-Viabilidade'!$K$10,0)*((1+'11-Viabilidade'!$O$10)^(($T122-1)/12))</f>
        <v>4653.9846479355474</v>
      </c>
      <c r="V122" s="11">
        <f>U122*'11-Viabilidade'!$L$12</f>
        <v>258.55470266308595</v>
      </c>
      <c r="W122" s="11">
        <f>U122*'11-Viabilidade'!$K$14</f>
        <v>0</v>
      </c>
      <c r="X122" s="11">
        <f>U122*'11-Viabilidade'!$K$15</f>
        <v>232.69923239677738</v>
      </c>
      <c r="Y122" s="11">
        <f>IF(AND(U122=0,S122=0),0,IF(AND(U122=0,S122&lt;&gt;0),'11-Viabilidade'!$K$16+'11-Viabilidade'!$K$17,('11-Viabilidade'!$L$11)*((1+'11-Viabilidade'!$O$10)^(($C122-1)/12))))</f>
        <v>608.46540026712887</v>
      </c>
      <c r="Z122" s="157">
        <f>IFERROR(VLOOKUP(S122,'12-SAC Viabilidade'!$B$11:$G$430,6,FALSE),0)</f>
        <v>1965.7639835683162</v>
      </c>
      <c r="AA122" s="157">
        <f>IFERROR(VLOOKUP(S122,'12-SAC Viabilidade'!$B$11:$H$430,7,FALSE),0)</f>
        <v>174285.71428571441</v>
      </c>
      <c r="AB122" s="132">
        <f>(U122-W122)*'11-Viabilidade'!$O$16</f>
        <v>698.09769719033204</v>
      </c>
      <c r="AC122" s="11">
        <f t="shared" si="3"/>
        <v>890.40363184990701</v>
      </c>
      <c r="AD122" s="156">
        <f t="shared" si="4"/>
        <v>2856.1676154182232</v>
      </c>
      <c r="AE122" s="42"/>
      <c r="AF122" s="42"/>
      <c r="AG122" s="42"/>
      <c r="AH122" s="42"/>
    </row>
    <row r="123" spans="1:34" ht="15.75" customHeight="1">
      <c r="A123" s="37"/>
      <c r="B123" s="38">
        <f>IF(AND(B122&gt;0,B122&lt;'11-Viabilidade'!$P$14),B122+1,0)</f>
        <v>116</v>
      </c>
      <c r="C123" s="155">
        <f>IF($B123&lt;'11-Viabilidade'!$C$24,0,$B123-'11-Viabilidade'!$C$24)</f>
        <v>110</v>
      </c>
      <c r="D123" s="11">
        <f>IF(C123&gt;0,'11-Viabilidade'!$K$10,0)*((1+'11-Viabilidade'!$O$10)^(($C123-1)/12))</f>
        <v>4672.945557478437</v>
      </c>
      <c r="E123" s="11">
        <f>D123*'11-Viabilidade'!$L$12</f>
        <v>259.60808652657983</v>
      </c>
      <c r="F123" s="11">
        <f>D123*'11-Viabilidade'!$K$14</f>
        <v>0</v>
      </c>
      <c r="G123" s="11">
        <f>D123*'11-Viabilidade'!$K$15</f>
        <v>233.64727787392187</v>
      </c>
      <c r="H123" s="11">
        <f>IF(D123=0,'11-Viabilidade'!$K$16+'11-Viabilidade'!$K$17,('11-Viabilidade'!$L$11)*((1+'11-Viabilidade'!$O$10)^(($C123-1)/12)))</f>
        <v>610.94436362588453</v>
      </c>
      <c r="I123" s="11">
        <f>'12-SAC Viabilidade'!G126</f>
        <v>1961.2073318946568</v>
      </c>
      <c r="J123" s="11">
        <f>'12-SAC Viabilidade'!H126</f>
        <v>173714.28571428583</v>
      </c>
      <c r="K123" s="132">
        <f>(D123-F123)*'11-Viabilidade'!$O$16</f>
        <v>700.94183362176557</v>
      </c>
      <c r="L123" s="11">
        <f t="shared" si="0"/>
        <v>906.59666393562838</v>
      </c>
      <c r="M123" s="156">
        <f t="shared" si="1"/>
        <v>2867.8039958302852</v>
      </c>
      <c r="N123" s="13"/>
      <c r="O123" s="43"/>
      <c r="P123" s="41">
        <f>IF(B123&lt;='11-Viabilidade'!$G$11,(P122+(P122*'11-Viabilidade'!$H$12)),0)</f>
        <v>0</v>
      </c>
      <c r="Q123" s="41">
        <f>IF(B123='11-Viabilidade'!$G$11,'11-Viabilidade'!$G$16,0)*(1+'11-Viabilidade'!$G$12)^((B123-1)/12)</f>
        <v>0</v>
      </c>
      <c r="R123" s="170">
        <f t="shared" si="2"/>
        <v>0</v>
      </c>
      <c r="S123" s="41">
        <f t="shared" si="5"/>
        <v>116</v>
      </c>
      <c r="T123" s="155">
        <f>IF($S123&lt;'11-Viabilidade'!$C$24,0,$S123-'11-Viabilidade'!$C$24)</f>
        <v>110</v>
      </c>
      <c r="U123" s="11">
        <f>IF(T123&gt;0,'11-Viabilidade'!$K$10,0)*((1+'11-Viabilidade'!$O$10)^(($T123-1)/12))</f>
        <v>4672.945557478437</v>
      </c>
      <c r="V123" s="11">
        <f>U123*'11-Viabilidade'!$L$12</f>
        <v>259.60808652657983</v>
      </c>
      <c r="W123" s="11">
        <f>U123*'11-Viabilidade'!$K$14</f>
        <v>0</v>
      </c>
      <c r="X123" s="11">
        <f>U123*'11-Viabilidade'!$K$15</f>
        <v>233.64727787392187</v>
      </c>
      <c r="Y123" s="11">
        <f>IF(AND(U123=0,S123=0),0,IF(AND(U123=0,S123&lt;&gt;0),'11-Viabilidade'!$K$16+'11-Viabilidade'!$K$17,('11-Viabilidade'!$L$11)*((1+'11-Viabilidade'!$O$10)^(($C123-1)/12))))</f>
        <v>610.94436362588453</v>
      </c>
      <c r="Z123" s="157">
        <f>IFERROR(VLOOKUP(S123,'12-SAC Viabilidade'!$B$11:$G$430,6,FALSE),0)</f>
        <v>1961.2073318946568</v>
      </c>
      <c r="AA123" s="157">
        <f>IFERROR(VLOOKUP(S123,'12-SAC Viabilidade'!$B$11:$H$430,7,FALSE),0)</f>
        <v>173714.28571428583</v>
      </c>
      <c r="AB123" s="132">
        <f>(U123-W123)*'11-Viabilidade'!$O$16</f>
        <v>700.94183362176557</v>
      </c>
      <c r="AC123" s="11">
        <f t="shared" si="3"/>
        <v>906.59666393562838</v>
      </c>
      <c r="AD123" s="156">
        <f t="shared" si="4"/>
        <v>2867.8039958302852</v>
      </c>
      <c r="AE123" s="42"/>
      <c r="AF123" s="42"/>
      <c r="AG123" s="42"/>
      <c r="AH123" s="42"/>
    </row>
    <row r="124" spans="1:34" ht="15.75" customHeight="1">
      <c r="A124" s="37"/>
      <c r="B124" s="38">
        <f>IF(AND(B123&gt;0,B123&lt;'11-Viabilidade'!$P$14),B123+1,0)</f>
        <v>117</v>
      </c>
      <c r="C124" s="155">
        <f>IF($B124&lt;'11-Viabilidade'!$C$24,0,$B124-'11-Viabilidade'!$C$24)</f>
        <v>111</v>
      </c>
      <c r="D124" s="11">
        <f>IF(C124&gt;0,'11-Viabilidade'!$K$10,0)*((1+'11-Viabilidade'!$O$10)^(($C124-1)/12))</f>
        <v>4691.983716113853</v>
      </c>
      <c r="E124" s="11">
        <f>D124*'11-Viabilidade'!$L$12</f>
        <v>260.66576200632517</v>
      </c>
      <c r="F124" s="11">
        <f>D124*'11-Viabilidade'!$K$14</f>
        <v>0</v>
      </c>
      <c r="G124" s="11">
        <f>D124*'11-Viabilidade'!$K$15</f>
        <v>234.59918580569266</v>
      </c>
      <c r="H124" s="11">
        <f>IF(D124=0,'11-Viabilidade'!$K$16+'11-Viabilidade'!$K$17,('11-Viabilidade'!$L$11)*((1+'11-Viabilidade'!$O$10)^(($C124-1)/12)))</f>
        <v>613.43342658821848</v>
      </c>
      <c r="I124" s="11">
        <f>'12-SAC Viabilidade'!G127</f>
        <v>1956.6506802209979</v>
      </c>
      <c r="J124" s="11">
        <f>'12-SAC Viabilidade'!H127</f>
        <v>173142.85714285725</v>
      </c>
      <c r="K124" s="132">
        <f>(D124-F124)*'11-Viabilidade'!$O$16</f>
        <v>703.79755741707788</v>
      </c>
      <c r="L124" s="11">
        <f t="shared" si="0"/>
        <v>922.83710407554099</v>
      </c>
      <c r="M124" s="156">
        <f t="shared" si="1"/>
        <v>2879.4877842965388</v>
      </c>
      <c r="N124" s="13"/>
      <c r="O124" s="43"/>
      <c r="P124" s="41">
        <f>IF(B124&lt;='11-Viabilidade'!$G$11,(P123+(P123*'11-Viabilidade'!$H$12)),0)</f>
        <v>0</v>
      </c>
      <c r="Q124" s="41">
        <f>IF(B124='11-Viabilidade'!$G$11,'11-Viabilidade'!$G$16,0)*(1+'11-Viabilidade'!$G$12)^((B124-1)/12)</f>
        <v>0</v>
      </c>
      <c r="R124" s="170">
        <f t="shared" si="2"/>
        <v>0</v>
      </c>
      <c r="S124" s="41">
        <f t="shared" si="5"/>
        <v>117</v>
      </c>
      <c r="T124" s="155">
        <f>IF($S124&lt;'11-Viabilidade'!$C$24,0,$S124-'11-Viabilidade'!$C$24)</f>
        <v>111</v>
      </c>
      <c r="U124" s="11">
        <f>IF(T124&gt;0,'11-Viabilidade'!$K$10,0)*((1+'11-Viabilidade'!$O$10)^(($T124-1)/12))</f>
        <v>4691.983716113853</v>
      </c>
      <c r="V124" s="11">
        <f>U124*'11-Viabilidade'!$L$12</f>
        <v>260.66576200632517</v>
      </c>
      <c r="W124" s="11">
        <f>U124*'11-Viabilidade'!$K$14</f>
        <v>0</v>
      </c>
      <c r="X124" s="11">
        <f>U124*'11-Viabilidade'!$K$15</f>
        <v>234.59918580569266</v>
      </c>
      <c r="Y124" s="11">
        <f>IF(AND(U124=0,S124=0),0,IF(AND(U124=0,S124&lt;&gt;0),'11-Viabilidade'!$K$16+'11-Viabilidade'!$K$17,('11-Viabilidade'!$L$11)*((1+'11-Viabilidade'!$O$10)^(($C124-1)/12))))</f>
        <v>613.43342658821848</v>
      </c>
      <c r="Z124" s="157">
        <f>IFERROR(VLOOKUP(S124,'12-SAC Viabilidade'!$B$11:$G$430,6,FALSE),0)</f>
        <v>1956.6506802209979</v>
      </c>
      <c r="AA124" s="157">
        <f>IFERROR(VLOOKUP(S124,'12-SAC Viabilidade'!$B$11:$H$430,7,FALSE),0)</f>
        <v>173142.85714285725</v>
      </c>
      <c r="AB124" s="132">
        <f>(U124-W124)*'11-Viabilidade'!$O$16</f>
        <v>703.79755741707788</v>
      </c>
      <c r="AC124" s="11">
        <f t="shared" si="3"/>
        <v>922.83710407554099</v>
      </c>
      <c r="AD124" s="156">
        <f t="shared" si="4"/>
        <v>2879.4877842965388</v>
      </c>
      <c r="AE124" s="42"/>
      <c r="AF124" s="42"/>
      <c r="AG124" s="42"/>
      <c r="AH124" s="42"/>
    </row>
    <row r="125" spans="1:34" ht="15.75" customHeight="1">
      <c r="A125" s="37"/>
      <c r="B125" s="38">
        <f>IF(AND(B124&gt;0,B124&lt;'11-Viabilidade'!$P$14),B124+1,0)</f>
        <v>118</v>
      </c>
      <c r="C125" s="155">
        <f>IF($B125&lt;'11-Viabilidade'!$C$24,0,$B125-'11-Viabilidade'!$C$24)</f>
        <v>112</v>
      </c>
      <c r="D125" s="11">
        <f>IF(C125&gt;0,'11-Viabilidade'!$K$10,0)*((1+'11-Viabilidade'!$O$10)^(($C125-1)/12))</f>
        <v>4711.0994385641634</v>
      </c>
      <c r="E125" s="11">
        <f>D125*'11-Viabilidade'!$L$12</f>
        <v>261.72774658689798</v>
      </c>
      <c r="F125" s="11">
        <f>D125*'11-Viabilidade'!$K$14</f>
        <v>0</v>
      </c>
      <c r="G125" s="11">
        <f>D125*'11-Viabilidade'!$K$15</f>
        <v>235.55497192820818</v>
      </c>
      <c r="H125" s="11">
        <f>IF(D125=0,'11-Viabilidade'!$K$16+'11-Viabilidade'!$K$17,('11-Viabilidade'!$L$11)*((1+'11-Viabilidade'!$O$10)^(($C125-1)/12)))</f>
        <v>615.93263030116645</v>
      </c>
      <c r="I125" s="11">
        <f>'12-SAC Viabilidade'!G128</f>
        <v>1952.0940285473384</v>
      </c>
      <c r="J125" s="11">
        <f>'12-SAC Viabilidade'!H128</f>
        <v>172571.42857142867</v>
      </c>
      <c r="K125" s="132">
        <f>(D125-F125)*'11-Viabilidade'!$O$16</f>
        <v>706.66491578462444</v>
      </c>
      <c r="L125" s="11">
        <f t="shared" si="0"/>
        <v>939.12514541592782</v>
      </c>
      <c r="M125" s="156">
        <f t="shared" si="1"/>
        <v>2891.2191739632663</v>
      </c>
      <c r="N125" s="13"/>
      <c r="O125" s="43"/>
      <c r="P125" s="41">
        <f>IF(B125&lt;='11-Viabilidade'!$G$11,(P124+(P124*'11-Viabilidade'!$H$12)),0)</f>
        <v>0</v>
      </c>
      <c r="Q125" s="41">
        <f>IF(B125='11-Viabilidade'!$G$11,'11-Viabilidade'!$G$16,0)*(1+'11-Viabilidade'!$G$12)^((B125-1)/12)</f>
        <v>0</v>
      </c>
      <c r="R125" s="170">
        <f t="shared" si="2"/>
        <v>0</v>
      </c>
      <c r="S125" s="41">
        <f t="shared" si="5"/>
        <v>118</v>
      </c>
      <c r="T125" s="155">
        <f>IF($S125&lt;'11-Viabilidade'!$C$24,0,$S125-'11-Viabilidade'!$C$24)</f>
        <v>112</v>
      </c>
      <c r="U125" s="11">
        <f>IF(T125&gt;0,'11-Viabilidade'!$K$10,0)*((1+'11-Viabilidade'!$O$10)^(($T125-1)/12))</f>
        <v>4711.0994385641634</v>
      </c>
      <c r="V125" s="11">
        <f>U125*'11-Viabilidade'!$L$12</f>
        <v>261.72774658689798</v>
      </c>
      <c r="W125" s="11">
        <f>U125*'11-Viabilidade'!$K$14</f>
        <v>0</v>
      </c>
      <c r="X125" s="11">
        <f>U125*'11-Viabilidade'!$K$15</f>
        <v>235.55497192820818</v>
      </c>
      <c r="Y125" s="11">
        <f>IF(AND(U125=0,S125=0),0,IF(AND(U125=0,S125&lt;&gt;0),'11-Viabilidade'!$K$16+'11-Viabilidade'!$K$17,('11-Viabilidade'!$L$11)*((1+'11-Viabilidade'!$O$10)^(($C125-1)/12))))</f>
        <v>615.93263030116645</v>
      </c>
      <c r="Z125" s="157">
        <f>IFERROR(VLOOKUP(S125,'12-SAC Viabilidade'!$B$11:$G$430,6,FALSE),0)</f>
        <v>1952.0940285473384</v>
      </c>
      <c r="AA125" s="157">
        <f>IFERROR(VLOOKUP(S125,'12-SAC Viabilidade'!$B$11:$H$430,7,FALSE),0)</f>
        <v>172571.42857142867</v>
      </c>
      <c r="AB125" s="132">
        <f>(U125-W125)*'11-Viabilidade'!$O$16</f>
        <v>706.66491578462444</v>
      </c>
      <c r="AC125" s="11">
        <f t="shared" si="3"/>
        <v>939.12514541592782</v>
      </c>
      <c r="AD125" s="156">
        <f t="shared" si="4"/>
        <v>2891.2191739632663</v>
      </c>
      <c r="AE125" s="42"/>
      <c r="AF125" s="42"/>
      <c r="AG125" s="42"/>
      <c r="AH125" s="42"/>
    </row>
    <row r="126" spans="1:34" ht="15.75" customHeight="1">
      <c r="A126" s="37"/>
      <c r="B126" s="38">
        <f>IF(AND(B125&gt;0,B125&lt;'11-Viabilidade'!$P$14),B125+1,0)</f>
        <v>119</v>
      </c>
      <c r="C126" s="155">
        <f>IF($B126&lt;'11-Viabilidade'!$C$24,0,$B126-'11-Viabilidade'!$C$24)</f>
        <v>113</v>
      </c>
      <c r="D126" s="11">
        <f>IF(C126&gt;0,'11-Viabilidade'!$K$10,0)*((1+'11-Viabilidade'!$O$10)^(($C126-1)/12))</f>
        <v>4730.2930408339507</v>
      </c>
      <c r="E126" s="11">
        <f>D126*'11-Viabilidade'!$L$12</f>
        <v>262.79405782410834</v>
      </c>
      <c r="F126" s="11">
        <f>D126*'11-Viabilidade'!$K$14</f>
        <v>0</v>
      </c>
      <c r="G126" s="11">
        <f>D126*'11-Viabilidade'!$K$15</f>
        <v>236.51465204169756</v>
      </c>
      <c r="H126" s="11">
        <f>IF(D126=0,'11-Viabilidade'!$K$16+'11-Viabilidade'!$K$17,('11-Viabilidade'!$L$11)*((1+'11-Viabilidade'!$O$10)^(($C126-1)/12)))</f>
        <v>618.44201607940158</v>
      </c>
      <c r="I126" s="11">
        <f>'12-SAC Viabilidade'!G129</f>
        <v>1947.537376873679</v>
      </c>
      <c r="J126" s="11">
        <f>'12-SAC Viabilidade'!H129</f>
        <v>172000.00000000009</v>
      </c>
      <c r="K126" s="132">
        <f>(D126-F126)*'11-Viabilidade'!$O$16</f>
        <v>709.54395612509256</v>
      </c>
      <c r="L126" s="11">
        <f t="shared" si="0"/>
        <v>955.46098188997166</v>
      </c>
      <c r="M126" s="156">
        <f t="shared" si="1"/>
        <v>2902.9983587636507</v>
      </c>
      <c r="N126" s="13"/>
      <c r="O126" s="43"/>
      <c r="P126" s="41">
        <f>IF(B126&lt;='11-Viabilidade'!$G$11,(P125+(P125*'11-Viabilidade'!$H$12)),0)</f>
        <v>0</v>
      </c>
      <c r="Q126" s="41">
        <f>IF(B126='11-Viabilidade'!$G$11,'11-Viabilidade'!$G$16,0)*(1+'11-Viabilidade'!$G$12)^((B126-1)/12)</f>
        <v>0</v>
      </c>
      <c r="R126" s="170">
        <f t="shared" si="2"/>
        <v>0</v>
      </c>
      <c r="S126" s="41">
        <f t="shared" si="5"/>
        <v>119</v>
      </c>
      <c r="T126" s="155">
        <f>IF($S126&lt;'11-Viabilidade'!$C$24,0,$S126-'11-Viabilidade'!$C$24)</f>
        <v>113</v>
      </c>
      <c r="U126" s="11">
        <f>IF(T126&gt;0,'11-Viabilidade'!$K$10,0)*((1+'11-Viabilidade'!$O$10)^(($T126-1)/12))</f>
        <v>4730.2930408339507</v>
      </c>
      <c r="V126" s="11">
        <f>U126*'11-Viabilidade'!$L$12</f>
        <v>262.79405782410834</v>
      </c>
      <c r="W126" s="11">
        <f>U126*'11-Viabilidade'!$K$14</f>
        <v>0</v>
      </c>
      <c r="X126" s="11">
        <f>U126*'11-Viabilidade'!$K$15</f>
        <v>236.51465204169756</v>
      </c>
      <c r="Y126" s="11">
        <f>IF(AND(U126=0,S126=0),0,IF(AND(U126=0,S126&lt;&gt;0),'11-Viabilidade'!$K$16+'11-Viabilidade'!$K$17,('11-Viabilidade'!$L$11)*((1+'11-Viabilidade'!$O$10)^(($C126-1)/12))))</f>
        <v>618.44201607940158</v>
      </c>
      <c r="Z126" s="157">
        <f>IFERROR(VLOOKUP(S126,'12-SAC Viabilidade'!$B$11:$G$430,6,FALSE),0)</f>
        <v>1947.537376873679</v>
      </c>
      <c r="AA126" s="157">
        <f>IFERROR(VLOOKUP(S126,'12-SAC Viabilidade'!$B$11:$H$430,7,FALSE),0)</f>
        <v>172000.00000000009</v>
      </c>
      <c r="AB126" s="132">
        <f>(U126-W126)*'11-Viabilidade'!$O$16</f>
        <v>709.54395612509256</v>
      </c>
      <c r="AC126" s="11">
        <f t="shared" si="3"/>
        <v>955.46098188997166</v>
      </c>
      <c r="AD126" s="156">
        <f t="shared" si="4"/>
        <v>2902.9983587636507</v>
      </c>
      <c r="AE126" s="42"/>
      <c r="AF126" s="42"/>
      <c r="AG126" s="42"/>
      <c r="AH126" s="42"/>
    </row>
    <row r="127" spans="1:34" ht="15.75" customHeight="1">
      <c r="A127" s="158" t="s">
        <v>273</v>
      </c>
      <c r="B127" s="159">
        <f>IF(AND(B126&gt;0,B126&lt;'11-Viabilidade'!$P$14),B126+1,0)</f>
        <v>120</v>
      </c>
      <c r="C127" s="160">
        <f>IF($B127&lt;'11-Viabilidade'!$C$24,0,$B127-'11-Viabilidade'!$C$24)</f>
        <v>114</v>
      </c>
      <c r="D127" s="161">
        <f>IF(C127&gt;0,'11-Viabilidade'!$K$10,0)*((1+'11-Viabilidade'!$O$10)^(($C127-1)/12))</f>
        <v>4749.5648402152374</v>
      </c>
      <c r="E127" s="161">
        <f>D127*'11-Viabilidade'!$L$12</f>
        <v>263.86471334529097</v>
      </c>
      <c r="F127" s="161">
        <f>D127*'11-Viabilidade'!$K$14</f>
        <v>0</v>
      </c>
      <c r="G127" s="161">
        <f>D127*'11-Viabilidade'!$K$15</f>
        <v>237.47824201076187</v>
      </c>
      <c r="H127" s="11">
        <f>IF(D127=0,'11-Viabilidade'!$K$16+'11-Viabilidade'!$K$17,('11-Viabilidade'!$L$11)*((1+'11-Viabilidade'!$O$10)^(($C127-1)/12)))</f>
        <v>620.96162540591797</v>
      </c>
      <c r="I127" s="161">
        <f>'12-SAC Viabilidade'!G130</f>
        <v>1942.9807252000196</v>
      </c>
      <c r="J127" s="161">
        <f>'12-SAC Viabilidade'!H130</f>
        <v>171428.57142857151</v>
      </c>
      <c r="K127" s="162">
        <f>(D127-F127)*'11-Viabilidade'!$O$16</f>
        <v>712.43472603228554</v>
      </c>
      <c r="L127" s="161">
        <f t="shared" si="0"/>
        <v>971.84480822096157</v>
      </c>
      <c r="M127" s="163">
        <f t="shared" si="1"/>
        <v>2914.8255334209812</v>
      </c>
      <c r="N127" s="164"/>
      <c r="O127" s="171"/>
      <c r="P127" s="165">
        <f>IF(B127&lt;='11-Viabilidade'!$G$11,(P126+(P126*'11-Viabilidade'!$H$12)),0)</f>
        <v>0</v>
      </c>
      <c r="Q127" s="165">
        <f>IF(B127='11-Viabilidade'!$G$11,'11-Viabilidade'!$G$16,0)*(1+'11-Viabilidade'!$G$12)^((B127-1)/12)</f>
        <v>0</v>
      </c>
      <c r="R127" s="172">
        <f t="shared" si="2"/>
        <v>0</v>
      </c>
      <c r="S127" s="165">
        <f t="shared" si="5"/>
        <v>120</v>
      </c>
      <c r="T127" s="160">
        <f>IF($S127&lt;'11-Viabilidade'!$C$24,0,$S127-'11-Viabilidade'!$C$24)</f>
        <v>114</v>
      </c>
      <c r="U127" s="161">
        <f>IF(T127&gt;0,'11-Viabilidade'!$K$10,0)*((1+'11-Viabilidade'!$O$10)^(($T127-1)/12))</f>
        <v>4749.5648402152374</v>
      </c>
      <c r="V127" s="161">
        <f>U127*'11-Viabilidade'!$L$12</f>
        <v>263.86471334529097</v>
      </c>
      <c r="W127" s="161">
        <f>U127*'11-Viabilidade'!$K$14</f>
        <v>0</v>
      </c>
      <c r="X127" s="161">
        <f>U127*'11-Viabilidade'!$K$15</f>
        <v>237.47824201076187</v>
      </c>
      <c r="Y127" s="11">
        <f>IF(AND(U127=0,S127=0),0,IF(AND(U127=0,S127&lt;&gt;0),'11-Viabilidade'!$K$16+'11-Viabilidade'!$K$17,('11-Viabilidade'!$L$11)*((1+'11-Viabilidade'!$O$10)^(($C127-1)/12))))</f>
        <v>620.96162540591797</v>
      </c>
      <c r="Z127" s="168">
        <f>IFERROR(VLOOKUP(S127,'12-SAC Viabilidade'!$B$11:$G$430,6,FALSE),0)</f>
        <v>1942.9807252000196</v>
      </c>
      <c r="AA127" s="168">
        <f>IFERROR(VLOOKUP(S127,'12-SAC Viabilidade'!$B$11:$H$430,7,FALSE),0)</f>
        <v>171428.57142857151</v>
      </c>
      <c r="AB127" s="162">
        <f>(U127-W127)*'11-Viabilidade'!$O$16</f>
        <v>712.43472603228554</v>
      </c>
      <c r="AC127" s="161">
        <f t="shared" si="3"/>
        <v>971.84480822096157</v>
      </c>
      <c r="AD127" s="163">
        <f t="shared" si="4"/>
        <v>2914.8255334209812</v>
      </c>
      <c r="AE127" s="173"/>
      <c r="AF127" s="173"/>
      <c r="AG127" s="173"/>
      <c r="AH127" s="173"/>
    </row>
    <row r="128" spans="1:34" ht="15.75" customHeight="1">
      <c r="A128" s="37"/>
      <c r="B128" s="38">
        <f>IF(AND(B127&gt;0,B127&lt;'11-Viabilidade'!$P$14),B127+1,0)</f>
        <v>121</v>
      </c>
      <c r="C128" s="155">
        <f>IF($B128&lt;'11-Viabilidade'!$C$24,0,$B128-'11-Viabilidade'!$C$24)</f>
        <v>115</v>
      </c>
      <c r="D128" s="11">
        <f>IF(C128&gt;0,'11-Viabilidade'!$K$10,0)*((1+'11-Viabilidade'!$O$10)^(($C128-1)/12))</f>
        <v>4768.9151552927387</v>
      </c>
      <c r="E128" s="11">
        <f>D128*'11-Viabilidade'!$L$12</f>
        <v>264.93973084959657</v>
      </c>
      <c r="F128" s="11">
        <f>D128*'11-Viabilidade'!$K$14</f>
        <v>0</v>
      </c>
      <c r="G128" s="11">
        <f>D128*'11-Viabilidade'!$K$15</f>
        <v>238.44575776463694</v>
      </c>
      <c r="H128" s="11">
        <f>IF(D128=0,'11-Viabilidade'!$K$16+'11-Viabilidade'!$K$17,('11-Viabilidade'!$L$11)*((1+'11-Viabilidade'!$O$10)^(($C128-1)/12)))</f>
        <v>623.49149993271726</v>
      </c>
      <c r="I128" s="11">
        <f>'12-SAC Viabilidade'!G131</f>
        <v>1938.4240735263602</v>
      </c>
      <c r="J128" s="11">
        <f>'12-SAC Viabilidade'!H131</f>
        <v>170857.14285714293</v>
      </c>
      <c r="K128" s="132">
        <f>(D128-F128)*'11-Viabilidade'!$O$16</f>
        <v>715.33727329391081</v>
      </c>
      <c r="L128" s="11">
        <f t="shared" si="0"/>
        <v>988.27681992551697</v>
      </c>
      <c r="M128" s="156">
        <f t="shared" si="1"/>
        <v>2926.7008934518772</v>
      </c>
      <c r="N128" s="13"/>
      <c r="O128" s="43"/>
      <c r="P128" s="41">
        <f>IF(B128&lt;='11-Viabilidade'!$G$11,(P127+(P127*'11-Viabilidade'!$H$12)),0)</f>
        <v>0</v>
      </c>
      <c r="Q128" s="41">
        <f>IF(B128='11-Viabilidade'!$G$11,'11-Viabilidade'!$G$16,0)*(1+'11-Viabilidade'!$G$12)^((B128-1)/12)</f>
        <v>0</v>
      </c>
      <c r="R128" s="170">
        <f t="shared" si="2"/>
        <v>0</v>
      </c>
      <c r="S128" s="41">
        <f t="shared" si="5"/>
        <v>121</v>
      </c>
      <c r="T128" s="155">
        <f>IF($S128&lt;'11-Viabilidade'!$C$24,0,$S128-'11-Viabilidade'!$C$24)</f>
        <v>115</v>
      </c>
      <c r="U128" s="11">
        <f>IF(T128&gt;0,'11-Viabilidade'!$K$10,0)*((1+'11-Viabilidade'!$O$10)^(($T128-1)/12))</f>
        <v>4768.9151552927387</v>
      </c>
      <c r="V128" s="11">
        <f>U128*'11-Viabilidade'!$L$12</f>
        <v>264.93973084959657</v>
      </c>
      <c r="W128" s="11">
        <f>U128*'11-Viabilidade'!$K$14</f>
        <v>0</v>
      </c>
      <c r="X128" s="11">
        <f>U128*'11-Viabilidade'!$K$15</f>
        <v>238.44575776463694</v>
      </c>
      <c r="Y128" s="11">
        <f>IF(AND(U128=0,S128=0),0,IF(AND(U128=0,S128&lt;&gt;0),'11-Viabilidade'!$K$16+'11-Viabilidade'!$K$17,('11-Viabilidade'!$L$11)*((1+'11-Viabilidade'!$O$10)^(($C128-1)/12))))</f>
        <v>623.49149993271726</v>
      </c>
      <c r="Z128" s="157">
        <f>IFERROR(VLOOKUP(S128,'12-SAC Viabilidade'!$B$11:$G$430,6,FALSE),0)</f>
        <v>1938.4240735263602</v>
      </c>
      <c r="AA128" s="157">
        <f>IFERROR(VLOOKUP(S128,'12-SAC Viabilidade'!$B$11:$H$430,7,FALSE),0)</f>
        <v>170857.14285714293</v>
      </c>
      <c r="AB128" s="132">
        <f>(U128-W128)*'11-Viabilidade'!$O$16</f>
        <v>715.33727329391081</v>
      </c>
      <c r="AC128" s="11">
        <f t="shared" si="3"/>
        <v>988.27681992551697</v>
      </c>
      <c r="AD128" s="156">
        <f t="shared" si="4"/>
        <v>2926.7008934518772</v>
      </c>
      <c r="AE128" s="42"/>
      <c r="AF128" s="42"/>
      <c r="AG128" s="42"/>
      <c r="AH128" s="42"/>
    </row>
    <row r="129" spans="1:34" ht="15.75" customHeight="1">
      <c r="A129" s="37"/>
      <c r="B129" s="38">
        <f>IF(AND(B128&gt;0,B128&lt;'11-Viabilidade'!$P$14),B128+1,0)</f>
        <v>122</v>
      </c>
      <c r="C129" s="155">
        <f>IF($B129&lt;'11-Viabilidade'!$C$24,0,$B129-'11-Viabilidade'!$C$24)</f>
        <v>116</v>
      </c>
      <c r="D129" s="11">
        <f>IF(C129&gt;0,'11-Viabilidade'!$K$10,0)*((1+'11-Viabilidade'!$O$10)^(($C129-1)/12))</f>
        <v>4788.3443059491174</v>
      </c>
      <c r="E129" s="11">
        <f>D129*'11-Viabilidade'!$L$12</f>
        <v>266.01912810828429</v>
      </c>
      <c r="F129" s="11">
        <f>D129*'11-Viabilidade'!$K$14</f>
        <v>0</v>
      </c>
      <c r="G129" s="11">
        <f>D129*'11-Viabilidade'!$K$15</f>
        <v>239.41721529745587</v>
      </c>
      <c r="H129" s="11">
        <f>IF(D129=0,'11-Viabilidade'!$K$16+'11-Viabilidade'!$K$17,('11-Viabilidade'!$L$11)*((1+'11-Viabilidade'!$O$10)^(($C129-1)/12)))</f>
        <v>626.03168148149564</v>
      </c>
      <c r="I129" s="11">
        <f>'12-SAC Viabilidade'!G132</f>
        <v>1933.8674218527008</v>
      </c>
      <c r="J129" s="11">
        <f>'12-SAC Viabilidade'!H132</f>
        <v>170285.71428571438</v>
      </c>
      <c r="K129" s="132">
        <f>(D129-F129)*'11-Viabilidade'!$O$16</f>
        <v>718.25164589236761</v>
      </c>
      <c r="L129" s="11">
        <f t="shared" si="0"/>
        <v>1004.7572133168132</v>
      </c>
      <c r="M129" s="156">
        <f t="shared" si="1"/>
        <v>2938.624635169514</v>
      </c>
      <c r="N129" s="13"/>
      <c r="O129" s="43"/>
      <c r="P129" s="41">
        <f>IF(B129&lt;='11-Viabilidade'!$G$11,(P128+(P128*'11-Viabilidade'!$H$12)),0)</f>
        <v>0</v>
      </c>
      <c r="Q129" s="41">
        <f>IF(B129='11-Viabilidade'!$G$11,'11-Viabilidade'!$G$16,0)*(1+'11-Viabilidade'!$G$12)^((B129-1)/12)</f>
        <v>0</v>
      </c>
      <c r="R129" s="170">
        <f t="shared" si="2"/>
        <v>0</v>
      </c>
      <c r="S129" s="41">
        <f t="shared" si="5"/>
        <v>122</v>
      </c>
      <c r="T129" s="155">
        <f>IF($S129&lt;'11-Viabilidade'!$C$24,0,$S129-'11-Viabilidade'!$C$24)</f>
        <v>116</v>
      </c>
      <c r="U129" s="11">
        <f>IF(T129&gt;0,'11-Viabilidade'!$K$10,0)*((1+'11-Viabilidade'!$O$10)^(($T129-1)/12))</f>
        <v>4788.3443059491174</v>
      </c>
      <c r="V129" s="11">
        <f>U129*'11-Viabilidade'!$L$12</f>
        <v>266.01912810828429</v>
      </c>
      <c r="W129" s="11">
        <f>U129*'11-Viabilidade'!$K$14</f>
        <v>0</v>
      </c>
      <c r="X129" s="11">
        <f>U129*'11-Viabilidade'!$K$15</f>
        <v>239.41721529745587</v>
      </c>
      <c r="Y129" s="11">
        <f>IF(AND(U129=0,S129=0),0,IF(AND(U129=0,S129&lt;&gt;0),'11-Viabilidade'!$K$16+'11-Viabilidade'!$K$17,('11-Viabilidade'!$L$11)*((1+'11-Viabilidade'!$O$10)^(($C129-1)/12))))</f>
        <v>626.03168148149564</v>
      </c>
      <c r="Z129" s="157">
        <f>IFERROR(VLOOKUP(S129,'12-SAC Viabilidade'!$B$11:$G$430,6,FALSE),0)</f>
        <v>1933.8674218527008</v>
      </c>
      <c r="AA129" s="157">
        <f>IFERROR(VLOOKUP(S129,'12-SAC Viabilidade'!$B$11:$H$430,7,FALSE),0)</f>
        <v>170285.71428571438</v>
      </c>
      <c r="AB129" s="132">
        <f>(U129-W129)*'11-Viabilidade'!$O$16</f>
        <v>718.25164589236761</v>
      </c>
      <c r="AC129" s="11">
        <f t="shared" si="3"/>
        <v>1004.7572133168132</v>
      </c>
      <c r="AD129" s="156">
        <f t="shared" si="4"/>
        <v>2938.624635169514</v>
      </c>
      <c r="AE129" s="42"/>
      <c r="AF129" s="42"/>
      <c r="AG129" s="42"/>
      <c r="AH129" s="42"/>
    </row>
    <row r="130" spans="1:34" ht="15.75" customHeight="1">
      <c r="A130" s="37"/>
      <c r="B130" s="38">
        <f>IF(AND(B129&gt;0,B129&lt;'11-Viabilidade'!$P$14),B129+1,0)</f>
        <v>123</v>
      </c>
      <c r="C130" s="155">
        <f>IF($B130&lt;'11-Viabilidade'!$C$24,0,$B130-'11-Viabilidade'!$C$24)</f>
        <v>117</v>
      </c>
      <c r="D130" s="11">
        <f>IF(C130&gt;0,'11-Viabilidade'!$K$10,0)*((1+'11-Viabilidade'!$O$10)^(($C130-1)/12))</f>
        <v>4807.8526133702817</v>
      </c>
      <c r="E130" s="11">
        <f>D130*'11-Viabilidade'!$L$12</f>
        <v>267.10292296501564</v>
      </c>
      <c r="F130" s="11">
        <f>D130*'11-Viabilidade'!$K$14</f>
        <v>0</v>
      </c>
      <c r="G130" s="11">
        <f>D130*'11-Viabilidade'!$K$15</f>
        <v>240.3926306685141</v>
      </c>
      <c r="H130" s="11">
        <f>IF(D130=0,'11-Viabilidade'!$K$16+'11-Viabilidade'!$K$17,('11-Viabilidade'!$L$11)*((1+'11-Viabilidade'!$O$10)^(($C130-1)/12)))</f>
        <v>628.58221204433676</v>
      </c>
      <c r="I130" s="11">
        <f>'12-SAC Viabilidade'!G133</f>
        <v>1929.3107701790418</v>
      </c>
      <c r="J130" s="11">
        <f>'12-SAC Viabilidade'!H133</f>
        <v>169714.28571428583</v>
      </c>
      <c r="K130" s="132">
        <f>(D130-F130)*'11-Viabilidade'!$O$16</f>
        <v>721.17789200554228</v>
      </c>
      <c r="L130" s="11">
        <f t="shared" si="0"/>
        <v>1021.2861855078313</v>
      </c>
      <c r="M130" s="156">
        <f t="shared" si="1"/>
        <v>2950.5969556868731</v>
      </c>
      <c r="N130" s="13"/>
      <c r="O130" s="43"/>
      <c r="P130" s="41">
        <f>IF(B130&lt;='11-Viabilidade'!$G$11,(P129+(P129*'11-Viabilidade'!$H$12)),0)</f>
        <v>0</v>
      </c>
      <c r="Q130" s="41">
        <f>IF(B130='11-Viabilidade'!$G$11,'11-Viabilidade'!$G$16,0)*(1+'11-Viabilidade'!$G$12)^((B130-1)/12)</f>
        <v>0</v>
      </c>
      <c r="R130" s="170">
        <f t="shared" si="2"/>
        <v>0</v>
      </c>
      <c r="S130" s="41">
        <f t="shared" si="5"/>
        <v>123</v>
      </c>
      <c r="T130" s="155">
        <f>IF($S130&lt;'11-Viabilidade'!$C$24,0,$S130-'11-Viabilidade'!$C$24)</f>
        <v>117</v>
      </c>
      <c r="U130" s="11">
        <f>IF(T130&gt;0,'11-Viabilidade'!$K$10,0)*((1+'11-Viabilidade'!$O$10)^(($T130-1)/12))</f>
        <v>4807.8526133702817</v>
      </c>
      <c r="V130" s="11">
        <f>U130*'11-Viabilidade'!$L$12</f>
        <v>267.10292296501564</v>
      </c>
      <c r="W130" s="11">
        <f>U130*'11-Viabilidade'!$K$14</f>
        <v>0</v>
      </c>
      <c r="X130" s="11">
        <f>U130*'11-Viabilidade'!$K$15</f>
        <v>240.3926306685141</v>
      </c>
      <c r="Y130" s="11">
        <f>IF(AND(U130=0,S130=0),0,IF(AND(U130=0,S130&lt;&gt;0),'11-Viabilidade'!$K$16+'11-Viabilidade'!$K$17,('11-Viabilidade'!$L$11)*((1+'11-Viabilidade'!$O$10)^(($C130-1)/12))))</f>
        <v>628.58221204433676</v>
      </c>
      <c r="Z130" s="157">
        <f>IFERROR(VLOOKUP(S130,'12-SAC Viabilidade'!$B$11:$G$430,6,FALSE),0)</f>
        <v>1929.3107701790418</v>
      </c>
      <c r="AA130" s="157">
        <f>IFERROR(VLOOKUP(S130,'12-SAC Viabilidade'!$B$11:$H$430,7,FALSE),0)</f>
        <v>169714.28571428583</v>
      </c>
      <c r="AB130" s="132">
        <f>(U130-W130)*'11-Viabilidade'!$O$16</f>
        <v>721.17789200554228</v>
      </c>
      <c r="AC130" s="11">
        <f t="shared" si="3"/>
        <v>1021.2861855078313</v>
      </c>
      <c r="AD130" s="156">
        <f t="shared" si="4"/>
        <v>2950.5969556868731</v>
      </c>
      <c r="AE130" s="42"/>
      <c r="AF130" s="42"/>
      <c r="AG130" s="42"/>
      <c r="AH130" s="42"/>
    </row>
    <row r="131" spans="1:34" ht="15.75" customHeight="1">
      <c r="A131" s="37"/>
      <c r="B131" s="38">
        <f>IF(AND(B130&gt;0,B130&lt;'11-Viabilidade'!$P$14),B130+1,0)</f>
        <v>124</v>
      </c>
      <c r="C131" s="155">
        <f>IF($B131&lt;'11-Viabilidade'!$C$24,0,$B131-'11-Viabilidade'!$C$24)</f>
        <v>118</v>
      </c>
      <c r="D131" s="11">
        <f>IF(C131&gt;0,'11-Viabilidade'!$K$10,0)*((1+'11-Viabilidade'!$O$10)^(($C131-1)/12))</f>
        <v>4827.4404000506884</v>
      </c>
      <c r="E131" s="11">
        <f>D131*'11-Viabilidade'!$L$12</f>
        <v>268.19113333614933</v>
      </c>
      <c r="F131" s="11">
        <f>D131*'11-Viabilidade'!$K$14</f>
        <v>0</v>
      </c>
      <c r="G131" s="11">
        <f>D131*'11-Viabilidade'!$K$15</f>
        <v>241.37202000253444</v>
      </c>
      <c r="H131" s="11">
        <f>IF(D131=0,'11-Viabilidade'!$K$16+'11-Viabilidade'!$K$17,('11-Viabilidade'!$L$11)*((1+'11-Viabilidade'!$O$10)^(($C131-1)/12)))</f>
        <v>631.14313378440477</v>
      </c>
      <c r="I131" s="11">
        <f>'12-SAC Viabilidade'!G134</f>
        <v>1924.7541185053828</v>
      </c>
      <c r="J131" s="11">
        <f>'12-SAC Viabilidade'!H134</f>
        <v>169142.85714285728</v>
      </c>
      <c r="K131" s="132">
        <f>(D131-F131)*'11-Viabilidade'!$O$16</f>
        <v>724.11606000760321</v>
      </c>
      <c r="L131" s="11">
        <f t="shared" si="0"/>
        <v>1037.8639344146136</v>
      </c>
      <c r="M131" s="156">
        <f t="shared" si="1"/>
        <v>2962.6180529199964</v>
      </c>
      <c r="N131" s="13"/>
      <c r="O131" s="43"/>
      <c r="P131" s="41">
        <f>IF(B131&lt;='11-Viabilidade'!$G$11,(P130+(P130*'11-Viabilidade'!$H$12)),0)</f>
        <v>0</v>
      </c>
      <c r="Q131" s="41">
        <f>IF(B131='11-Viabilidade'!$G$11,'11-Viabilidade'!$G$16,0)*(1+'11-Viabilidade'!$G$12)^((B131-1)/12)</f>
        <v>0</v>
      </c>
      <c r="R131" s="170">
        <f t="shared" si="2"/>
        <v>0</v>
      </c>
      <c r="S131" s="41">
        <f t="shared" si="5"/>
        <v>124</v>
      </c>
      <c r="T131" s="155">
        <f>IF($S131&lt;'11-Viabilidade'!$C$24,0,$S131-'11-Viabilidade'!$C$24)</f>
        <v>118</v>
      </c>
      <c r="U131" s="11">
        <f>IF(T131&gt;0,'11-Viabilidade'!$K$10,0)*((1+'11-Viabilidade'!$O$10)^(($T131-1)/12))</f>
        <v>4827.4404000506884</v>
      </c>
      <c r="V131" s="11">
        <f>U131*'11-Viabilidade'!$L$12</f>
        <v>268.19113333614933</v>
      </c>
      <c r="W131" s="11">
        <f>U131*'11-Viabilidade'!$K$14</f>
        <v>0</v>
      </c>
      <c r="X131" s="11">
        <f>U131*'11-Viabilidade'!$K$15</f>
        <v>241.37202000253444</v>
      </c>
      <c r="Y131" s="11">
        <f>IF(AND(U131=0,S131=0),0,IF(AND(U131=0,S131&lt;&gt;0),'11-Viabilidade'!$K$16+'11-Viabilidade'!$K$17,('11-Viabilidade'!$L$11)*((1+'11-Viabilidade'!$O$10)^(($C131-1)/12))))</f>
        <v>631.14313378440477</v>
      </c>
      <c r="Z131" s="157">
        <f>IFERROR(VLOOKUP(S131,'12-SAC Viabilidade'!$B$11:$G$430,6,FALSE),0)</f>
        <v>1924.7541185053828</v>
      </c>
      <c r="AA131" s="157">
        <f>IFERROR(VLOOKUP(S131,'12-SAC Viabilidade'!$B$11:$H$430,7,FALSE),0)</f>
        <v>169142.85714285728</v>
      </c>
      <c r="AB131" s="132">
        <f>(U131-W131)*'11-Viabilidade'!$O$16</f>
        <v>724.11606000760321</v>
      </c>
      <c r="AC131" s="11">
        <f t="shared" si="3"/>
        <v>1037.8639344146136</v>
      </c>
      <c r="AD131" s="156">
        <f t="shared" si="4"/>
        <v>2962.6180529199964</v>
      </c>
      <c r="AE131" s="42"/>
      <c r="AF131" s="42"/>
      <c r="AG131" s="42"/>
      <c r="AH131" s="42"/>
    </row>
    <row r="132" spans="1:34" ht="15.75" customHeight="1">
      <c r="A132" s="37"/>
      <c r="B132" s="38">
        <f>IF(AND(B131&gt;0,B131&lt;'11-Viabilidade'!$P$14),B131+1,0)</f>
        <v>125</v>
      </c>
      <c r="C132" s="155">
        <f>IF($B132&lt;'11-Viabilidade'!$C$24,0,$B132-'11-Viabilidade'!$C$24)</f>
        <v>119</v>
      </c>
      <c r="D132" s="11">
        <f>IF(C132&gt;0,'11-Viabilidade'!$K$10,0)*((1+'11-Viabilidade'!$O$10)^(($C132-1)/12))</f>
        <v>4847.1079897986801</v>
      </c>
      <c r="E132" s="11">
        <f>D132*'11-Viabilidade'!$L$12</f>
        <v>269.28377721103777</v>
      </c>
      <c r="F132" s="11">
        <f>D132*'11-Viabilidade'!$K$14</f>
        <v>0</v>
      </c>
      <c r="G132" s="11">
        <f>D132*'11-Viabilidade'!$K$15</f>
        <v>242.35539948993403</v>
      </c>
      <c r="H132" s="11">
        <f>IF(D132=0,'11-Viabilidade'!$K$16+'11-Viabilidade'!$K$17,('11-Viabilidade'!$L$11)*((1+'11-Viabilidade'!$O$10)^(($C132-1)/12)))</f>
        <v>633.71448903664225</v>
      </c>
      <c r="I132" s="11">
        <f>'12-SAC Viabilidade'!G135</f>
        <v>1920.1974668317234</v>
      </c>
      <c r="J132" s="11">
        <f>'12-SAC Viabilidade'!H135</f>
        <v>168571.42857142873</v>
      </c>
      <c r="K132" s="132">
        <f>(D132-F132)*'11-Viabilidade'!$O$16</f>
        <v>727.06619846980198</v>
      </c>
      <c r="L132" s="11">
        <f t="shared" si="0"/>
        <v>1054.4906587595406</v>
      </c>
      <c r="M132" s="156">
        <f t="shared" si="1"/>
        <v>2974.688125591264</v>
      </c>
      <c r="N132" s="13"/>
      <c r="O132" s="43"/>
      <c r="P132" s="41">
        <f>IF(B132&lt;='11-Viabilidade'!$G$11,(P131+(P131*'11-Viabilidade'!$H$12)),0)</f>
        <v>0</v>
      </c>
      <c r="Q132" s="41">
        <f>IF(B132='11-Viabilidade'!$G$11,'11-Viabilidade'!$G$16,0)*(1+'11-Viabilidade'!$G$12)^((B132-1)/12)</f>
        <v>0</v>
      </c>
      <c r="R132" s="170">
        <f t="shared" si="2"/>
        <v>0</v>
      </c>
      <c r="S132" s="41">
        <f t="shared" si="5"/>
        <v>125</v>
      </c>
      <c r="T132" s="155">
        <f>IF($S132&lt;'11-Viabilidade'!$C$24,0,$S132-'11-Viabilidade'!$C$24)</f>
        <v>119</v>
      </c>
      <c r="U132" s="11">
        <f>IF(T132&gt;0,'11-Viabilidade'!$K$10,0)*((1+'11-Viabilidade'!$O$10)^(($T132-1)/12))</f>
        <v>4847.1079897986801</v>
      </c>
      <c r="V132" s="11">
        <f>U132*'11-Viabilidade'!$L$12</f>
        <v>269.28377721103777</v>
      </c>
      <c r="W132" s="11">
        <f>U132*'11-Viabilidade'!$K$14</f>
        <v>0</v>
      </c>
      <c r="X132" s="11">
        <f>U132*'11-Viabilidade'!$K$15</f>
        <v>242.35539948993403</v>
      </c>
      <c r="Y132" s="11">
        <f>IF(AND(U132=0,S132=0),0,IF(AND(U132=0,S132&lt;&gt;0),'11-Viabilidade'!$K$16+'11-Viabilidade'!$K$17,('11-Viabilidade'!$L$11)*((1+'11-Viabilidade'!$O$10)^(($C132-1)/12))))</f>
        <v>633.71448903664225</v>
      </c>
      <c r="Z132" s="157">
        <f>IFERROR(VLOOKUP(S132,'12-SAC Viabilidade'!$B$11:$G$430,6,FALSE),0)</f>
        <v>1920.1974668317234</v>
      </c>
      <c r="AA132" s="157">
        <f>IFERROR(VLOOKUP(S132,'12-SAC Viabilidade'!$B$11:$H$430,7,FALSE),0)</f>
        <v>168571.42857142873</v>
      </c>
      <c r="AB132" s="132">
        <f>(U132-W132)*'11-Viabilidade'!$O$16</f>
        <v>727.06619846980198</v>
      </c>
      <c r="AC132" s="11">
        <f t="shared" si="3"/>
        <v>1054.4906587595406</v>
      </c>
      <c r="AD132" s="156">
        <f t="shared" si="4"/>
        <v>2974.688125591264</v>
      </c>
      <c r="AE132" s="42"/>
      <c r="AF132" s="42"/>
      <c r="AG132" s="42"/>
      <c r="AH132" s="42"/>
    </row>
    <row r="133" spans="1:34" ht="15.75" customHeight="1">
      <c r="A133" s="37"/>
      <c r="B133" s="38">
        <f>IF(AND(B132&gt;0,B132&lt;'11-Viabilidade'!$P$14),B132+1,0)</f>
        <v>126</v>
      </c>
      <c r="C133" s="155">
        <f>IF($B133&lt;'11-Viabilidade'!$C$24,0,$B133-'11-Viabilidade'!$C$24)</f>
        <v>120</v>
      </c>
      <c r="D133" s="11">
        <f>IF(C133&gt;0,'11-Viabilidade'!$K$10,0)*((1+'11-Viabilidade'!$O$10)^(($C133-1)/12))</f>
        <v>4866.85570774183</v>
      </c>
      <c r="E133" s="11">
        <f>D133*'11-Viabilidade'!$L$12</f>
        <v>270.38087265232389</v>
      </c>
      <c r="F133" s="11">
        <f>D133*'11-Viabilidade'!$K$14</f>
        <v>0</v>
      </c>
      <c r="G133" s="11">
        <f>D133*'11-Viabilidade'!$K$15</f>
        <v>243.34278538709151</v>
      </c>
      <c r="H133" s="11">
        <f>IF(D133=0,'11-Viabilidade'!$K$16+'11-Viabilidade'!$K$17,('11-Viabilidade'!$L$11)*((1+'11-Viabilidade'!$O$10)^(($C133-1)/12)))</f>
        <v>636.29632030846881</v>
      </c>
      <c r="I133" s="11">
        <f>'12-SAC Viabilidade'!G136</f>
        <v>1915.6408151580645</v>
      </c>
      <c r="J133" s="11">
        <f>'12-SAC Viabilidade'!H136</f>
        <v>168000.00000000017</v>
      </c>
      <c r="K133" s="132">
        <f>(D133-F133)*'11-Viabilidade'!$O$16</f>
        <v>730.02835616127447</v>
      </c>
      <c r="L133" s="11">
        <f t="shared" si="0"/>
        <v>1071.1665580746067</v>
      </c>
      <c r="M133" s="156">
        <f t="shared" si="1"/>
        <v>2986.8073732326711</v>
      </c>
      <c r="N133" s="13"/>
      <c r="O133" s="43"/>
      <c r="P133" s="41">
        <f>IF(B133&lt;='11-Viabilidade'!$G$11,(P132+(P132*'11-Viabilidade'!$H$12)),0)</f>
        <v>0</v>
      </c>
      <c r="Q133" s="41">
        <f>IF(B133='11-Viabilidade'!$G$11,'11-Viabilidade'!$G$16,0)*(1+'11-Viabilidade'!$G$12)^((B133-1)/12)</f>
        <v>0</v>
      </c>
      <c r="R133" s="170">
        <f t="shared" si="2"/>
        <v>0</v>
      </c>
      <c r="S133" s="41">
        <f t="shared" si="5"/>
        <v>126</v>
      </c>
      <c r="T133" s="155">
        <f>IF($S133&lt;'11-Viabilidade'!$C$24,0,$S133-'11-Viabilidade'!$C$24)</f>
        <v>120</v>
      </c>
      <c r="U133" s="11">
        <f>IF(T133&gt;0,'11-Viabilidade'!$K$10,0)*((1+'11-Viabilidade'!$O$10)^(($T133-1)/12))</f>
        <v>4866.85570774183</v>
      </c>
      <c r="V133" s="11">
        <f>U133*'11-Viabilidade'!$L$12</f>
        <v>270.38087265232389</v>
      </c>
      <c r="W133" s="11">
        <f>U133*'11-Viabilidade'!$K$14</f>
        <v>0</v>
      </c>
      <c r="X133" s="11">
        <f>U133*'11-Viabilidade'!$K$15</f>
        <v>243.34278538709151</v>
      </c>
      <c r="Y133" s="11">
        <f>IF(AND(U133=0,S133=0),0,IF(AND(U133=0,S133&lt;&gt;0),'11-Viabilidade'!$K$16+'11-Viabilidade'!$K$17,('11-Viabilidade'!$L$11)*((1+'11-Viabilidade'!$O$10)^(($C133-1)/12))))</f>
        <v>636.29632030846881</v>
      </c>
      <c r="Z133" s="157">
        <f>IFERROR(VLOOKUP(S133,'12-SAC Viabilidade'!$B$11:$G$430,6,FALSE),0)</f>
        <v>1915.6408151580645</v>
      </c>
      <c r="AA133" s="157">
        <f>IFERROR(VLOOKUP(S133,'12-SAC Viabilidade'!$B$11:$H$430,7,FALSE),0)</f>
        <v>168000.00000000017</v>
      </c>
      <c r="AB133" s="132">
        <f>(U133-W133)*'11-Viabilidade'!$O$16</f>
        <v>730.02835616127447</v>
      </c>
      <c r="AC133" s="11">
        <f t="shared" si="3"/>
        <v>1071.1665580746067</v>
      </c>
      <c r="AD133" s="156">
        <f t="shared" si="4"/>
        <v>2986.8073732326711</v>
      </c>
      <c r="AE133" s="42"/>
      <c r="AF133" s="42"/>
      <c r="AG133" s="42"/>
      <c r="AH133" s="42"/>
    </row>
    <row r="134" spans="1:34" ht="15.75" customHeight="1">
      <c r="A134" s="37"/>
      <c r="B134" s="38">
        <f>IF(AND(B133&gt;0,B133&lt;'11-Viabilidade'!$P$14),B133+1,0)</f>
        <v>127</v>
      </c>
      <c r="C134" s="155">
        <f>IF($B134&lt;'11-Viabilidade'!$C$24,0,$B134-'11-Viabilidade'!$C$24)</f>
        <v>121</v>
      </c>
      <c r="D134" s="11">
        <f>IF(C134&gt;0,'11-Viabilidade'!$K$10,0)*((1+'11-Viabilidade'!$O$10)^(($C134-1)/12))</f>
        <v>4886.6838803323244</v>
      </c>
      <c r="E134" s="11">
        <f>D134*'11-Viabilidade'!$L$12</f>
        <v>271.48243779624022</v>
      </c>
      <c r="F134" s="11">
        <f>D134*'11-Viabilidade'!$K$14</f>
        <v>0</v>
      </c>
      <c r="G134" s="11">
        <f>D134*'11-Viabilidade'!$K$15</f>
        <v>244.33419401661624</v>
      </c>
      <c r="H134" s="11">
        <f>IF(D134=0,'11-Viabilidade'!$K$16+'11-Viabilidade'!$K$17,('11-Viabilidade'!$L$11)*((1+'11-Viabilidade'!$O$10)^(($C134-1)/12)))</f>
        <v>638.88867028048537</v>
      </c>
      <c r="I134" s="11">
        <f>'12-SAC Viabilidade'!G137</f>
        <v>1911.0841634844051</v>
      </c>
      <c r="J134" s="11">
        <f>'12-SAC Viabilidade'!H137</f>
        <v>167428.57142857162</v>
      </c>
      <c r="K134" s="132">
        <f>(D134-F134)*'11-Viabilidade'!$O$16</f>
        <v>733.00258204984868</v>
      </c>
      <c r="L134" s="11">
        <f t="shared" si="0"/>
        <v>1087.891832704729</v>
      </c>
      <c r="M134" s="156">
        <f t="shared" si="1"/>
        <v>2998.9759961891341</v>
      </c>
      <c r="N134" s="13"/>
      <c r="O134" s="43"/>
      <c r="P134" s="41">
        <f>IF(B134&lt;='11-Viabilidade'!$G$11,(P133+(P133*'11-Viabilidade'!$H$12)),0)</f>
        <v>0</v>
      </c>
      <c r="Q134" s="41">
        <f>IF(B134='11-Viabilidade'!$G$11,'11-Viabilidade'!$G$16,0)*(1+'11-Viabilidade'!$G$12)^((B134-1)/12)</f>
        <v>0</v>
      </c>
      <c r="R134" s="170">
        <f t="shared" si="2"/>
        <v>0</v>
      </c>
      <c r="S134" s="41">
        <f t="shared" si="5"/>
        <v>127</v>
      </c>
      <c r="T134" s="155">
        <f>IF($S134&lt;'11-Viabilidade'!$C$24,0,$S134-'11-Viabilidade'!$C$24)</f>
        <v>121</v>
      </c>
      <c r="U134" s="11">
        <f>IF(T134&gt;0,'11-Viabilidade'!$K$10,0)*((1+'11-Viabilidade'!$O$10)^(($T134-1)/12))</f>
        <v>4886.6838803323244</v>
      </c>
      <c r="V134" s="11">
        <f>U134*'11-Viabilidade'!$L$12</f>
        <v>271.48243779624022</v>
      </c>
      <c r="W134" s="11">
        <f>U134*'11-Viabilidade'!$K$14</f>
        <v>0</v>
      </c>
      <c r="X134" s="11">
        <f>U134*'11-Viabilidade'!$K$15</f>
        <v>244.33419401661624</v>
      </c>
      <c r="Y134" s="11">
        <f>IF(AND(U134=0,S134=0),0,IF(AND(U134=0,S134&lt;&gt;0),'11-Viabilidade'!$K$16+'11-Viabilidade'!$K$17,('11-Viabilidade'!$L$11)*((1+'11-Viabilidade'!$O$10)^(($C134-1)/12))))</f>
        <v>638.88867028048537</v>
      </c>
      <c r="Z134" s="157">
        <f>IFERROR(VLOOKUP(S134,'12-SAC Viabilidade'!$B$11:$G$430,6,FALSE),0)</f>
        <v>1911.0841634844051</v>
      </c>
      <c r="AA134" s="157">
        <f>IFERROR(VLOOKUP(S134,'12-SAC Viabilidade'!$B$11:$H$430,7,FALSE),0)</f>
        <v>167428.57142857162</v>
      </c>
      <c r="AB134" s="132">
        <f>(U134-W134)*'11-Viabilidade'!$O$16</f>
        <v>733.00258204984868</v>
      </c>
      <c r="AC134" s="11">
        <f t="shared" si="3"/>
        <v>1087.891832704729</v>
      </c>
      <c r="AD134" s="156">
        <f t="shared" si="4"/>
        <v>2998.9759961891341</v>
      </c>
      <c r="AE134" s="42"/>
      <c r="AF134" s="42"/>
      <c r="AG134" s="42"/>
      <c r="AH134" s="42"/>
    </row>
    <row r="135" spans="1:34" ht="15.75" customHeight="1">
      <c r="A135" s="37"/>
      <c r="B135" s="38">
        <f>IF(AND(B134&gt;0,B134&lt;'11-Viabilidade'!$P$14),B134+1,0)</f>
        <v>128</v>
      </c>
      <c r="C135" s="155">
        <f>IF($B135&lt;'11-Viabilidade'!$C$24,0,$B135-'11-Viabilidade'!$C$24)</f>
        <v>122</v>
      </c>
      <c r="D135" s="11">
        <f>IF(C135&gt;0,'11-Viabilidade'!$K$10,0)*((1+'11-Viabilidade'!$O$10)^(($C135-1)/12))</f>
        <v>4906.5928353523595</v>
      </c>
      <c r="E135" s="11">
        <f>D135*'11-Viabilidade'!$L$12</f>
        <v>272.58849085290888</v>
      </c>
      <c r="F135" s="11">
        <f>D135*'11-Viabilidade'!$K$14</f>
        <v>0</v>
      </c>
      <c r="G135" s="11">
        <f>D135*'11-Viabilidade'!$K$15</f>
        <v>245.329641767618</v>
      </c>
      <c r="H135" s="11">
        <f>IF(D135=0,'11-Viabilidade'!$K$16+'11-Viabilidade'!$K$17,('11-Viabilidade'!$L$11)*((1+'11-Viabilidade'!$O$10)^(($C135-1)/12)))</f>
        <v>641.4915818071787</v>
      </c>
      <c r="I135" s="11">
        <f>'12-SAC Viabilidade'!G138</f>
        <v>1906.5275118107461</v>
      </c>
      <c r="J135" s="11">
        <f>'12-SAC Viabilidade'!H138</f>
        <v>166857.14285714307</v>
      </c>
      <c r="K135" s="132">
        <f>(D135-F135)*'11-Viabilidade'!$O$16</f>
        <v>735.98892530285389</v>
      </c>
      <c r="L135" s="11">
        <f t="shared" si="0"/>
        <v>1104.6666838110541</v>
      </c>
      <c r="M135" s="156">
        <f t="shared" si="1"/>
        <v>3011.1941956217997</v>
      </c>
      <c r="N135" s="13"/>
      <c r="O135" s="43"/>
      <c r="P135" s="41">
        <f>IF(B135&lt;='11-Viabilidade'!$G$11,(P134+(P134*'11-Viabilidade'!$H$12)),0)</f>
        <v>0</v>
      </c>
      <c r="Q135" s="41">
        <f>IF(B135='11-Viabilidade'!$G$11,'11-Viabilidade'!$G$16,0)*(1+'11-Viabilidade'!$G$12)^((B135-1)/12)</f>
        <v>0</v>
      </c>
      <c r="R135" s="170">
        <f t="shared" si="2"/>
        <v>0</v>
      </c>
      <c r="S135" s="41">
        <f t="shared" si="5"/>
        <v>128</v>
      </c>
      <c r="T135" s="155">
        <f>IF($S135&lt;'11-Viabilidade'!$C$24,0,$S135-'11-Viabilidade'!$C$24)</f>
        <v>122</v>
      </c>
      <c r="U135" s="11">
        <f>IF(T135&gt;0,'11-Viabilidade'!$K$10,0)*((1+'11-Viabilidade'!$O$10)^(($T135-1)/12))</f>
        <v>4906.5928353523595</v>
      </c>
      <c r="V135" s="11">
        <f>U135*'11-Viabilidade'!$L$12</f>
        <v>272.58849085290888</v>
      </c>
      <c r="W135" s="11">
        <f>U135*'11-Viabilidade'!$K$14</f>
        <v>0</v>
      </c>
      <c r="X135" s="11">
        <f>U135*'11-Viabilidade'!$K$15</f>
        <v>245.329641767618</v>
      </c>
      <c r="Y135" s="11">
        <f>IF(AND(U135=0,S135=0),0,IF(AND(U135=0,S135&lt;&gt;0),'11-Viabilidade'!$K$16+'11-Viabilidade'!$K$17,('11-Viabilidade'!$L$11)*((1+'11-Viabilidade'!$O$10)^(($C135-1)/12))))</f>
        <v>641.4915818071787</v>
      </c>
      <c r="Z135" s="157">
        <f>IFERROR(VLOOKUP(S135,'12-SAC Viabilidade'!$B$11:$G$430,6,FALSE),0)</f>
        <v>1906.5275118107461</v>
      </c>
      <c r="AA135" s="157">
        <f>IFERROR(VLOOKUP(S135,'12-SAC Viabilidade'!$B$11:$H$430,7,FALSE),0)</f>
        <v>166857.14285714307</v>
      </c>
      <c r="AB135" s="132">
        <f>(U135-W135)*'11-Viabilidade'!$O$16</f>
        <v>735.98892530285389</v>
      </c>
      <c r="AC135" s="11">
        <f t="shared" si="3"/>
        <v>1104.6666838110541</v>
      </c>
      <c r="AD135" s="156">
        <f t="shared" si="4"/>
        <v>3011.1941956217997</v>
      </c>
      <c r="AE135" s="42"/>
      <c r="AF135" s="42"/>
      <c r="AG135" s="42"/>
      <c r="AH135" s="42"/>
    </row>
    <row r="136" spans="1:34" ht="15.75" customHeight="1">
      <c r="A136" s="37"/>
      <c r="B136" s="38">
        <f>IF(AND(B135&gt;0,B135&lt;'11-Viabilidade'!$P$14),B135+1,0)</f>
        <v>129</v>
      </c>
      <c r="C136" s="155">
        <f>IF($B136&lt;'11-Viabilidade'!$C$24,0,$B136-'11-Viabilidade'!$C$24)</f>
        <v>123</v>
      </c>
      <c r="D136" s="11">
        <f>IF(C136&gt;0,'11-Viabilidade'!$K$10,0)*((1+'11-Viabilidade'!$O$10)^(($C136-1)/12))</f>
        <v>4926.5829019195462</v>
      </c>
      <c r="E136" s="11">
        <f>D136*'11-Viabilidade'!$L$12</f>
        <v>273.69905010664144</v>
      </c>
      <c r="F136" s="11">
        <f>D136*'11-Viabilidade'!$K$14</f>
        <v>0</v>
      </c>
      <c r="G136" s="11">
        <f>D136*'11-Viabilidade'!$K$15</f>
        <v>246.32914509597731</v>
      </c>
      <c r="H136" s="11">
        <f>IF(D136=0,'11-Viabilidade'!$K$16+'11-Viabilidade'!$K$17,('11-Viabilidade'!$L$11)*((1+'11-Viabilidade'!$O$10)^(($C136-1)/12)))</f>
        <v>644.10509791762945</v>
      </c>
      <c r="I136" s="11">
        <f>'12-SAC Viabilidade'!G139</f>
        <v>1901.9708601370871</v>
      </c>
      <c r="J136" s="11">
        <f>'12-SAC Viabilidade'!H139</f>
        <v>166285.71428571452</v>
      </c>
      <c r="K136" s="132">
        <f>(D136-F136)*'11-Viabilidade'!$O$16</f>
        <v>738.98743528793193</v>
      </c>
      <c r="L136" s="11">
        <f t="shared" si="0"/>
        <v>1121.4913133742789</v>
      </c>
      <c r="M136" s="156">
        <f t="shared" si="1"/>
        <v>3023.462173511366</v>
      </c>
      <c r="N136" s="13"/>
      <c r="O136" s="43"/>
      <c r="P136" s="41">
        <f>IF(B136&lt;='11-Viabilidade'!$G$11,(P135+(P135*'11-Viabilidade'!$H$12)),0)</f>
        <v>0</v>
      </c>
      <c r="Q136" s="41">
        <f>IF(B136='11-Viabilidade'!$G$11,'11-Viabilidade'!$G$16,0)*(1+'11-Viabilidade'!$G$12)^((B136-1)/12)</f>
        <v>0</v>
      </c>
      <c r="R136" s="170">
        <f t="shared" si="2"/>
        <v>0</v>
      </c>
      <c r="S136" s="41">
        <f t="shared" si="5"/>
        <v>129</v>
      </c>
      <c r="T136" s="155">
        <f>IF($S136&lt;'11-Viabilidade'!$C$24,0,$S136-'11-Viabilidade'!$C$24)</f>
        <v>123</v>
      </c>
      <c r="U136" s="11">
        <f>IF(T136&gt;0,'11-Viabilidade'!$K$10,0)*((1+'11-Viabilidade'!$O$10)^(($T136-1)/12))</f>
        <v>4926.5829019195462</v>
      </c>
      <c r="V136" s="11">
        <f>U136*'11-Viabilidade'!$L$12</f>
        <v>273.69905010664144</v>
      </c>
      <c r="W136" s="11">
        <f>U136*'11-Viabilidade'!$K$14</f>
        <v>0</v>
      </c>
      <c r="X136" s="11">
        <f>U136*'11-Viabilidade'!$K$15</f>
        <v>246.32914509597731</v>
      </c>
      <c r="Y136" s="11">
        <f>IF(AND(U136=0,S136=0),0,IF(AND(U136=0,S136&lt;&gt;0),'11-Viabilidade'!$K$16+'11-Viabilidade'!$K$17,('11-Viabilidade'!$L$11)*((1+'11-Viabilidade'!$O$10)^(($C136-1)/12))))</f>
        <v>644.10509791762945</v>
      </c>
      <c r="Z136" s="157">
        <f>IFERROR(VLOOKUP(S136,'12-SAC Viabilidade'!$B$11:$G$430,6,FALSE),0)</f>
        <v>1901.9708601370871</v>
      </c>
      <c r="AA136" s="157">
        <f>IFERROR(VLOOKUP(S136,'12-SAC Viabilidade'!$B$11:$H$430,7,FALSE),0)</f>
        <v>166285.71428571452</v>
      </c>
      <c r="AB136" s="132">
        <f>(U136-W136)*'11-Viabilidade'!$O$16</f>
        <v>738.98743528793193</v>
      </c>
      <c r="AC136" s="11">
        <f t="shared" si="3"/>
        <v>1121.4913133742789</v>
      </c>
      <c r="AD136" s="156">
        <f t="shared" si="4"/>
        <v>3023.462173511366</v>
      </c>
      <c r="AE136" s="42"/>
      <c r="AF136" s="42"/>
      <c r="AG136" s="42"/>
      <c r="AH136" s="42"/>
    </row>
    <row r="137" spans="1:34" ht="15.75" customHeight="1">
      <c r="A137" s="37"/>
      <c r="B137" s="38">
        <f>IF(AND(B136&gt;0,B136&lt;'11-Viabilidade'!$P$14),B136+1,0)</f>
        <v>130</v>
      </c>
      <c r="C137" s="155">
        <f>IF($B137&lt;'11-Viabilidade'!$C$24,0,$B137-'11-Viabilidade'!$C$24)</f>
        <v>124</v>
      </c>
      <c r="D137" s="11">
        <f>IF(C137&gt;0,'11-Viabilidade'!$K$10,0)*((1+'11-Viabilidade'!$O$10)^(($C137-1)/12))</f>
        <v>4946.6544104923723</v>
      </c>
      <c r="E137" s="11">
        <f>D137*'11-Viabilidade'!$L$12</f>
        <v>274.81413391624289</v>
      </c>
      <c r="F137" s="11">
        <f>D137*'11-Viabilidade'!$K$14</f>
        <v>0</v>
      </c>
      <c r="G137" s="11">
        <f>D137*'11-Viabilidade'!$K$15</f>
        <v>247.33272052461862</v>
      </c>
      <c r="H137" s="11">
        <f>IF(D137=0,'11-Viabilidade'!$K$16+'11-Viabilidade'!$K$17,('11-Viabilidade'!$L$11)*((1+'11-Viabilidade'!$O$10)^(($C137-1)/12)))</f>
        <v>646.72926181622495</v>
      </c>
      <c r="I137" s="11">
        <f>'12-SAC Viabilidade'!G140</f>
        <v>1897.4142084634277</v>
      </c>
      <c r="J137" s="11">
        <f>'12-SAC Viabilidade'!H140</f>
        <v>165714.28571428594</v>
      </c>
      <c r="K137" s="132">
        <f>(D137-F137)*'11-Viabilidade'!$O$16</f>
        <v>741.99816157385578</v>
      </c>
      <c r="L137" s="11">
        <f t="shared" si="0"/>
        <v>1138.3659241980026</v>
      </c>
      <c r="M137" s="156">
        <f t="shared" si="1"/>
        <v>3035.7801326614303</v>
      </c>
      <c r="N137" s="13"/>
      <c r="O137" s="43"/>
      <c r="P137" s="41">
        <f>IF(B137&lt;='11-Viabilidade'!$G$11,(P136+(P136*'11-Viabilidade'!$H$12)),0)</f>
        <v>0</v>
      </c>
      <c r="Q137" s="41">
        <f>IF(B137='11-Viabilidade'!$G$11,'11-Viabilidade'!$G$16,0)*(1+'11-Viabilidade'!$G$12)^((B137-1)/12)</f>
        <v>0</v>
      </c>
      <c r="R137" s="170">
        <f t="shared" si="2"/>
        <v>0</v>
      </c>
      <c r="S137" s="41">
        <f t="shared" si="5"/>
        <v>130</v>
      </c>
      <c r="T137" s="155">
        <f>IF($S137&lt;'11-Viabilidade'!$C$24,0,$S137-'11-Viabilidade'!$C$24)</f>
        <v>124</v>
      </c>
      <c r="U137" s="11">
        <f>IF(T137&gt;0,'11-Viabilidade'!$K$10,0)*((1+'11-Viabilidade'!$O$10)^(($T137-1)/12))</f>
        <v>4946.6544104923723</v>
      </c>
      <c r="V137" s="11">
        <f>U137*'11-Viabilidade'!$L$12</f>
        <v>274.81413391624289</v>
      </c>
      <c r="W137" s="11">
        <f>U137*'11-Viabilidade'!$K$14</f>
        <v>0</v>
      </c>
      <c r="X137" s="11">
        <f>U137*'11-Viabilidade'!$K$15</f>
        <v>247.33272052461862</v>
      </c>
      <c r="Y137" s="11">
        <f>IF(AND(U137=0,S137=0),0,IF(AND(U137=0,S137&lt;&gt;0),'11-Viabilidade'!$K$16+'11-Viabilidade'!$K$17,('11-Viabilidade'!$L$11)*((1+'11-Viabilidade'!$O$10)^(($C137-1)/12))))</f>
        <v>646.72926181622495</v>
      </c>
      <c r="Z137" s="157">
        <f>IFERROR(VLOOKUP(S137,'12-SAC Viabilidade'!$B$11:$G$430,6,FALSE),0)</f>
        <v>1897.4142084634277</v>
      </c>
      <c r="AA137" s="157">
        <f>IFERROR(VLOOKUP(S137,'12-SAC Viabilidade'!$B$11:$H$430,7,FALSE),0)</f>
        <v>165714.28571428594</v>
      </c>
      <c r="AB137" s="132">
        <f>(U137-W137)*'11-Viabilidade'!$O$16</f>
        <v>741.99816157385578</v>
      </c>
      <c r="AC137" s="11">
        <f t="shared" si="3"/>
        <v>1138.3659241980026</v>
      </c>
      <c r="AD137" s="156">
        <f t="shared" si="4"/>
        <v>3035.7801326614303</v>
      </c>
      <c r="AE137" s="42"/>
      <c r="AF137" s="42"/>
      <c r="AG137" s="42"/>
      <c r="AH137" s="42"/>
    </row>
    <row r="138" spans="1:34" ht="15.75" customHeight="1">
      <c r="A138" s="37"/>
      <c r="B138" s="38">
        <f>IF(AND(B137&gt;0,B137&lt;'11-Viabilidade'!$P$14),B137+1,0)</f>
        <v>131</v>
      </c>
      <c r="C138" s="155">
        <f>IF($B138&lt;'11-Viabilidade'!$C$24,0,$B138-'11-Viabilidade'!$C$24)</f>
        <v>125</v>
      </c>
      <c r="D138" s="11">
        <f>IF(C138&gt;0,'11-Viabilidade'!$K$10,0)*((1+'11-Viabilidade'!$O$10)^(($C138-1)/12))</f>
        <v>4966.8076928756482</v>
      </c>
      <c r="E138" s="11">
        <f>D138*'11-Viabilidade'!$L$12</f>
        <v>275.93376071531378</v>
      </c>
      <c r="F138" s="11">
        <f>D138*'11-Viabilidade'!$K$14</f>
        <v>0</v>
      </c>
      <c r="G138" s="11">
        <f>D138*'11-Viabilidade'!$K$15</f>
        <v>248.34038464378241</v>
      </c>
      <c r="H138" s="11">
        <f>IF(D138=0,'11-Viabilidade'!$K$16+'11-Viabilidade'!$K$17,('11-Viabilidade'!$L$11)*((1+'11-Viabilidade'!$O$10)^(($C138-1)/12)))</f>
        <v>649.36411688337171</v>
      </c>
      <c r="I138" s="11">
        <f>'12-SAC Viabilidade'!G141</f>
        <v>1892.8575567897683</v>
      </c>
      <c r="J138" s="11">
        <f>'12-SAC Viabilidade'!H141</f>
        <v>165142.85714285736</v>
      </c>
      <c r="K138" s="132">
        <f>(D138-F138)*'11-Viabilidade'!$O$16</f>
        <v>745.02115393134716</v>
      </c>
      <c r="L138" s="11">
        <f t="shared" si="0"/>
        <v>1155.2907199120646</v>
      </c>
      <c r="M138" s="156">
        <f t="shared" si="1"/>
        <v>3048.1482767018329</v>
      </c>
      <c r="N138" s="13"/>
      <c r="O138" s="43"/>
      <c r="P138" s="41">
        <f>IF(B138&lt;='11-Viabilidade'!$G$11,(P137+(P137*'11-Viabilidade'!$H$12)),0)</f>
        <v>0</v>
      </c>
      <c r="Q138" s="41">
        <f>IF(B138='11-Viabilidade'!$G$11,'11-Viabilidade'!$G$16,0)*(1+'11-Viabilidade'!$G$12)^((B138-1)/12)</f>
        <v>0</v>
      </c>
      <c r="R138" s="170">
        <f t="shared" si="2"/>
        <v>0</v>
      </c>
      <c r="S138" s="41">
        <f t="shared" si="5"/>
        <v>131</v>
      </c>
      <c r="T138" s="155">
        <f>IF($S138&lt;'11-Viabilidade'!$C$24,0,$S138-'11-Viabilidade'!$C$24)</f>
        <v>125</v>
      </c>
      <c r="U138" s="11">
        <f>IF(T138&gt;0,'11-Viabilidade'!$K$10,0)*((1+'11-Viabilidade'!$O$10)^(($T138-1)/12))</f>
        <v>4966.8076928756482</v>
      </c>
      <c r="V138" s="11">
        <f>U138*'11-Viabilidade'!$L$12</f>
        <v>275.93376071531378</v>
      </c>
      <c r="W138" s="11">
        <f>U138*'11-Viabilidade'!$K$14</f>
        <v>0</v>
      </c>
      <c r="X138" s="11">
        <f>U138*'11-Viabilidade'!$K$15</f>
        <v>248.34038464378241</v>
      </c>
      <c r="Y138" s="11">
        <f>IF(AND(U138=0,S138=0),0,IF(AND(U138=0,S138&lt;&gt;0),'11-Viabilidade'!$K$16+'11-Viabilidade'!$K$17,('11-Viabilidade'!$L$11)*((1+'11-Viabilidade'!$O$10)^(($C138-1)/12))))</f>
        <v>649.36411688337171</v>
      </c>
      <c r="Z138" s="157">
        <f>IFERROR(VLOOKUP(S138,'12-SAC Viabilidade'!$B$11:$G$430,6,FALSE),0)</f>
        <v>1892.8575567897683</v>
      </c>
      <c r="AA138" s="157">
        <f>IFERROR(VLOOKUP(S138,'12-SAC Viabilidade'!$B$11:$H$430,7,FALSE),0)</f>
        <v>165142.85714285736</v>
      </c>
      <c r="AB138" s="132">
        <f>(U138-W138)*'11-Viabilidade'!$O$16</f>
        <v>745.02115393134716</v>
      </c>
      <c r="AC138" s="11">
        <f t="shared" si="3"/>
        <v>1155.2907199120646</v>
      </c>
      <c r="AD138" s="156">
        <f t="shared" si="4"/>
        <v>3048.1482767018329</v>
      </c>
      <c r="AE138" s="42"/>
      <c r="AF138" s="42"/>
      <c r="AG138" s="42"/>
      <c r="AH138" s="42"/>
    </row>
    <row r="139" spans="1:34" ht="15.75" customHeight="1">
      <c r="A139" s="158" t="s">
        <v>243</v>
      </c>
      <c r="B139" s="159">
        <f>IF(AND(B138&gt;0,B138&lt;'11-Viabilidade'!$P$14),B138+1,0)</f>
        <v>132</v>
      </c>
      <c r="C139" s="160">
        <f>IF($B139&lt;'11-Viabilidade'!$C$24,0,$B139-'11-Viabilidade'!$C$24)</f>
        <v>126</v>
      </c>
      <c r="D139" s="161">
        <f>IF(C139&gt;0,'11-Viabilidade'!$K$10,0)*((1+'11-Viabilidade'!$O$10)^(($C139-1)/12))</f>
        <v>4987.0430822259996</v>
      </c>
      <c r="E139" s="161">
        <f>D139*'11-Viabilidade'!$L$12</f>
        <v>277.05794901255553</v>
      </c>
      <c r="F139" s="161">
        <f>D139*'11-Viabilidade'!$K$14</f>
        <v>0</v>
      </c>
      <c r="G139" s="161">
        <f>D139*'11-Viabilidade'!$K$15</f>
        <v>249.3521541113</v>
      </c>
      <c r="H139" s="11">
        <f>IF(D139=0,'11-Viabilidade'!$K$16+'11-Viabilidade'!$K$17,('11-Viabilidade'!$L$11)*((1+'11-Viabilidade'!$O$10)^(($C139-1)/12)))</f>
        <v>652.00970667621391</v>
      </c>
      <c r="I139" s="161">
        <f>'12-SAC Viabilidade'!G142</f>
        <v>1888.3009051161093</v>
      </c>
      <c r="J139" s="161">
        <f>'12-SAC Viabilidade'!H142</f>
        <v>164571.42857142878</v>
      </c>
      <c r="K139" s="162">
        <f>(D139-F139)*'11-Viabilidade'!$O$16</f>
        <v>748.05646233389996</v>
      </c>
      <c r="L139" s="161">
        <f t="shared" si="0"/>
        <v>1172.2659049759209</v>
      </c>
      <c r="M139" s="163">
        <f t="shared" si="1"/>
        <v>3060.5668100920302</v>
      </c>
      <c r="N139" s="164"/>
      <c r="O139" s="171"/>
      <c r="P139" s="165">
        <f>IF(B139&lt;='11-Viabilidade'!$G$11,(P138+(P138*'11-Viabilidade'!$H$12)),0)</f>
        <v>0</v>
      </c>
      <c r="Q139" s="165">
        <f>IF(B139='11-Viabilidade'!$G$11,'11-Viabilidade'!$G$16,0)*(1+'11-Viabilidade'!$G$12)^((B139-1)/12)</f>
        <v>0</v>
      </c>
      <c r="R139" s="172">
        <f t="shared" si="2"/>
        <v>0</v>
      </c>
      <c r="S139" s="165">
        <f t="shared" si="5"/>
        <v>132</v>
      </c>
      <c r="T139" s="160">
        <f>IF($S139&lt;'11-Viabilidade'!$C$24,0,$S139-'11-Viabilidade'!$C$24)</f>
        <v>126</v>
      </c>
      <c r="U139" s="161">
        <f>IF(T139&gt;0,'11-Viabilidade'!$K$10,0)*((1+'11-Viabilidade'!$O$10)^(($T139-1)/12))</f>
        <v>4987.0430822259996</v>
      </c>
      <c r="V139" s="161">
        <f>U139*'11-Viabilidade'!$L$12</f>
        <v>277.05794901255553</v>
      </c>
      <c r="W139" s="161">
        <f>U139*'11-Viabilidade'!$K$14</f>
        <v>0</v>
      </c>
      <c r="X139" s="161">
        <f>U139*'11-Viabilidade'!$K$15</f>
        <v>249.3521541113</v>
      </c>
      <c r="Y139" s="11">
        <f>IF(AND(U139=0,S139=0),0,IF(AND(U139=0,S139&lt;&gt;0),'11-Viabilidade'!$K$16+'11-Viabilidade'!$K$17,('11-Viabilidade'!$L$11)*((1+'11-Viabilidade'!$O$10)^(($C139-1)/12))))</f>
        <v>652.00970667621391</v>
      </c>
      <c r="Z139" s="168">
        <f>IFERROR(VLOOKUP(S139,'12-SAC Viabilidade'!$B$11:$G$430,6,FALSE),0)</f>
        <v>1888.3009051161093</v>
      </c>
      <c r="AA139" s="168">
        <f>IFERROR(VLOOKUP(S139,'12-SAC Viabilidade'!$B$11:$H$430,7,FALSE),0)</f>
        <v>164571.42857142878</v>
      </c>
      <c r="AB139" s="162">
        <f>(U139-W139)*'11-Viabilidade'!$O$16</f>
        <v>748.05646233389996</v>
      </c>
      <c r="AC139" s="161">
        <f t="shared" si="3"/>
        <v>1172.2659049759209</v>
      </c>
      <c r="AD139" s="163">
        <f t="shared" si="4"/>
        <v>3060.5668100920302</v>
      </c>
      <c r="AE139" s="173"/>
      <c r="AF139" s="173"/>
      <c r="AG139" s="173"/>
      <c r="AH139" s="173"/>
    </row>
    <row r="140" spans="1:34" ht="15.75" customHeight="1">
      <c r="A140" s="37"/>
      <c r="B140" s="38">
        <f>IF(AND(B139&gt;0,B139&lt;'11-Viabilidade'!$P$14),B139+1,0)</f>
        <v>133</v>
      </c>
      <c r="C140" s="155">
        <f>IF($B140&lt;'11-Viabilidade'!$C$24,0,$B140-'11-Viabilidade'!$C$24)</f>
        <v>127</v>
      </c>
      <c r="D140" s="11">
        <f>IF(C140&gt;0,'11-Viabilidade'!$K$10,0)*((1+'11-Viabilidade'!$O$10)^(($C140-1)/12))</f>
        <v>5007.3609130573759</v>
      </c>
      <c r="E140" s="11">
        <f>D140*'11-Viabilidade'!$L$12</f>
        <v>278.18671739207645</v>
      </c>
      <c r="F140" s="11">
        <f>D140*'11-Viabilidade'!$K$14</f>
        <v>0</v>
      </c>
      <c r="G140" s="11">
        <f>D140*'11-Viabilidade'!$K$15</f>
        <v>250.3680456528688</v>
      </c>
      <c r="H140" s="11">
        <f>IF(D140=0,'11-Viabilidade'!$K$16+'11-Viabilidade'!$K$17,('11-Viabilidade'!$L$11)*((1+'11-Viabilidade'!$O$10)^(($C140-1)/12)))</f>
        <v>654.66607492935316</v>
      </c>
      <c r="I140" s="11">
        <f>'12-SAC Viabilidade'!G143</f>
        <v>1883.7442534424499</v>
      </c>
      <c r="J140" s="11">
        <f>'12-SAC Viabilidade'!H143</f>
        <v>164000.0000000002</v>
      </c>
      <c r="K140" s="132">
        <f>(D140-F140)*'11-Viabilidade'!$O$16</f>
        <v>751.10413695860632</v>
      </c>
      <c r="L140" s="11">
        <f t="shared" si="0"/>
        <v>1189.2916846820212</v>
      </c>
      <c r="M140" s="156">
        <f t="shared" si="1"/>
        <v>3073.0359381244712</v>
      </c>
      <c r="N140" s="13"/>
      <c r="O140" s="43"/>
      <c r="P140" s="41">
        <f>IF(B140&lt;='11-Viabilidade'!$G$11,(P139+(P139*'11-Viabilidade'!$H$12)),0)</f>
        <v>0</v>
      </c>
      <c r="Q140" s="41">
        <f>IF(B140='11-Viabilidade'!$G$11,'11-Viabilidade'!$G$16,0)*(1+'11-Viabilidade'!$G$12)^((B140-1)/12)</f>
        <v>0</v>
      </c>
      <c r="R140" s="170">
        <f t="shared" si="2"/>
        <v>0</v>
      </c>
      <c r="S140" s="41">
        <f t="shared" si="5"/>
        <v>133</v>
      </c>
      <c r="T140" s="155">
        <f>IF($S140&lt;'11-Viabilidade'!$C$24,0,$S140-'11-Viabilidade'!$C$24)</f>
        <v>127</v>
      </c>
      <c r="U140" s="11">
        <f>IF(T140&gt;0,'11-Viabilidade'!$K$10,0)*((1+'11-Viabilidade'!$O$10)^(($T140-1)/12))</f>
        <v>5007.3609130573759</v>
      </c>
      <c r="V140" s="11">
        <f>U140*'11-Viabilidade'!$L$12</f>
        <v>278.18671739207645</v>
      </c>
      <c r="W140" s="11">
        <f>U140*'11-Viabilidade'!$K$14</f>
        <v>0</v>
      </c>
      <c r="X140" s="11">
        <f>U140*'11-Viabilidade'!$K$15</f>
        <v>250.3680456528688</v>
      </c>
      <c r="Y140" s="11">
        <f>IF(AND(U140=0,S140=0),0,IF(AND(U140=0,S140&lt;&gt;0),'11-Viabilidade'!$K$16+'11-Viabilidade'!$K$17,('11-Viabilidade'!$L$11)*((1+'11-Viabilidade'!$O$10)^(($C140-1)/12))))</f>
        <v>654.66607492935316</v>
      </c>
      <c r="Z140" s="157">
        <f>IFERROR(VLOOKUP(S140,'12-SAC Viabilidade'!$B$11:$G$430,6,FALSE),0)</f>
        <v>1883.7442534424499</v>
      </c>
      <c r="AA140" s="157">
        <f>IFERROR(VLOOKUP(S140,'12-SAC Viabilidade'!$B$11:$H$430,7,FALSE),0)</f>
        <v>164000.0000000002</v>
      </c>
      <c r="AB140" s="132">
        <f>(U140-W140)*'11-Viabilidade'!$O$16</f>
        <v>751.10413695860632</v>
      </c>
      <c r="AC140" s="11">
        <f t="shared" si="3"/>
        <v>1189.2916846820212</v>
      </c>
      <c r="AD140" s="156">
        <f t="shared" si="4"/>
        <v>3073.0359381244712</v>
      </c>
      <c r="AE140" s="42"/>
      <c r="AF140" s="42"/>
      <c r="AG140" s="42"/>
      <c r="AH140" s="42"/>
    </row>
    <row r="141" spans="1:34" ht="15.75" customHeight="1">
      <c r="A141" s="37"/>
      <c r="B141" s="38">
        <f>IF(AND(B140&gt;0,B140&lt;'11-Viabilidade'!$P$14),B140+1,0)</f>
        <v>134</v>
      </c>
      <c r="C141" s="155">
        <f>IF($B141&lt;'11-Viabilidade'!$C$24,0,$B141-'11-Viabilidade'!$C$24)</f>
        <v>128</v>
      </c>
      <c r="D141" s="11">
        <f>IF(C141&gt;0,'11-Viabilidade'!$K$10,0)*((1+'11-Viabilidade'!$O$10)^(($C141-1)/12))</f>
        <v>5027.7615212465735</v>
      </c>
      <c r="E141" s="11">
        <f>D141*'11-Viabilidade'!$L$12</f>
        <v>279.32008451369853</v>
      </c>
      <c r="F141" s="11">
        <f>D141*'11-Viabilidade'!$K$14</f>
        <v>0</v>
      </c>
      <c r="G141" s="11">
        <f>D141*'11-Viabilidade'!$K$15</f>
        <v>251.38807606232868</v>
      </c>
      <c r="H141" s="11">
        <f>IF(D141=0,'11-Viabilidade'!$K$16+'11-Viabilidade'!$K$17,('11-Viabilidade'!$L$11)*((1+'11-Viabilidade'!$O$10)^(($C141-1)/12)))</f>
        <v>657.33326555557051</v>
      </c>
      <c r="I141" s="11">
        <f>'12-SAC Viabilidade'!G144</f>
        <v>1879.1876017687905</v>
      </c>
      <c r="J141" s="11">
        <f>'12-SAC Viabilidade'!H144</f>
        <v>163428.57142857162</v>
      </c>
      <c r="K141" s="132">
        <f>(D141-F141)*'11-Viabilidade'!$O$16</f>
        <v>754.16422818698595</v>
      </c>
      <c r="L141" s="11">
        <f t="shared" si="0"/>
        <v>1206.3682651591994</v>
      </c>
      <c r="M141" s="156">
        <f t="shared" si="1"/>
        <v>3085.5558669279899</v>
      </c>
      <c r="N141" s="13"/>
      <c r="O141" s="43"/>
      <c r="P141" s="41">
        <f>IF(B141&lt;='11-Viabilidade'!$G$11,(P140+(P140*'11-Viabilidade'!$H$12)),0)</f>
        <v>0</v>
      </c>
      <c r="Q141" s="41">
        <f>IF(B141='11-Viabilidade'!$G$11,'11-Viabilidade'!$G$16,0)*(1+'11-Viabilidade'!$G$12)^((B141-1)/12)</f>
        <v>0</v>
      </c>
      <c r="R141" s="170">
        <f t="shared" si="2"/>
        <v>0</v>
      </c>
      <c r="S141" s="41">
        <f t="shared" si="5"/>
        <v>134</v>
      </c>
      <c r="T141" s="155">
        <f>IF($S141&lt;'11-Viabilidade'!$C$24,0,$S141-'11-Viabilidade'!$C$24)</f>
        <v>128</v>
      </c>
      <c r="U141" s="11">
        <f>IF(T141&gt;0,'11-Viabilidade'!$K$10,0)*((1+'11-Viabilidade'!$O$10)^(($T141-1)/12))</f>
        <v>5027.7615212465735</v>
      </c>
      <c r="V141" s="11">
        <f>U141*'11-Viabilidade'!$L$12</f>
        <v>279.32008451369853</v>
      </c>
      <c r="W141" s="11">
        <f>U141*'11-Viabilidade'!$K$14</f>
        <v>0</v>
      </c>
      <c r="X141" s="11">
        <f>U141*'11-Viabilidade'!$K$15</f>
        <v>251.38807606232868</v>
      </c>
      <c r="Y141" s="11">
        <f>IF(AND(U141=0,S141=0),0,IF(AND(U141=0,S141&lt;&gt;0),'11-Viabilidade'!$K$16+'11-Viabilidade'!$K$17,('11-Viabilidade'!$L$11)*((1+'11-Viabilidade'!$O$10)^(($C141-1)/12))))</f>
        <v>657.33326555557051</v>
      </c>
      <c r="Z141" s="157">
        <f>IFERROR(VLOOKUP(S141,'12-SAC Viabilidade'!$B$11:$G$430,6,FALSE),0)</f>
        <v>1879.1876017687905</v>
      </c>
      <c r="AA141" s="157">
        <f>IFERROR(VLOOKUP(S141,'12-SAC Viabilidade'!$B$11:$H$430,7,FALSE),0)</f>
        <v>163428.57142857162</v>
      </c>
      <c r="AB141" s="132">
        <f>(U141-W141)*'11-Viabilidade'!$O$16</f>
        <v>754.16422818698595</v>
      </c>
      <c r="AC141" s="11">
        <f t="shared" si="3"/>
        <v>1206.3682651591994</v>
      </c>
      <c r="AD141" s="156">
        <f t="shared" si="4"/>
        <v>3085.5558669279899</v>
      </c>
      <c r="AE141" s="42"/>
      <c r="AF141" s="42"/>
      <c r="AG141" s="42"/>
      <c r="AH141" s="42"/>
    </row>
    <row r="142" spans="1:34" ht="15.75" customHeight="1">
      <c r="A142" s="37"/>
      <c r="B142" s="38">
        <f>IF(AND(B141&gt;0,B141&lt;'11-Viabilidade'!$P$14),B141+1,0)</f>
        <v>135</v>
      </c>
      <c r="C142" s="155">
        <f>IF($B142&lt;'11-Viabilidade'!$C$24,0,$B142-'11-Viabilidade'!$C$24)</f>
        <v>129</v>
      </c>
      <c r="D142" s="11">
        <f>IF(C142&gt;0,'11-Viabilidade'!$K$10,0)*((1+'11-Viabilidade'!$O$10)^(($C142-1)/12))</f>
        <v>5048.245244038796</v>
      </c>
      <c r="E142" s="11">
        <f>D142*'11-Viabilidade'!$L$12</f>
        <v>280.45806911326645</v>
      </c>
      <c r="F142" s="11">
        <f>D142*'11-Viabilidade'!$K$14</f>
        <v>0</v>
      </c>
      <c r="G142" s="11">
        <f>D142*'11-Viabilidade'!$K$15</f>
        <v>252.41226220193982</v>
      </c>
      <c r="H142" s="11">
        <f>IF(D142=0,'11-Viabilidade'!$K$16+'11-Viabilidade'!$K$17,('11-Viabilidade'!$L$11)*((1+'11-Viabilidade'!$O$10)^(($C142-1)/12)))</f>
        <v>660.01132264655359</v>
      </c>
      <c r="I142" s="11">
        <f>'12-SAC Viabilidade'!G145</f>
        <v>1874.6309500951311</v>
      </c>
      <c r="J142" s="11">
        <f>'12-SAC Viabilidade'!H145</f>
        <v>162857.14285714304</v>
      </c>
      <c r="K142" s="132">
        <f>(D142-F142)*'11-Viabilidade'!$O$16</f>
        <v>757.23678660581936</v>
      </c>
      <c r="L142" s="11">
        <f t="shared" si="0"/>
        <v>1223.4958533760855</v>
      </c>
      <c r="M142" s="156">
        <f t="shared" si="1"/>
        <v>3098.1268034712166</v>
      </c>
      <c r="N142" s="13"/>
      <c r="O142" s="43"/>
      <c r="P142" s="41">
        <f>IF(B142&lt;='11-Viabilidade'!$G$11,(P141+(P141*'11-Viabilidade'!$H$12)),0)</f>
        <v>0</v>
      </c>
      <c r="Q142" s="41">
        <f>IF(B142='11-Viabilidade'!$G$11,'11-Viabilidade'!$G$16,0)*(1+'11-Viabilidade'!$G$12)^((B142-1)/12)</f>
        <v>0</v>
      </c>
      <c r="R142" s="170">
        <f t="shared" si="2"/>
        <v>0</v>
      </c>
      <c r="S142" s="41">
        <f t="shared" si="5"/>
        <v>135</v>
      </c>
      <c r="T142" s="155">
        <f>IF($S142&lt;'11-Viabilidade'!$C$24,0,$S142-'11-Viabilidade'!$C$24)</f>
        <v>129</v>
      </c>
      <c r="U142" s="11">
        <f>IF(T142&gt;0,'11-Viabilidade'!$K$10,0)*((1+'11-Viabilidade'!$O$10)^(($T142-1)/12))</f>
        <v>5048.245244038796</v>
      </c>
      <c r="V142" s="11">
        <f>U142*'11-Viabilidade'!$L$12</f>
        <v>280.45806911326645</v>
      </c>
      <c r="W142" s="11">
        <f>U142*'11-Viabilidade'!$K$14</f>
        <v>0</v>
      </c>
      <c r="X142" s="11">
        <f>U142*'11-Viabilidade'!$K$15</f>
        <v>252.41226220193982</v>
      </c>
      <c r="Y142" s="11">
        <f>IF(AND(U142=0,S142=0),0,IF(AND(U142=0,S142&lt;&gt;0),'11-Viabilidade'!$K$16+'11-Viabilidade'!$K$17,('11-Viabilidade'!$L$11)*((1+'11-Viabilidade'!$O$10)^(($C142-1)/12))))</f>
        <v>660.01132264655359</v>
      </c>
      <c r="Z142" s="157">
        <f>IFERROR(VLOOKUP(S142,'12-SAC Viabilidade'!$B$11:$G$430,6,FALSE),0)</f>
        <v>1874.6309500951311</v>
      </c>
      <c r="AA142" s="157">
        <f>IFERROR(VLOOKUP(S142,'12-SAC Viabilidade'!$B$11:$H$430,7,FALSE),0)</f>
        <v>162857.14285714304</v>
      </c>
      <c r="AB142" s="132">
        <f>(U142-W142)*'11-Viabilidade'!$O$16</f>
        <v>757.23678660581936</v>
      </c>
      <c r="AC142" s="11">
        <f t="shared" si="3"/>
        <v>1223.4958533760855</v>
      </c>
      <c r="AD142" s="156">
        <f t="shared" si="4"/>
        <v>3098.1268034712166</v>
      </c>
      <c r="AE142" s="42"/>
      <c r="AF142" s="42"/>
      <c r="AG142" s="42"/>
      <c r="AH142" s="42"/>
    </row>
    <row r="143" spans="1:34" ht="15.75" customHeight="1">
      <c r="A143" s="37"/>
      <c r="B143" s="38">
        <f>IF(AND(B142&gt;0,B142&lt;'11-Viabilidade'!$P$14),B142+1,0)</f>
        <v>136</v>
      </c>
      <c r="C143" s="155">
        <f>IF($B143&lt;'11-Viabilidade'!$C$24,0,$B143-'11-Viabilidade'!$C$24)</f>
        <v>130</v>
      </c>
      <c r="D143" s="11">
        <f>IF(C143&gt;0,'11-Viabilidade'!$K$10,0)*((1+'11-Viabilidade'!$O$10)^(($C143-1)/12))</f>
        <v>5068.8124200532238</v>
      </c>
      <c r="E143" s="11">
        <f>D143*'11-Viabilidade'!$L$12</f>
        <v>281.60069000295687</v>
      </c>
      <c r="F143" s="11">
        <f>D143*'11-Viabilidade'!$K$14</f>
        <v>0</v>
      </c>
      <c r="G143" s="11">
        <f>D143*'11-Viabilidade'!$K$15</f>
        <v>253.4406210026612</v>
      </c>
      <c r="H143" s="11">
        <f>IF(D143=0,'11-Viabilidade'!$K$16+'11-Viabilidade'!$K$17,('11-Viabilidade'!$L$11)*((1+'11-Viabilidade'!$O$10)^(($C143-1)/12)))</f>
        <v>662.70029047362516</v>
      </c>
      <c r="I143" s="11">
        <f>'12-SAC Viabilidade'!G146</f>
        <v>1870.0742984214717</v>
      </c>
      <c r="J143" s="11">
        <f>'12-SAC Viabilidade'!H146</f>
        <v>162285.71428571446</v>
      </c>
      <c r="K143" s="132">
        <f>(D143-F143)*'11-Viabilidade'!$O$16</f>
        <v>760.32186300798355</v>
      </c>
      <c r="L143" s="11">
        <f t="shared" si="0"/>
        <v>1240.6746571445251</v>
      </c>
      <c r="M143" s="156">
        <f t="shared" si="1"/>
        <v>3110.7489555659968</v>
      </c>
      <c r="N143" s="13"/>
      <c r="O143" s="43"/>
      <c r="P143" s="41">
        <f>IF(B143&lt;='11-Viabilidade'!$G$11,(P142+(P142*'11-Viabilidade'!$H$12)),0)</f>
        <v>0</v>
      </c>
      <c r="Q143" s="41">
        <f>IF(B143='11-Viabilidade'!$G$11,'11-Viabilidade'!$G$16,0)*(1+'11-Viabilidade'!$G$12)^((B143-1)/12)</f>
        <v>0</v>
      </c>
      <c r="R143" s="170">
        <f t="shared" si="2"/>
        <v>0</v>
      </c>
      <c r="S143" s="41">
        <f t="shared" si="5"/>
        <v>136</v>
      </c>
      <c r="T143" s="155">
        <f>IF($S143&lt;'11-Viabilidade'!$C$24,0,$S143-'11-Viabilidade'!$C$24)</f>
        <v>130</v>
      </c>
      <c r="U143" s="11">
        <f>IF(T143&gt;0,'11-Viabilidade'!$K$10,0)*((1+'11-Viabilidade'!$O$10)^(($T143-1)/12))</f>
        <v>5068.8124200532238</v>
      </c>
      <c r="V143" s="11">
        <f>U143*'11-Viabilidade'!$L$12</f>
        <v>281.60069000295687</v>
      </c>
      <c r="W143" s="11">
        <f>U143*'11-Viabilidade'!$K$14</f>
        <v>0</v>
      </c>
      <c r="X143" s="11">
        <f>U143*'11-Viabilidade'!$K$15</f>
        <v>253.4406210026612</v>
      </c>
      <c r="Y143" s="11">
        <f>IF(AND(U143=0,S143=0),0,IF(AND(U143=0,S143&lt;&gt;0),'11-Viabilidade'!$K$16+'11-Viabilidade'!$K$17,('11-Viabilidade'!$L$11)*((1+'11-Viabilidade'!$O$10)^(($C143-1)/12))))</f>
        <v>662.70029047362516</v>
      </c>
      <c r="Z143" s="157">
        <f>IFERROR(VLOOKUP(S143,'12-SAC Viabilidade'!$B$11:$G$430,6,FALSE),0)</f>
        <v>1870.0742984214717</v>
      </c>
      <c r="AA143" s="157">
        <f>IFERROR(VLOOKUP(S143,'12-SAC Viabilidade'!$B$11:$H$430,7,FALSE),0)</f>
        <v>162285.71428571446</v>
      </c>
      <c r="AB143" s="132">
        <f>(U143-W143)*'11-Viabilidade'!$O$16</f>
        <v>760.32186300798355</v>
      </c>
      <c r="AC143" s="11">
        <f t="shared" si="3"/>
        <v>1240.6746571445251</v>
      </c>
      <c r="AD143" s="156">
        <f t="shared" si="4"/>
        <v>3110.7489555659968</v>
      </c>
      <c r="AE143" s="42"/>
      <c r="AF143" s="42"/>
      <c r="AG143" s="42"/>
      <c r="AH143" s="42"/>
    </row>
    <row r="144" spans="1:34" ht="15.75" customHeight="1">
      <c r="A144" s="37"/>
      <c r="B144" s="38">
        <f>IF(AND(B143&gt;0,B143&lt;'11-Viabilidade'!$P$14),B143+1,0)</f>
        <v>137</v>
      </c>
      <c r="C144" s="155">
        <f>IF($B144&lt;'11-Viabilidade'!$C$24,0,$B144-'11-Viabilidade'!$C$24)</f>
        <v>131</v>
      </c>
      <c r="D144" s="11">
        <f>IF(C144&gt;0,'11-Viabilidade'!$K$10,0)*((1+'11-Viabilidade'!$O$10)^(($C144-1)/12))</f>
        <v>5089.463389288615</v>
      </c>
      <c r="E144" s="11">
        <f>D144*'11-Viabilidade'!$L$12</f>
        <v>282.7479660715897</v>
      </c>
      <c r="F144" s="11">
        <f>D144*'11-Viabilidade'!$K$14</f>
        <v>0</v>
      </c>
      <c r="G144" s="11">
        <f>D144*'11-Viabilidade'!$K$15</f>
        <v>254.47316946443075</v>
      </c>
      <c r="H144" s="11">
        <f>IF(D144=0,'11-Viabilidade'!$K$16+'11-Viabilidade'!$K$17,('11-Viabilidade'!$L$11)*((1+'11-Viabilidade'!$O$10)^(($C144-1)/12)))</f>
        <v>665.40021348847438</v>
      </c>
      <c r="I144" s="11">
        <f>'12-SAC Viabilidade'!G147</f>
        <v>1865.5176467478123</v>
      </c>
      <c r="J144" s="11">
        <f>'12-SAC Viabilidade'!H147</f>
        <v>161714.28571428588</v>
      </c>
      <c r="K144" s="132">
        <f>(D144-F144)*'11-Viabilidade'!$O$16</f>
        <v>763.41950839329218</v>
      </c>
      <c r="L144" s="11">
        <f t="shared" si="0"/>
        <v>1257.9048851230154</v>
      </c>
      <c r="M144" s="156">
        <f t="shared" si="1"/>
        <v>3123.4225318708277</v>
      </c>
      <c r="N144" s="13"/>
      <c r="O144" s="43"/>
      <c r="P144" s="41">
        <f>IF(B144&lt;='11-Viabilidade'!$G$11,(P143+(P143*'11-Viabilidade'!$H$12)),0)</f>
        <v>0</v>
      </c>
      <c r="Q144" s="41">
        <f>IF(B144='11-Viabilidade'!$G$11,'11-Viabilidade'!$G$16,0)*(1+'11-Viabilidade'!$G$12)^((B144-1)/12)</f>
        <v>0</v>
      </c>
      <c r="R144" s="170">
        <f t="shared" si="2"/>
        <v>0</v>
      </c>
      <c r="S144" s="41">
        <f t="shared" si="5"/>
        <v>137</v>
      </c>
      <c r="T144" s="155">
        <f>IF($S144&lt;'11-Viabilidade'!$C$24,0,$S144-'11-Viabilidade'!$C$24)</f>
        <v>131</v>
      </c>
      <c r="U144" s="11">
        <f>IF(T144&gt;0,'11-Viabilidade'!$K$10,0)*((1+'11-Viabilidade'!$O$10)^(($T144-1)/12))</f>
        <v>5089.463389288615</v>
      </c>
      <c r="V144" s="11">
        <f>U144*'11-Viabilidade'!$L$12</f>
        <v>282.7479660715897</v>
      </c>
      <c r="W144" s="11">
        <f>U144*'11-Viabilidade'!$K$14</f>
        <v>0</v>
      </c>
      <c r="X144" s="11">
        <f>U144*'11-Viabilidade'!$K$15</f>
        <v>254.47316946443075</v>
      </c>
      <c r="Y144" s="11">
        <f>IF(AND(U144=0,S144=0),0,IF(AND(U144=0,S144&lt;&gt;0),'11-Viabilidade'!$K$16+'11-Viabilidade'!$K$17,('11-Viabilidade'!$L$11)*((1+'11-Viabilidade'!$O$10)^(($C144-1)/12))))</f>
        <v>665.40021348847438</v>
      </c>
      <c r="Z144" s="157">
        <f>IFERROR(VLOOKUP(S144,'12-SAC Viabilidade'!$B$11:$G$430,6,FALSE),0)</f>
        <v>1865.5176467478123</v>
      </c>
      <c r="AA144" s="157">
        <f>IFERROR(VLOOKUP(S144,'12-SAC Viabilidade'!$B$11:$H$430,7,FALSE),0)</f>
        <v>161714.28571428588</v>
      </c>
      <c r="AB144" s="132">
        <f>(U144-W144)*'11-Viabilidade'!$O$16</f>
        <v>763.41950839329218</v>
      </c>
      <c r="AC144" s="11">
        <f t="shared" si="3"/>
        <v>1257.9048851230154</v>
      </c>
      <c r="AD144" s="156">
        <f t="shared" si="4"/>
        <v>3123.4225318708277</v>
      </c>
      <c r="AE144" s="42"/>
      <c r="AF144" s="42"/>
      <c r="AG144" s="42"/>
      <c r="AH144" s="42"/>
    </row>
    <row r="145" spans="1:34" ht="15.75" customHeight="1">
      <c r="A145" s="37"/>
      <c r="B145" s="38">
        <f>IF(AND(B144&gt;0,B144&lt;'11-Viabilidade'!$P$14),B144+1,0)</f>
        <v>138</v>
      </c>
      <c r="C145" s="155">
        <f>IF($B145&lt;'11-Viabilidade'!$C$24,0,$B145-'11-Viabilidade'!$C$24)</f>
        <v>132</v>
      </c>
      <c r="D145" s="11">
        <f>IF(C145&gt;0,'11-Viabilidade'!$K$10,0)*((1+'11-Viabilidade'!$O$10)^(($C145-1)/12))</f>
        <v>5110.1984931289226</v>
      </c>
      <c r="E145" s="11">
        <f>D145*'11-Viabilidade'!$L$12</f>
        <v>283.8999162849401</v>
      </c>
      <c r="F145" s="11">
        <f>D145*'11-Viabilidade'!$K$14</f>
        <v>0</v>
      </c>
      <c r="G145" s="11">
        <f>D145*'11-Viabilidade'!$K$15</f>
        <v>255.50992465644615</v>
      </c>
      <c r="H145" s="11">
        <f>IF(D145=0,'11-Viabilidade'!$K$16+'11-Viabilidade'!$K$17,('11-Viabilidade'!$L$11)*((1+'11-Viabilidade'!$O$10)^(($C145-1)/12)))</f>
        <v>668.11113632389242</v>
      </c>
      <c r="I145" s="11">
        <f>'12-SAC Viabilidade'!G148</f>
        <v>1860.9609950741528</v>
      </c>
      <c r="J145" s="11">
        <f>'12-SAC Viabilidade'!H148</f>
        <v>161142.85714285731</v>
      </c>
      <c r="K145" s="132">
        <f>(D145-F145)*'11-Viabilidade'!$O$16</f>
        <v>766.52977396933841</v>
      </c>
      <c r="L145" s="11">
        <f t="shared" si="0"/>
        <v>1275.1867468201526</v>
      </c>
      <c r="M145" s="156">
        <f t="shared" si="1"/>
        <v>3136.1477418943055</v>
      </c>
      <c r="N145" s="13"/>
      <c r="O145" s="43"/>
      <c r="P145" s="41">
        <f>IF(B145&lt;='11-Viabilidade'!$G$11,(P144+(P144*'11-Viabilidade'!$H$12)),0)</f>
        <v>0</v>
      </c>
      <c r="Q145" s="41">
        <f>IF(B145='11-Viabilidade'!$G$11,'11-Viabilidade'!$G$16,0)*(1+'11-Viabilidade'!$G$12)^((B145-1)/12)</f>
        <v>0</v>
      </c>
      <c r="R145" s="170">
        <f t="shared" si="2"/>
        <v>0</v>
      </c>
      <c r="S145" s="41">
        <f t="shared" si="5"/>
        <v>138</v>
      </c>
      <c r="T145" s="155">
        <f>IF($S145&lt;'11-Viabilidade'!$C$24,0,$S145-'11-Viabilidade'!$C$24)</f>
        <v>132</v>
      </c>
      <c r="U145" s="11">
        <f>IF(T145&gt;0,'11-Viabilidade'!$K$10,0)*((1+'11-Viabilidade'!$O$10)^(($T145-1)/12))</f>
        <v>5110.1984931289226</v>
      </c>
      <c r="V145" s="11">
        <f>U145*'11-Viabilidade'!$L$12</f>
        <v>283.8999162849401</v>
      </c>
      <c r="W145" s="11">
        <f>U145*'11-Viabilidade'!$K$14</f>
        <v>0</v>
      </c>
      <c r="X145" s="11">
        <f>U145*'11-Viabilidade'!$K$15</f>
        <v>255.50992465644615</v>
      </c>
      <c r="Y145" s="11">
        <f>IF(AND(U145=0,S145=0),0,IF(AND(U145=0,S145&lt;&gt;0),'11-Viabilidade'!$K$16+'11-Viabilidade'!$K$17,('11-Viabilidade'!$L$11)*((1+'11-Viabilidade'!$O$10)^(($C145-1)/12))))</f>
        <v>668.11113632389242</v>
      </c>
      <c r="Z145" s="157">
        <f>IFERROR(VLOOKUP(S145,'12-SAC Viabilidade'!$B$11:$G$430,6,FALSE),0)</f>
        <v>1860.9609950741528</v>
      </c>
      <c r="AA145" s="157">
        <f>IFERROR(VLOOKUP(S145,'12-SAC Viabilidade'!$B$11:$H$430,7,FALSE),0)</f>
        <v>161142.85714285731</v>
      </c>
      <c r="AB145" s="132">
        <f>(U145-W145)*'11-Viabilidade'!$O$16</f>
        <v>766.52977396933841</v>
      </c>
      <c r="AC145" s="11">
        <f t="shared" si="3"/>
        <v>1275.1867468201526</v>
      </c>
      <c r="AD145" s="156">
        <f t="shared" si="4"/>
        <v>3136.1477418943055</v>
      </c>
      <c r="AE145" s="42"/>
      <c r="AF145" s="42"/>
      <c r="AG145" s="42"/>
      <c r="AH145" s="42"/>
    </row>
    <row r="146" spans="1:34" ht="15.75" customHeight="1">
      <c r="A146" s="37"/>
      <c r="B146" s="38">
        <f>IF(AND(B145&gt;0,B145&lt;'11-Viabilidade'!$P$14),B145+1,0)</f>
        <v>139</v>
      </c>
      <c r="C146" s="155">
        <f>IF($B146&lt;'11-Viabilidade'!$C$24,0,$B146-'11-Viabilidade'!$C$24)</f>
        <v>133</v>
      </c>
      <c r="D146" s="11">
        <f>IF(C146&gt;0,'11-Viabilidade'!$K$10,0)*((1+'11-Viabilidade'!$O$10)^(($C146-1)/12))</f>
        <v>5131.0180743489409</v>
      </c>
      <c r="E146" s="11">
        <f>D146*'11-Viabilidade'!$L$12</f>
        <v>285.05655968605225</v>
      </c>
      <c r="F146" s="11">
        <f>D146*'11-Viabilidade'!$K$14</f>
        <v>0</v>
      </c>
      <c r="G146" s="11">
        <f>D146*'11-Viabilidade'!$K$15</f>
        <v>256.55090371744706</v>
      </c>
      <c r="H146" s="11">
        <f>IF(D146=0,'11-Viabilidade'!$K$16+'11-Viabilidade'!$K$17,('11-Viabilidade'!$L$11)*((1+'11-Viabilidade'!$O$10)^(($C146-1)/12)))</f>
        <v>670.83310379450961</v>
      </c>
      <c r="I146" s="11">
        <f>'12-SAC Viabilidade'!G149</f>
        <v>1856.4043434004934</v>
      </c>
      <c r="J146" s="11">
        <f>'12-SAC Viabilidade'!H149</f>
        <v>160571.42857142873</v>
      </c>
      <c r="K146" s="132">
        <f>(D146-F146)*'11-Viabilidade'!$O$16</f>
        <v>769.65271115234111</v>
      </c>
      <c r="L146" s="11">
        <f t="shared" si="0"/>
        <v>1292.5204525980976</v>
      </c>
      <c r="M146" s="156">
        <f t="shared" si="1"/>
        <v>3148.924795998591</v>
      </c>
      <c r="N146" s="13"/>
      <c r="O146" s="43"/>
      <c r="P146" s="41">
        <f>IF(B146&lt;='11-Viabilidade'!$G$11,(P145+(P145*'11-Viabilidade'!$H$12)),0)</f>
        <v>0</v>
      </c>
      <c r="Q146" s="41">
        <f>IF(B146='11-Viabilidade'!$G$11,'11-Viabilidade'!$G$16,0)*(1+'11-Viabilidade'!$G$12)^((B146-1)/12)</f>
        <v>0</v>
      </c>
      <c r="R146" s="170">
        <f t="shared" si="2"/>
        <v>0</v>
      </c>
      <c r="S146" s="41">
        <f t="shared" si="5"/>
        <v>139</v>
      </c>
      <c r="T146" s="155">
        <f>IF($S146&lt;'11-Viabilidade'!$C$24,0,$S146-'11-Viabilidade'!$C$24)</f>
        <v>133</v>
      </c>
      <c r="U146" s="11">
        <f>IF(T146&gt;0,'11-Viabilidade'!$K$10,0)*((1+'11-Viabilidade'!$O$10)^(($T146-1)/12))</f>
        <v>5131.0180743489409</v>
      </c>
      <c r="V146" s="11">
        <f>U146*'11-Viabilidade'!$L$12</f>
        <v>285.05655968605225</v>
      </c>
      <c r="W146" s="11">
        <f>U146*'11-Viabilidade'!$K$14</f>
        <v>0</v>
      </c>
      <c r="X146" s="11">
        <f>U146*'11-Viabilidade'!$K$15</f>
        <v>256.55090371744706</v>
      </c>
      <c r="Y146" s="11">
        <f>IF(AND(U146=0,S146=0),0,IF(AND(U146=0,S146&lt;&gt;0),'11-Viabilidade'!$K$16+'11-Viabilidade'!$K$17,('11-Viabilidade'!$L$11)*((1+'11-Viabilidade'!$O$10)^(($C146-1)/12))))</f>
        <v>670.83310379450961</v>
      </c>
      <c r="Z146" s="157">
        <f>IFERROR(VLOOKUP(S146,'12-SAC Viabilidade'!$B$11:$G$430,6,FALSE),0)</f>
        <v>1856.4043434004934</v>
      </c>
      <c r="AA146" s="157">
        <f>IFERROR(VLOOKUP(S146,'12-SAC Viabilidade'!$B$11:$H$430,7,FALSE),0)</f>
        <v>160571.42857142873</v>
      </c>
      <c r="AB146" s="132">
        <f>(U146-W146)*'11-Viabilidade'!$O$16</f>
        <v>769.65271115234111</v>
      </c>
      <c r="AC146" s="11">
        <f t="shared" si="3"/>
        <v>1292.5204525980976</v>
      </c>
      <c r="AD146" s="156">
        <f t="shared" si="4"/>
        <v>3148.924795998591</v>
      </c>
      <c r="AE146" s="42"/>
      <c r="AF146" s="42"/>
      <c r="AG146" s="42"/>
      <c r="AH146" s="42"/>
    </row>
    <row r="147" spans="1:34" ht="15.75" customHeight="1">
      <c r="A147" s="37"/>
      <c r="B147" s="38">
        <f>IF(AND(B146&gt;0,B146&lt;'11-Viabilidade'!$P$14),B146+1,0)</f>
        <v>140</v>
      </c>
      <c r="C147" s="155">
        <f>IF($B147&lt;'11-Viabilidade'!$C$24,0,$B147-'11-Viabilidade'!$C$24)</f>
        <v>134</v>
      </c>
      <c r="D147" s="11">
        <f>IF(C147&gt;0,'11-Viabilidade'!$K$10,0)*((1+'11-Viabilidade'!$O$10)^(($C147-1)/12))</f>
        <v>5151.922477119977</v>
      </c>
      <c r="E147" s="11">
        <f>D147*'11-Viabilidade'!$L$12</f>
        <v>286.21791539555426</v>
      </c>
      <c r="F147" s="11">
        <f>D147*'11-Viabilidade'!$K$14</f>
        <v>0</v>
      </c>
      <c r="G147" s="11">
        <f>D147*'11-Viabilidade'!$K$15</f>
        <v>257.59612385599888</v>
      </c>
      <c r="H147" s="11">
        <f>IF(D147=0,'11-Viabilidade'!$K$16+'11-Viabilidade'!$K$17,('11-Viabilidade'!$L$11)*((1+'11-Viabilidade'!$O$10)^(($C147-1)/12)))</f>
        <v>673.56616089753766</v>
      </c>
      <c r="I147" s="11">
        <f>'12-SAC Viabilidade'!G150</f>
        <v>1851.8476917268345</v>
      </c>
      <c r="J147" s="11">
        <f>'12-SAC Viabilidade'!H150</f>
        <v>160000.00000000015</v>
      </c>
      <c r="K147" s="132">
        <f>(D147-F147)*'11-Viabilidade'!$O$16</f>
        <v>772.78837156799648</v>
      </c>
      <c r="L147" s="11">
        <f t="shared" si="0"/>
        <v>1309.9062136760554</v>
      </c>
      <c r="M147" s="156">
        <f t="shared" si="1"/>
        <v>3161.7539054028898</v>
      </c>
      <c r="N147" s="13"/>
      <c r="O147" s="43"/>
      <c r="P147" s="41">
        <f>IF(B147&lt;='11-Viabilidade'!$G$11,(P146+(P146*'11-Viabilidade'!$H$12)),0)</f>
        <v>0</v>
      </c>
      <c r="Q147" s="41">
        <f>IF(B147='11-Viabilidade'!$G$11,'11-Viabilidade'!$G$16,0)*(1+'11-Viabilidade'!$G$12)^((B147-1)/12)</f>
        <v>0</v>
      </c>
      <c r="R147" s="170">
        <f t="shared" si="2"/>
        <v>0</v>
      </c>
      <c r="S147" s="41">
        <f t="shared" si="5"/>
        <v>140</v>
      </c>
      <c r="T147" s="155">
        <f>IF($S147&lt;'11-Viabilidade'!$C$24,0,$S147-'11-Viabilidade'!$C$24)</f>
        <v>134</v>
      </c>
      <c r="U147" s="11">
        <f>IF(T147&gt;0,'11-Viabilidade'!$K$10,0)*((1+'11-Viabilidade'!$O$10)^(($T147-1)/12))</f>
        <v>5151.922477119977</v>
      </c>
      <c r="V147" s="11">
        <f>U147*'11-Viabilidade'!$L$12</f>
        <v>286.21791539555426</v>
      </c>
      <c r="W147" s="11">
        <f>U147*'11-Viabilidade'!$K$14</f>
        <v>0</v>
      </c>
      <c r="X147" s="11">
        <f>U147*'11-Viabilidade'!$K$15</f>
        <v>257.59612385599888</v>
      </c>
      <c r="Y147" s="11">
        <f>IF(AND(U147=0,S147=0),0,IF(AND(U147=0,S147&lt;&gt;0),'11-Viabilidade'!$K$16+'11-Viabilidade'!$K$17,('11-Viabilidade'!$L$11)*((1+'11-Viabilidade'!$O$10)^(($C147-1)/12))))</f>
        <v>673.56616089753766</v>
      </c>
      <c r="Z147" s="157">
        <f>IFERROR(VLOOKUP(S147,'12-SAC Viabilidade'!$B$11:$G$430,6,FALSE),0)</f>
        <v>1851.8476917268345</v>
      </c>
      <c r="AA147" s="157">
        <f>IFERROR(VLOOKUP(S147,'12-SAC Viabilidade'!$B$11:$H$430,7,FALSE),0)</f>
        <v>160000.00000000015</v>
      </c>
      <c r="AB147" s="132">
        <f>(U147-W147)*'11-Viabilidade'!$O$16</f>
        <v>772.78837156799648</v>
      </c>
      <c r="AC147" s="11">
        <f t="shared" si="3"/>
        <v>1309.9062136760554</v>
      </c>
      <c r="AD147" s="156">
        <f t="shared" si="4"/>
        <v>3161.7539054028898</v>
      </c>
      <c r="AE147" s="42"/>
      <c r="AF147" s="42"/>
      <c r="AG147" s="42"/>
      <c r="AH147" s="42"/>
    </row>
    <row r="148" spans="1:34" ht="15.75" customHeight="1">
      <c r="A148" s="37"/>
      <c r="B148" s="38">
        <f>IF(AND(B147&gt;0,B147&lt;'11-Viabilidade'!$P$14),B147+1,0)</f>
        <v>141</v>
      </c>
      <c r="C148" s="155">
        <f>IF($B148&lt;'11-Viabilidade'!$C$24,0,$B148-'11-Viabilidade'!$C$24)</f>
        <v>135</v>
      </c>
      <c r="D148" s="11">
        <f>IF(C148&gt;0,'11-Viabilidade'!$K$10,0)*((1+'11-Viabilidade'!$O$10)^(($C148-1)/12))</f>
        <v>5172.912047015524</v>
      </c>
      <c r="E148" s="11">
        <f>D148*'11-Viabilidade'!$L$12</f>
        <v>287.38400261197353</v>
      </c>
      <c r="F148" s="11">
        <f>D148*'11-Viabilidade'!$K$14</f>
        <v>0</v>
      </c>
      <c r="G148" s="11">
        <f>D148*'11-Viabilidade'!$K$15</f>
        <v>258.64560235077619</v>
      </c>
      <c r="H148" s="11">
        <f>IF(D148=0,'11-Viabilidade'!$K$16+'11-Viabilidade'!$K$17,('11-Viabilidade'!$L$11)*((1+'11-Viabilidade'!$O$10)^(($C148-1)/12)))</f>
        <v>676.31035281351103</v>
      </c>
      <c r="I148" s="11">
        <f>'12-SAC Viabilidade'!G151</f>
        <v>1847.291040053175</v>
      </c>
      <c r="J148" s="11">
        <f>'12-SAC Viabilidade'!H151</f>
        <v>159428.57142857157</v>
      </c>
      <c r="K148" s="132">
        <f>(D148-F148)*'11-Viabilidade'!$O$16</f>
        <v>775.93680705232862</v>
      </c>
      <c r="L148" s="11">
        <f t="shared" si="0"/>
        <v>1327.3442421337595</v>
      </c>
      <c r="M148" s="156">
        <f t="shared" si="1"/>
        <v>3174.6352821869345</v>
      </c>
      <c r="N148" s="13"/>
      <c r="O148" s="43"/>
      <c r="P148" s="41">
        <f>IF(B148&lt;='11-Viabilidade'!$G$11,(P147+(P147*'11-Viabilidade'!$H$12)),0)</f>
        <v>0</v>
      </c>
      <c r="Q148" s="41">
        <f>IF(B148='11-Viabilidade'!$G$11,'11-Viabilidade'!$G$16,0)*(1+'11-Viabilidade'!$G$12)^((B148-1)/12)</f>
        <v>0</v>
      </c>
      <c r="R148" s="170">
        <f t="shared" si="2"/>
        <v>0</v>
      </c>
      <c r="S148" s="41">
        <f t="shared" si="5"/>
        <v>141</v>
      </c>
      <c r="T148" s="155">
        <f>IF($S148&lt;'11-Viabilidade'!$C$24,0,$S148-'11-Viabilidade'!$C$24)</f>
        <v>135</v>
      </c>
      <c r="U148" s="11">
        <f>IF(T148&gt;0,'11-Viabilidade'!$K$10,0)*((1+'11-Viabilidade'!$O$10)^(($T148-1)/12))</f>
        <v>5172.912047015524</v>
      </c>
      <c r="V148" s="11">
        <f>U148*'11-Viabilidade'!$L$12</f>
        <v>287.38400261197353</v>
      </c>
      <c r="W148" s="11">
        <f>U148*'11-Viabilidade'!$K$14</f>
        <v>0</v>
      </c>
      <c r="X148" s="11">
        <f>U148*'11-Viabilidade'!$K$15</f>
        <v>258.64560235077619</v>
      </c>
      <c r="Y148" s="11">
        <f>IF(AND(U148=0,S148=0),0,IF(AND(U148=0,S148&lt;&gt;0),'11-Viabilidade'!$K$16+'11-Viabilidade'!$K$17,('11-Viabilidade'!$L$11)*((1+'11-Viabilidade'!$O$10)^(($C148-1)/12))))</f>
        <v>676.31035281351103</v>
      </c>
      <c r="Z148" s="157">
        <f>IFERROR(VLOOKUP(S148,'12-SAC Viabilidade'!$B$11:$G$430,6,FALSE),0)</f>
        <v>1847.291040053175</v>
      </c>
      <c r="AA148" s="157">
        <f>IFERROR(VLOOKUP(S148,'12-SAC Viabilidade'!$B$11:$H$430,7,FALSE),0)</f>
        <v>159428.57142857157</v>
      </c>
      <c r="AB148" s="132">
        <f>(U148-W148)*'11-Viabilidade'!$O$16</f>
        <v>775.93680705232862</v>
      </c>
      <c r="AC148" s="11">
        <f t="shared" si="3"/>
        <v>1327.3442421337595</v>
      </c>
      <c r="AD148" s="156">
        <f t="shared" si="4"/>
        <v>3174.6352821869345</v>
      </c>
      <c r="AE148" s="42"/>
      <c r="AF148" s="42"/>
      <c r="AG148" s="42"/>
      <c r="AH148" s="42"/>
    </row>
    <row r="149" spans="1:34" ht="15.75" customHeight="1">
      <c r="A149" s="37"/>
      <c r="B149" s="38">
        <f>IF(AND(B148&gt;0,B148&lt;'11-Viabilidade'!$P$14),B148+1,0)</f>
        <v>142</v>
      </c>
      <c r="C149" s="155">
        <f>IF($B149&lt;'11-Viabilidade'!$C$24,0,$B149-'11-Viabilidade'!$C$24)</f>
        <v>136</v>
      </c>
      <c r="D149" s="11">
        <f>IF(C149&gt;0,'11-Viabilidade'!$K$10,0)*((1+'11-Viabilidade'!$O$10)^(($C149-1)/12))</f>
        <v>5193.987131016991</v>
      </c>
      <c r="E149" s="11">
        <f>D149*'11-Viabilidade'!$L$12</f>
        <v>288.55484061205505</v>
      </c>
      <c r="F149" s="11">
        <f>D149*'11-Viabilidade'!$K$14</f>
        <v>0</v>
      </c>
      <c r="G149" s="11">
        <f>D149*'11-Viabilidade'!$K$15</f>
        <v>259.69935655084959</v>
      </c>
      <c r="H149" s="11">
        <f>IF(D149=0,'11-Viabilidade'!$K$16+'11-Viabilidade'!$K$17,('11-Viabilidade'!$L$11)*((1+'11-Viabilidade'!$O$10)^(($C149-1)/12)))</f>
        <v>679.06572490703616</v>
      </c>
      <c r="I149" s="11">
        <f>'12-SAC Viabilidade'!G152</f>
        <v>1842.7343883795156</v>
      </c>
      <c r="J149" s="11">
        <f>'12-SAC Viabilidade'!H152</f>
        <v>158857.14285714299</v>
      </c>
      <c r="K149" s="132">
        <f>(D149-F149)*'11-Viabilidade'!$O$16</f>
        <v>779.09806965254859</v>
      </c>
      <c r="L149" s="11">
        <f t="shared" si="0"/>
        <v>1344.8347509149862</v>
      </c>
      <c r="M149" s="156">
        <f t="shared" si="1"/>
        <v>3187.5691392945018</v>
      </c>
      <c r="N149" s="13"/>
      <c r="O149" s="43"/>
      <c r="P149" s="41">
        <f>IF(B149&lt;='11-Viabilidade'!$G$11,(P148+(P148*'11-Viabilidade'!$H$12)),0)</f>
        <v>0</v>
      </c>
      <c r="Q149" s="41">
        <f>IF(B149='11-Viabilidade'!$G$11,'11-Viabilidade'!$G$16,0)*(1+'11-Viabilidade'!$G$12)^((B149-1)/12)</f>
        <v>0</v>
      </c>
      <c r="R149" s="170">
        <f t="shared" si="2"/>
        <v>0</v>
      </c>
      <c r="S149" s="41">
        <f t="shared" si="5"/>
        <v>142</v>
      </c>
      <c r="T149" s="155">
        <f>IF($S149&lt;'11-Viabilidade'!$C$24,0,$S149-'11-Viabilidade'!$C$24)</f>
        <v>136</v>
      </c>
      <c r="U149" s="11">
        <f>IF(T149&gt;0,'11-Viabilidade'!$K$10,0)*((1+'11-Viabilidade'!$O$10)^(($T149-1)/12))</f>
        <v>5193.987131016991</v>
      </c>
      <c r="V149" s="11">
        <f>U149*'11-Viabilidade'!$L$12</f>
        <v>288.55484061205505</v>
      </c>
      <c r="W149" s="11">
        <f>U149*'11-Viabilidade'!$K$14</f>
        <v>0</v>
      </c>
      <c r="X149" s="11">
        <f>U149*'11-Viabilidade'!$K$15</f>
        <v>259.69935655084959</v>
      </c>
      <c r="Y149" s="11">
        <f>IF(AND(U149=0,S149=0),0,IF(AND(U149=0,S149&lt;&gt;0),'11-Viabilidade'!$K$16+'11-Viabilidade'!$K$17,('11-Viabilidade'!$L$11)*((1+'11-Viabilidade'!$O$10)^(($C149-1)/12))))</f>
        <v>679.06572490703616</v>
      </c>
      <c r="Z149" s="157">
        <f>IFERROR(VLOOKUP(S149,'12-SAC Viabilidade'!$B$11:$G$430,6,FALSE),0)</f>
        <v>1842.7343883795156</v>
      </c>
      <c r="AA149" s="157">
        <f>IFERROR(VLOOKUP(S149,'12-SAC Viabilidade'!$B$11:$H$430,7,FALSE),0)</f>
        <v>158857.14285714299</v>
      </c>
      <c r="AB149" s="132">
        <f>(U149-W149)*'11-Viabilidade'!$O$16</f>
        <v>779.09806965254859</v>
      </c>
      <c r="AC149" s="11">
        <f t="shared" si="3"/>
        <v>1344.8347509149862</v>
      </c>
      <c r="AD149" s="156">
        <f t="shared" si="4"/>
        <v>3187.5691392945018</v>
      </c>
      <c r="AE149" s="42"/>
      <c r="AF149" s="42"/>
      <c r="AG149" s="42"/>
      <c r="AH149" s="42"/>
    </row>
    <row r="150" spans="1:34" ht="15.75" customHeight="1">
      <c r="A150" s="37"/>
      <c r="B150" s="38">
        <f>IF(AND(B149&gt;0,B149&lt;'11-Viabilidade'!$P$14),B149+1,0)</f>
        <v>143</v>
      </c>
      <c r="C150" s="155">
        <f>IF($B150&lt;'11-Viabilidade'!$C$24,0,$B150-'11-Viabilidade'!$C$24)</f>
        <v>137</v>
      </c>
      <c r="D150" s="11">
        <f>IF(C150&gt;0,'11-Viabilidade'!$K$10,0)*((1+'11-Viabilidade'!$O$10)^(($C150-1)/12))</f>
        <v>5215.1480775194304</v>
      </c>
      <c r="E150" s="11">
        <f>D150*'11-Viabilidade'!$L$12</f>
        <v>289.73044875107945</v>
      </c>
      <c r="F150" s="11">
        <f>D150*'11-Viabilidade'!$K$14</f>
        <v>0</v>
      </c>
      <c r="G150" s="11">
        <f>D150*'11-Viabilidade'!$K$15</f>
        <v>260.75740387597153</v>
      </c>
      <c r="H150" s="11">
        <f>IF(D150=0,'11-Viabilidade'!$K$16+'11-Viabilidade'!$K$17,('11-Viabilidade'!$L$11)*((1+'11-Viabilidade'!$O$10)^(($C150-1)/12)))</f>
        <v>681.83232272754026</v>
      </c>
      <c r="I150" s="11">
        <f>'12-SAC Viabilidade'!G153</f>
        <v>1838.1777367058562</v>
      </c>
      <c r="J150" s="11">
        <f>'12-SAC Viabilidade'!H153</f>
        <v>158285.71428571441</v>
      </c>
      <c r="K150" s="132">
        <f>(D150-F150)*'11-Viabilidade'!$O$16</f>
        <v>782.27221162791454</v>
      </c>
      <c r="L150" s="11">
        <f t="shared" si="0"/>
        <v>1362.3779538310682</v>
      </c>
      <c r="M150" s="156">
        <f t="shared" si="1"/>
        <v>3200.5556905369244</v>
      </c>
      <c r="N150" s="13"/>
      <c r="O150" s="43"/>
      <c r="P150" s="41">
        <f>IF(B150&lt;='11-Viabilidade'!$G$11,(P149+(P149*'11-Viabilidade'!$H$12)),0)</f>
        <v>0</v>
      </c>
      <c r="Q150" s="41">
        <f>IF(B150='11-Viabilidade'!$G$11,'11-Viabilidade'!$G$16,0)*(1+'11-Viabilidade'!$G$12)^((B150-1)/12)</f>
        <v>0</v>
      </c>
      <c r="R150" s="170">
        <f t="shared" si="2"/>
        <v>0</v>
      </c>
      <c r="S150" s="41">
        <f t="shared" si="5"/>
        <v>143</v>
      </c>
      <c r="T150" s="155">
        <f>IF($S150&lt;'11-Viabilidade'!$C$24,0,$S150-'11-Viabilidade'!$C$24)</f>
        <v>137</v>
      </c>
      <c r="U150" s="11">
        <f>IF(T150&gt;0,'11-Viabilidade'!$K$10,0)*((1+'11-Viabilidade'!$O$10)^(($T150-1)/12))</f>
        <v>5215.1480775194304</v>
      </c>
      <c r="V150" s="11">
        <f>U150*'11-Viabilidade'!$L$12</f>
        <v>289.73044875107945</v>
      </c>
      <c r="W150" s="11">
        <f>U150*'11-Viabilidade'!$K$14</f>
        <v>0</v>
      </c>
      <c r="X150" s="11">
        <f>U150*'11-Viabilidade'!$K$15</f>
        <v>260.75740387597153</v>
      </c>
      <c r="Y150" s="11">
        <f>IF(AND(U150=0,S150=0),0,IF(AND(U150=0,S150&lt;&gt;0),'11-Viabilidade'!$K$16+'11-Viabilidade'!$K$17,('11-Viabilidade'!$L$11)*((1+'11-Viabilidade'!$O$10)^(($C150-1)/12))))</f>
        <v>681.83232272754026</v>
      </c>
      <c r="Z150" s="157">
        <f>IFERROR(VLOOKUP(S150,'12-SAC Viabilidade'!$B$11:$G$430,6,FALSE),0)</f>
        <v>1838.1777367058562</v>
      </c>
      <c r="AA150" s="157">
        <f>IFERROR(VLOOKUP(S150,'12-SAC Viabilidade'!$B$11:$H$430,7,FALSE),0)</f>
        <v>158285.71428571441</v>
      </c>
      <c r="AB150" s="132">
        <f>(U150-W150)*'11-Viabilidade'!$O$16</f>
        <v>782.27221162791454</v>
      </c>
      <c r="AC150" s="11">
        <f t="shared" si="3"/>
        <v>1362.3779538310682</v>
      </c>
      <c r="AD150" s="156">
        <f t="shared" si="4"/>
        <v>3200.5556905369244</v>
      </c>
      <c r="AE150" s="42"/>
      <c r="AF150" s="42"/>
      <c r="AG150" s="42"/>
      <c r="AH150" s="42"/>
    </row>
    <row r="151" spans="1:34" ht="15.75" customHeight="1">
      <c r="A151" s="158" t="s">
        <v>244</v>
      </c>
      <c r="B151" s="159">
        <f>IF(AND(B150&gt;0,B150&lt;'11-Viabilidade'!$P$14),B150+1,0)</f>
        <v>144</v>
      </c>
      <c r="C151" s="160">
        <f>IF($B151&lt;'11-Viabilidade'!$C$24,0,$B151-'11-Viabilidade'!$C$24)</f>
        <v>138</v>
      </c>
      <c r="D151" s="161">
        <f>IF(C151&gt;0,'11-Viabilidade'!$K$10,0)*((1+'11-Viabilidade'!$O$10)^(($C151-1)/12))</f>
        <v>5236.3952363373</v>
      </c>
      <c r="E151" s="161">
        <f>D151*'11-Viabilidade'!$L$12</f>
        <v>290.9108464631833</v>
      </c>
      <c r="F151" s="161">
        <f>D151*'11-Viabilidade'!$K$14</f>
        <v>0</v>
      </c>
      <c r="G151" s="161">
        <f>D151*'11-Viabilidade'!$K$15</f>
        <v>261.81976181686503</v>
      </c>
      <c r="H151" s="11">
        <f>IF(D151=0,'11-Viabilidade'!$K$16+'11-Viabilidade'!$K$17,('11-Viabilidade'!$L$11)*((1+'11-Viabilidade'!$O$10)^(($C151-1)/12)))</f>
        <v>684.61019201002466</v>
      </c>
      <c r="I151" s="161">
        <f>'12-SAC Viabilidade'!G154</f>
        <v>1833.6210850321968</v>
      </c>
      <c r="J151" s="161">
        <f>'12-SAC Viabilidade'!H154</f>
        <v>157714.28571428583</v>
      </c>
      <c r="K151" s="162">
        <f>(D151-F151)*'11-Viabilidade'!$O$16</f>
        <v>785.45928545059496</v>
      </c>
      <c r="L151" s="161">
        <f t="shared" si="0"/>
        <v>1379.9740655644355</v>
      </c>
      <c r="M151" s="163">
        <f t="shared" si="1"/>
        <v>3213.5951505966323</v>
      </c>
      <c r="N151" s="164"/>
      <c r="O151" s="171"/>
      <c r="P151" s="165">
        <f>IF(B151&lt;='11-Viabilidade'!$G$11,(P150+(P150*'11-Viabilidade'!$H$12)),0)</f>
        <v>0</v>
      </c>
      <c r="Q151" s="165">
        <f>IF(B151='11-Viabilidade'!$G$11,'11-Viabilidade'!$G$16,0)*(1+'11-Viabilidade'!$G$12)^((B151-1)/12)</f>
        <v>0</v>
      </c>
      <c r="R151" s="172">
        <f t="shared" si="2"/>
        <v>0</v>
      </c>
      <c r="S151" s="165">
        <f t="shared" si="5"/>
        <v>144</v>
      </c>
      <c r="T151" s="160">
        <f>IF($S151&lt;'11-Viabilidade'!$C$24,0,$S151-'11-Viabilidade'!$C$24)</f>
        <v>138</v>
      </c>
      <c r="U151" s="161">
        <f>IF(T151&gt;0,'11-Viabilidade'!$K$10,0)*((1+'11-Viabilidade'!$O$10)^(($T151-1)/12))</f>
        <v>5236.3952363373</v>
      </c>
      <c r="V151" s="161">
        <f>U151*'11-Viabilidade'!$L$12</f>
        <v>290.9108464631833</v>
      </c>
      <c r="W151" s="161">
        <f>U151*'11-Viabilidade'!$K$14</f>
        <v>0</v>
      </c>
      <c r="X151" s="161">
        <f>U151*'11-Viabilidade'!$K$15</f>
        <v>261.81976181686503</v>
      </c>
      <c r="Y151" s="11">
        <f>IF(AND(U151=0,S151=0),0,IF(AND(U151=0,S151&lt;&gt;0),'11-Viabilidade'!$K$16+'11-Viabilidade'!$K$17,('11-Viabilidade'!$L$11)*((1+'11-Viabilidade'!$O$10)^(($C151-1)/12))))</f>
        <v>684.61019201002466</v>
      </c>
      <c r="Z151" s="168">
        <f>IFERROR(VLOOKUP(S151,'12-SAC Viabilidade'!$B$11:$G$430,6,FALSE),0)</f>
        <v>1833.6210850321968</v>
      </c>
      <c r="AA151" s="168">
        <f>IFERROR(VLOOKUP(S151,'12-SAC Viabilidade'!$B$11:$H$430,7,FALSE),0)</f>
        <v>157714.28571428583</v>
      </c>
      <c r="AB151" s="162">
        <f>(U151-W151)*'11-Viabilidade'!$O$16</f>
        <v>785.45928545059496</v>
      </c>
      <c r="AC151" s="161">
        <f t="shared" si="3"/>
        <v>1379.9740655644355</v>
      </c>
      <c r="AD151" s="163">
        <f t="shared" si="4"/>
        <v>3213.5951505966323</v>
      </c>
      <c r="AE151" s="173"/>
      <c r="AF151" s="173"/>
      <c r="AG151" s="173"/>
      <c r="AH151" s="173"/>
    </row>
    <row r="152" spans="1:34" ht="15.75" customHeight="1">
      <c r="A152" s="37"/>
      <c r="B152" s="38">
        <f>IF(AND(B151&gt;0,B151&lt;'11-Viabilidade'!$P$14),B151+1,0)</f>
        <v>145</v>
      </c>
      <c r="C152" s="155">
        <f>IF($B152&lt;'11-Viabilidade'!$C$24,0,$B152-'11-Viabilidade'!$C$24)</f>
        <v>139</v>
      </c>
      <c r="D152" s="11">
        <f>IF(C152&gt;0,'11-Viabilidade'!$K$10,0)*((1+'11-Viabilidade'!$O$10)^(($C152-1)/12))</f>
        <v>5257.7289587102441</v>
      </c>
      <c r="E152" s="11">
        <f>D152*'11-Viabilidade'!$L$12</f>
        <v>292.0960532616802</v>
      </c>
      <c r="F152" s="11">
        <f>D152*'11-Viabilidade'!$K$14</f>
        <v>0</v>
      </c>
      <c r="G152" s="11">
        <f>D152*'11-Viabilidade'!$K$15</f>
        <v>262.88644793551219</v>
      </c>
      <c r="H152" s="11">
        <f>IF(D152=0,'11-Viabilidade'!$K$16+'11-Viabilidade'!$K$17,('11-Viabilidade'!$L$11)*((1+'11-Viabilidade'!$O$10)^(($C152-1)/12)))</f>
        <v>687.39937867582069</v>
      </c>
      <c r="I152" s="11">
        <f>'12-SAC Viabilidade'!G155</f>
        <v>1829.0644333585374</v>
      </c>
      <c r="J152" s="11">
        <f>'12-SAC Viabilidade'!H155</f>
        <v>157142.85714285725</v>
      </c>
      <c r="K152" s="132">
        <f>(D152-F152)*'11-Viabilidade'!$O$16</f>
        <v>788.65934380653664</v>
      </c>
      <c r="L152" s="11">
        <f t="shared" si="0"/>
        <v>1397.6233016721571</v>
      </c>
      <c r="M152" s="156">
        <f t="shared" si="1"/>
        <v>3226.6877350306945</v>
      </c>
      <c r="N152" s="13"/>
      <c r="O152" s="43"/>
      <c r="P152" s="41">
        <f>IF(B152&lt;='11-Viabilidade'!$G$11,(P151+(P151*'11-Viabilidade'!$H$12)),0)</f>
        <v>0</v>
      </c>
      <c r="Q152" s="41">
        <f>IF(B152='11-Viabilidade'!$G$11,'11-Viabilidade'!$G$16,0)*(1+'11-Viabilidade'!$G$12)^((B152-1)/12)</f>
        <v>0</v>
      </c>
      <c r="R152" s="170">
        <f t="shared" si="2"/>
        <v>0</v>
      </c>
      <c r="S152" s="41">
        <f t="shared" si="5"/>
        <v>145</v>
      </c>
      <c r="T152" s="155">
        <f>IF($S152&lt;'11-Viabilidade'!$C$24,0,$S152-'11-Viabilidade'!$C$24)</f>
        <v>139</v>
      </c>
      <c r="U152" s="11">
        <f>IF(T152&gt;0,'11-Viabilidade'!$K$10,0)*((1+'11-Viabilidade'!$O$10)^(($T152-1)/12))</f>
        <v>5257.7289587102441</v>
      </c>
      <c r="V152" s="11">
        <f>U152*'11-Viabilidade'!$L$12</f>
        <v>292.0960532616802</v>
      </c>
      <c r="W152" s="11">
        <f>U152*'11-Viabilidade'!$K$14</f>
        <v>0</v>
      </c>
      <c r="X152" s="11">
        <f>U152*'11-Viabilidade'!$K$15</f>
        <v>262.88644793551219</v>
      </c>
      <c r="Y152" s="11">
        <f>IF(AND(U152=0,S152=0),0,IF(AND(U152=0,S152&lt;&gt;0),'11-Viabilidade'!$K$16+'11-Viabilidade'!$K$17,('11-Viabilidade'!$L$11)*((1+'11-Viabilidade'!$O$10)^(($C152-1)/12))))</f>
        <v>687.39937867582069</v>
      </c>
      <c r="Z152" s="157">
        <f>IFERROR(VLOOKUP(S152,'12-SAC Viabilidade'!$B$11:$G$430,6,FALSE),0)</f>
        <v>1829.0644333585374</v>
      </c>
      <c r="AA152" s="157">
        <f>IFERROR(VLOOKUP(S152,'12-SAC Viabilidade'!$B$11:$H$430,7,FALSE),0)</f>
        <v>157142.85714285725</v>
      </c>
      <c r="AB152" s="132">
        <f>(U152-W152)*'11-Viabilidade'!$O$16</f>
        <v>788.65934380653664</v>
      </c>
      <c r="AC152" s="11">
        <f t="shared" si="3"/>
        <v>1397.6233016721571</v>
      </c>
      <c r="AD152" s="156">
        <f t="shared" si="4"/>
        <v>3226.6877350306945</v>
      </c>
      <c r="AE152" s="42"/>
      <c r="AF152" s="42"/>
      <c r="AG152" s="42"/>
      <c r="AH152" s="42"/>
    </row>
    <row r="153" spans="1:34" ht="15.75" customHeight="1">
      <c r="A153" s="37"/>
      <c r="B153" s="38">
        <f>IF(AND(B152&gt;0,B152&lt;'11-Viabilidade'!$P$14),B152+1,0)</f>
        <v>146</v>
      </c>
      <c r="C153" s="155">
        <f>IF($B153&lt;'11-Viabilidade'!$C$24,0,$B153-'11-Viabilidade'!$C$24)</f>
        <v>140</v>
      </c>
      <c r="D153" s="11">
        <f>IF(C153&gt;0,'11-Viabilidade'!$K$10,0)*((1+'11-Viabilidade'!$O$10)^(($C153-1)/12))</f>
        <v>5279.1495973089022</v>
      </c>
      <c r="E153" s="11">
        <f>D153*'11-Viabilidade'!$L$12</f>
        <v>293.28608873938344</v>
      </c>
      <c r="F153" s="11">
        <f>D153*'11-Viabilidade'!$K$14</f>
        <v>0</v>
      </c>
      <c r="G153" s="11">
        <f>D153*'11-Viabilidade'!$K$15</f>
        <v>263.95747986544512</v>
      </c>
      <c r="H153" s="11">
        <f>IF(D153=0,'11-Viabilidade'!$K$16+'11-Viabilidade'!$K$17,('11-Viabilidade'!$L$11)*((1+'11-Viabilidade'!$O$10)^(($C153-1)/12)))</f>
        <v>690.19992883334908</v>
      </c>
      <c r="I153" s="11">
        <f>'12-SAC Viabilidade'!G156</f>
        <v>1824.507781684878</v>
      </c>
      <c r="J153" s="11">
        <f>'12-SAC Viabilidade'!H156</f>
        <v>156571.4285714287</v>
      </c>
      <c r="K153" s="132">
        <f>(D153-F153)*'11-Viabilidade'!$O$16</f>
        <v>791.87243959633531</v>
      </c>
      <c r="L153" s="11">
        <f t="shared" si="0"/>
        <v>1415.3258785895114</v>
      </c>
      <c r="M153" s="156">
        <f t="shared" si="1"/>
        <v>3239.8336602743893</v>
      </c>
      <c r="N153" s="13"/>
      <c r="O153" s="43"/>
      <c r="P153" s="41">
        <f>IF(B153&lt;='11-Viabilidade'!$G$11,(P152+(P152*'11-Viabilidade'!$H$12)),0)</f>
        <v>0</v>
      </c>
      <c r="Q153" s="41">
        <f>IF(B153='11-Viabilidade'!$G$11,'11-Viabilidade'!$G$16,0)*(1+'11-Viabilidade'!$G$12)^((B153-1)/12)</f>
        <v>0</v>
      </c>
      <c r="R153" s="170">
        <f t="shared" si="2"/>
        <v>0</v>
      </c>
      <c r="S153" s="41">
        <f t="shared" si="5"/>
        <v>146</v>
      </c>
      <c r="T153" s="155">
        <f>IF($S153&lt;'11-Viabilidade'!$C$24,0,$S153-'11-Viabilidade'!$C$24)</f>
        <v>140</v>
      </c>
      <c r="U153" s="11">
        <f>IF(T153&gt;0,'11-Viabilidade'!$K$10,0)*((1+'11-Viabilidade'!$O$10)^(($T153-1)/12))</f>
        <v>5279.1495973089022</v>
      </c>
      <c r="V153" s="11">
        <f>U153*'11-Viabilidade'!$L$12</f>
        <v>293.28608873938344</v>
      </c>
      <c r="W153" s="11">
        <f>U153*'11-Viabilidade'!$K$14</f>
        <v>0</v>
      </c>
      <c r="X153" s="11">
        <f>U153*'11-Viabilidade'!$K$15</f>
        <v>263.95747986544512</v>
      </c>
      <c r="Y153" s="11">
        <f>IF(AND(U153=0,S153=0),0,IF(AND(U153=0,S153&lt;&gt;0),'11-Viabilidade'!$K$16+'11-Viabilidade'!$K$17,('11-Viabilidade'!$L$11)*((1+'11-Viabilidade'!$O$10)^(($C153-1)/12))))</f>
        <v>690.19992883334908</v>
      </c>
      <c r="Z153" s="157">
        <f>IFERROR(VLOOKUP(S153,'12-SAC Viabilidade'!$B$11:$G$430,6,FALSE),0)</f>
        <v>1824.507781684878</v>
      </c>
      <c r="AA153" s="157">
        <f>IFERROR(VLOOKUP(S153,'12-SAC Viabilidade'!$B$11:$H$430,7,FALSE),0)</f>
        <v>156571.4285714287</v>
      </c>
      <c r="AB153" s="132">
        <f>(U153-W153)*'11-Viabilidade'!$O$16</f>
        <v>791.87243959633531</v>
      </c>
      <c r="AC153" s="11">
        <f t="shared" si="3"/>
        <v>1415.3258785895114</v>
      </c>
      <c r="AD153" s="156">
        <f t="shared" si="4"/>
        <v>3239.8336602743893</v>
      </c>
      <c r="AE153" s="42"/>
      <c r="AF153" s="42"/>
      <c r="AG153" s="42"/>
      <c r="AH153" s="42"/>
    </row>
    <row r="154" spans="1:34" ht="15.75" customHeight="1">
      <c r="A154" s="37"/>
      <c r="B154" s="38">
        <f>IF(AND(B153&gt;0,B153&lt;'11-Viabilidade'!$P$14),B153+1,0)</f>
        <v>147</v>
      </c>
      <c r="C154" s="155">
        <f>IF($B154&lt;'11-Viabilidade'!$C$24,0,$B154-'11-Viabilidade'!$C$24)</f>
        <v>141</v>
      </c>
      <c r="D154" s="11">
        <f>IF(C154&gt;0,'11-Viabilidade'!$K$10,0)*((1+'11-Viabilidade'!$O$10)^(($C154-1)/12))</f>
        <v>5300.6575062407355</v>
      </c>
      <c r="E154" s="11">
        <f>D154*'11-Viabilidade'!$L$12</f>
        <v>294.48097256892976</v>
      </c>
      <c r="F154" s="11">
        <f>D154*'11-Viabilidade'!$K$14</f>
        <v>0</v>
      </c>
      <c r="G154" s="11">
        <f>D154*'11-Viabilidade'!$K$15</f>
        <v>265.03287531203677</v>
      </c>
      <c r="H154" s="11">
        <f>IF(D154=0,'11-Viabilidade'!$K$16+'11-Viabilidade'!$K$17,('11-Viabilidade'!$L$11)*((1+'11-Viabilidade'!$O$10)^(($C154-1)/12)))</f>
        <v>693.01188877888126</v>
      </c>
      <c r="I154" s="11">
        <f>'12-SAC Viabilidade'!G157</f>
        <v>1819.951130011219</v>
      </c>
      <c r="J154" s="11">
        <f>'12-SAC Viabilidade'!H157</f>
        <v>156000.00000000015</v>
      </c>
      <c r="K154" s="132">
        <f>(D154-F154)*'11-Viabilidade'!$O$16</f>
        <v>795.09862593611035</v>
      </c>
      <c r="L154" s="11">
        <f t="shared" si="0"/>
        <v>1433.0820136335583</v>
      </c>
      <c r="M154" s="156">
        <f t="shared" si="1"/>
        <v>3253.0331436447773</v>
      </c>
      <c r="N154" s="13"/>
      <c r="O154" s="43"/>
      <c r="P154" s="41">
        <f>IF(B154&lt;='11-Viabilidade'!$G$11,(P153+(P153*'11-Viabilidade'!$H$12)),0)</f>
        <v>0</v>
      </c>
      <c r="Q154" s="41">
        <f>IF(B154='11-Viabilidade'!$G$11,'11-Viabilidade'!$G$16,0)*(1+'11-Viabilidade'!$G$12)^((B154-1)/12)</f>
        <v>0</v>
      </c>
      <c r="R154" s="170">
        <f t="shared" si="2"/>
        <v>0</v>
      </c>
      <c r="S154" s="41">
        <f t="shared" si="5"/>
        <v>147</v>
      </c>
      <c r="T154" s="155">
        <f>IF($S154&lt;'11-Viabilidade'!$C$24,0,$S154-'11-Viabilidade'!$C$24)</f>
        <v>141</v>
      </c>
      <c r="U154" s="11">
        <f>IF(T154&gt;0,'11-Viabilidade'!$K$10,0)*((1+'11-Viabilidade'!$O$10)^(($T154-1)/12))</f>
        <v>5300.6575062407355</v>
      </c>
      <c r="V154" s="11">
        <f>U154*'11-Viabilidade'!$L$12</f>
        <v>294.48097256892976</v>
      </c>
      <c r="W154" s="11">
        <f>U154*'11-Viabilidade'!$K$14</f>
        <v>0</v>
      </c>
      <c r="X154" s="11">
        <f>U154*'11-Viabilidade'!$K$15</f>
        <v>265.03287531203677</v>
      </c>
      <c r="Y154" s="11">
        <f>IF(AND(U154=0,S154=0),0,IF(AND(U154=0,S154&lt;&gt;0),'11-Viabilidade'!$K$16+'11-Viabilidade'!$K$17,('11-Viabilidade'!$L$11)*((1+'11-Viabilidade'!$O$10)^(($C154-1)/12))))</f>
        <v>693.01188877888126</v>
      </c>
      <c r="Z154" s="157">
        <f>IFERROR(VLOOKUP(S154,'12-SAC Viabilidade'!$B$11:$G$430,6,FALSE),0)</f>
        <v>1819.951130011219</v>
      </c>
      <c r="AA154" s="157">
        <f>IFERROR(VLOOKUP(S154,'12-SAC Viabilidade'!$B$11:$H$430,7,FALSE),0)</f>
        <v>156000.00000000015</v>
      </c>
      <c r="AB154" s="132">
        <f>(U154-W154)*'11-Viabilidade'!$O$16</f>
        <v>795.09862593611035</v>
      </c>
      <c r="AC154" s="11">
        <f t="shared" si="3"/>
        <v>1433.0820136335583</v>
      </c>
      <c r="AD154" s="156">
        <f t="shared" si="4"/>
        <v>3253.0331436447773</v>
      </c>
      <c r="AE154" s="42"/>
      <c r="AF154" s="42"/>
      <c r="AG154" s="42"/>
      <c r="AH154" s="42"/>
    </row>
    <row r="155" spans="1:34" ht="15.75" customHeight="1">
      <c r="A155" s="37"/>
      <c r="B155" s="38">
        <f>IF(AND(B154&gt;0,B154&lt;'11-Viabilidade'!$P$14),B154+1,0)</f>
        <v>148</v>
      </c>
      <c r="C155" s="155">
        <f>IF($B155&lt;'11-Viabilidade'!$C$24,0,$B155-'11-Viabilidade'!$C$24)</f>
        <v>142</v>
      </c>
      <c r="D155" s="11">
        <f>IF(C155&gt;0,'11-Viabilidade'!$K$10,0)*((1+'11-Viabilidade'!$O$10)^(($C155-1)/12))</f>
        <v>5322.2530410558857</v>
      </c>
      <c r="E155" s="11">
        <f>D155*'11-Viabilidade'!$L$12</f>
        <v>295.68072450310473</v>
      </c>
      <c r="F155" s="11">
        <f>D155*'11-Viabilidade'!$K$14</f>
        <v>0</v>
      </c>
      <c r="G155" s="11">
        <f>D155*'11-Viabilidade'!$K$15</f>
        <v>266.11265205279432</v>
      </c>
      <c r="H155" s="11">
        <f>IF(D155=0,'11-Viabilidade'!$K$16+'11-Viabilidade'!$K$17,('11-Viabilidade'!$L$11)*((1+'11-Viabilidade'!$O$10)^(($C155-1)/12)))</f>
        <v>695.83530499730637</v>
      </c>
      <c r="I155" s="11">
        <f>'12-SAC Viabilidade'!G158</f>
        <v>1815.39447833756</v>
      </c>
      <c r="J155" s="11">
        <f>'12-SAC Viabilidade'!H158</f>
        <v>155428.57142857159</v>
      </c>
      <c r="K155" s="132">
        <f>(D155-F155)*'11-Viabilidade'!$O$16</f>
        <v>798.33795615838278</v>
      </c>
      <c r="L155" s="11">
        <f t="shared" si="0"/>
        <v>1450.8919250067374</v>
      </c>
      <c r="M155" s="156">
        <f t="shared" si="1"/>
        <v>3266.2864033442975</v>
      </c>
      <c r="N155" s="13"/>
      <c r="O155" s="43"/>
      <c r="P155" s="41">
        <f>IF(B155&lt;='11-Viabilidade'!$G$11,(P154+(P154*'11-Viabilidade'!$H$12)),0)</f>
        <v>0</v>
      </c>
      <c r="Q155" s="41">
        <f>IF(B155='11-Viabilidade'!$G$11,'11-Viabilidade'!$G$16,0)*(1+'11-Viabilidade'!$G$12)^((B155-1)/12)</f>
        <v>0</v>
      </c>
      <c r="R155" s="170">
        <f t="shared" si="2"/>
        <v>0</v>
      </c>
      <c r="S155" s="41">
        <f t="shared" si="5"/>
        <v>148</v>
      </c>
      <c r="T155" s="155">
        <f>IF($S155&lt;'11-Viabilidade'!$C$24,0,$S155-'11-Viabilidade'!$C$24)</f>
        <v>142</v>
      </c>
      <c r="U155" s="11">
        <f>IF(T155&gt;0,'11-Viabilidade'!$K$10,0)*((1+'11-Viabilidade'!$O$10)^(($T155-1)/12))</f>
        <v>5322.2530410558857</v>
      </c>
      <c r="V155" s="11">
        <f>U155*'11-Viabilidade'!$L$12</f>
        <v>295.68072450310473</v>
      </c>
      <c r="W155" s="11">
        <f>U155*'11-Viabilidade'!$K$14</f>
        <v>0</v>
      </c>
      <c r="X155" s="11">
        <f>U155*'11-Viabilidade'!$K$15</f>
        <v>266.11265205279432</v>
      </c>
      <c r="Y155" s="11">
        <f>IF(AND(U155=0,S155=0),0,IF(AND(U155=0,S155&lt;&gt;0),'11-Viabilidade'!$K$16+'11-Viabilidade'!$K$17,('11-Viabilidade'!$L$11)*((1+'11-Viabilidade'!$O$10)^(($C155-1)/12))))</f>
        <v>695.83530499730637</v>
      </c>
      <c r="Z155" s="157">
        <f>IFERROR(VLOOKUP(S155,'12-SAC Viabilidade'!$B$11:$G$430,6,FALSE),0)</f>
        <v>1815.39447833756</v>
      </c>
      <c r="AA155" s="157">
        <f>IFERROR(VLOOKUP(S155,'12-SAC Viabilidade'!$B$11:$H$430,7,FALSE),0)</f>
        <v>155428.57142857159</v>
      </c>
      <c r="AB155" s="132">
        <f>(U155-W155)*'11-Viabilidade'!$O$16</f>
        <v>798.33795615838278</v>
      </c>
      <c r="AC155" s="11">
        <f t="shared" si="3"/>
        <v>1450.8919250067374</v>
      </c>
      <c r="AD155" s="156">
        <f t="shared" si="4"/>
        <v>3266.2864033442975</v>
      </c>
      <c r="AE155" s="42"/>
      <c r="AF155" s="42"/>
      <c r="AG155" s="42"/>
      <c r="AH155" s="42"/>
    </row>
    <row r="156" spans="1:34" ht="15.75" customHeight="1">
      <c r="A156" s="37"/>
      <c r="B156" s="38">
        <f>IF(AND(B155&gt;0,B155&lt;'11-Viabilidade'!$P$14),B155+1,0)</f>
        <v>149</v>
      </c>
      <c r="C156" s="155">
        <f>IF($B156&lt;'11-Viabilidade'!$C$24,0,$B156-'11-Viabilidade'!$C$24)</f>
        <v>143</v>
      </c>
      <c r="D156" s="11">
        <f>IF(C156&gt;0,'11-Viabilidade'!$K$10,0)*((1+'11-Viabilidade'!$O$10)^(($C156-1)/12))</f>
        <v>5343.9365587530456</v>
      </c>
      <c r="E156" s="11">
        <f>D156*'11-Viabilidade'!$L$12</f>
        <v>296.88536437516916</v>
      </c>
      <c r="F156" s="11">
        <f>D156*'11-Viabilidade'!$K$14</f>
        <v>0</v>
      </c>
      <c r="G156" s="11">
        <f>D156*'11-Viabilidade'!$K$15</f>
        <v>267.1968279376523</v>
      </c>
      <c r="H156" s="11">
        <f>IF(D156=0,'11-Viabilidade'!$K$16+'11-Viabilidade'!$K$17,('11-Viabilidade'!$L$11)*((1+'11-Viabilidade'!$O$10)^(($C156-1)/12)))</f>
        <v>698.67022416289808</v>
      </c>
      <c r="I156" s="11">
        <f>'12-SAC Viabilidade'!G159</f>
        <v>1810.8378266639006</v>
      </c>
      <c r="J156" s="11">
        <f>'12-SAC Viabilidade'!H159</f>
        <v>154857.14285714304</v>
      </c>
      <c r="K156" s="132">
        <f>(D156-F156)*'11-Viabilidade'!$O$16</f>
        <v>801.59048381295679</v>
      </c>
      <c r="L156" s="11">
        <f t="shared" si="0"/>
        <v>1468.7558318004685</v>
      </c>
      <c r="M156" s="156">
        <f t="shared" si="1"/>
        <v>3279.5936584643691</v>
      </c>
      <c r="N156" s="13"/>
      <c r="O156" s="43"/>
      <c r="P156" s="41">
        <f>IF(B156&lt;='11-Viabilidade'!$G$11,(P155+(P155*'11-Viabilidade'!$H$12)),0)</f>
        <v>0</v>
      </c>
      <c r="Q156" s="41">
        <f>IF(B156='11-Viabilidade'!$G$11,'11-Viabilidade'!$G$16,0)*(1+'11-Viabilidade'!$G$12)^((B156-1)/12)</f>
        <v>0</v>
      </c>
      <c r="R156" s="170">
        <f t="shared" si="2"/>
        <v>0</v>
      </c>
      <c r="S156" s="41">
        <f t="shared" si="5"/>
        <v>149</v>
      </c>
      <c r="T156" s="155">
        <f>IF($S156&lt;'11-Viabilidade'!$C$24,0,$S156-'11-Viabilidade'!$C$24)</f>
        <v>143</v>
      </c>
      <c r="U156" s="11">
        <f>IF(T156&gt;0,'11-Viabilidade'!$K$10,0)*((1+'11-Viabilidade'!$O$10)^(($T156-1)/12))</f>
        <v>5343.9365587530456</v>
      </c>
      <c r="V156" s="11">
        <f>U156*'11-Viabilidade'!$L$12</f>
        <v>296.88536437516916</v>
      </c>
      <c r="W156" s="11">
        <f>U156*'11-Viabilidade'!$K$14</f>
        <v>0</v>
      </c>
      <c r="X156" s="11">
        <f>U156*'11-Viabilidade'!$K$15</f>
        <v>267.1968279376523</v>
      </c>
      <c r="Y156" s="11">
        <f>IF(AND(U156=0,S156=0),0,IF(AND(U156=0,S156&lt;&gt;0),'11-Viabilidade'!$K$16+'11-Viabilidade'!$K$17,('11-Viabilidade'!$L$11)*((1+'11-Viabilidade'!$O$10)^(($C156-1)/12))))</f>
        <v>698.67022416289808</v>
      </c>
      <c r="Z156" s="157">
        <f>IFERROR(VLOOKUP(S156,'12-SAC Viabilidade'!$B$11:$G$430,6,FALSE),0)</f>
        <v>1810.8378266639006</v>
      </c>
      <c r="AA156" s="157">
        <f>IFERROR(VLOOKUP(S156,'12-SAC Viabilidade'!$B$11:$H$430,7,FALSE),0)</f>
        <v>154857.14285714304</v>
      </c>
      <c r="AB156" s="132">
        <f>(U156-W156)*'11-Viabilidade'!$O$16</f>
        <v>801.59048381295679</v>
      </c>
      <c r="AC156" s="11">
        <f t="shared" si="3"/>
        <v>1468.7558318004685</v>
      </c>
      <c r="AD156" s="156">
        <f t="shared" si="4"/>
        <v>3279.5936584643691</v>
      </c>
      <c r="AE156" s="42"/>
      <c r="AF156" s="42"/>
      <c r="AG156" s="42"/>
      <c r="AH156" s="42"/>
    </row>
    <row r="157" spans="1:34" ht="15.75" customHeight="1">
      <c r="A157" s="37"/>
      <c r="B157" s="38">
        <f>IF(AND(B156&gt;0,B156&lt;'11-Viabilidade'!$P$14),B156+1,0)</f>
        <v>150</v>
      </c>
      <c r="C157" s="155">
        <f>IF($B157&lt;'11-Viabilidade'!$C$24,0,$B157-'11-Viabilidade'!$C$24)</f>
        <v>144</v>
      </c>
      <c r="D157" s="11">
        <f>IF(C157&gt;0,'11-Viabilidade'!$K$10,0)*((1+'11-Viabilidade'!$O$10)^(($C157-1)/12))</f>
        <v>5365.7084177853685</v>
      </c>
      <c r="E157" s="11">
        <f>D157*'11-Viabilidade'!$L$12</f>
        <v>298.09491209918713</v>
      </c>
      <c r="F157" s="11">
        <f>D157*'11-Viabilidade'!$K$14</f>
        <v>0</v>
      </c>
      <c r="G157" s="11">
        <f>D157*'11-Viabilidade'!$K$15</f>
        <v>268.28542088926844</v>
      </c>
      <c r="H157" s="11">
        <f>IF(D157=0,'11-Viabilidade'!$K$16+'11-Viabilidade'!$K$17,('11-Viabilidade'!$L$11)*((1+'11-Viabilidade'!$O$10)^(($C157-1)/12)))</f>
        <v>701.516693140087</v>
      </c>
      <c r="I157" s="11">
        <f>'12-SAC Viabilidade'!G160</f>
        <v>1806.2811749902417</v>
      </c>
      <c r="J157" s="11">
        <f>'12-SAC Viabilidade'!H160</f>
        <v>154285.71428571449</v>
      </c>
      <c r="K157" s="132">
        <f>(D157-F157)*'11-Viabilidade'!$O$16</f>
        <v>804.85626266780525</v>
      </c>
      <c r="L157" s="11">
        <f t="shared" si="0"/>
        <v>1486.6739539987789</v>
      </c>
      <c r="M157" s="156">
        <f t="shared" si="1"/>
        <v>3292.9551289890205</v>
      </c>
      <c r="N157" s="13"/>
      <c r="O157" s="43"/>
      <c r="P157" s="41">
        <f>IF(B157&lt;='11-Viabilidade'!$G$11,(P156+(P156*'11-Viabilidade'!$H$12)),0)</f>
        <v>0</v>
      </c>
      <c r="Q157" s="41">
        <f>IF(B157='11-Viabilidade'!$G$11,'11-Viabilidade'!$G$16,0)*(1+'11-Viabilidade'!$G$12)^((B157-1)/12)</f>
        <v>0</v>
      </c>
      <c r="R157" s="170">
        <f t="shared" si="2"/>
        <v>0</v>
      </c>
      <c r="S157" s="41">
        <f t="shared" si="5"/>
        <v>150</v>
      </c>
      <c r="T157" s="155">
        <f>IF($S157&lt;'11-Viabilidade'!$C$24,0,$S157-'11-Viabilidade'!$C$24)</f>
        <v>144</v>
      </c>
      <c r="U157" s="11">
        <f>IF(T157&gt;0,'11-Viabilidade'!$K$10,0)*((1+'11-Viabilidade'!$O$10)^(($T157-1)/12))</f>
        <v>5365.7084177853685</v>
      </c>
      <c r="V157" s="11">
        <f>U157*'11-Viabilidade'!$L$12</f>
        <v>298.09491209918713</v>
      </c>
      <c r="W157" s="11">
        <f>U157*'11-Viabilidade'!$K$14</f>
        <v>0</v>
      </c>
      <c r="X157" s="11">
        <f>U157*'11-Viabilidade'!$K$15</f>
        <v>268.28542088926844</v>
      </c>
      <c r="Y157" s="11">
        <f>IF(AND(U157=0,S157=0),0,IF(AND(U157=0,S157&lt;&gt;0),'11-Viabilidade'!$K$16+'11-Viabilidade'!$K$17,('11-Viabilidade'!$L$11)*((1+'11-Viabilidade'!$O$10)^(($C157-1)/12))))</f>
        <v>701.516693140087</v>
      </c>
      <c r="Z157" s="157">
        <f>IFERROR(VLOOKUP(S157,'12-SAC Viabilidade'!$B$11:$G$430,6,FALSE),0)</f>
        <v>1806.2811749902417</v>
      </c>
      <c r="AA157" s="157">
        <f>IFERROR(VLOOKUP(S157,'12-SAC Viabilidade'!$B$11:$H$430,7,FALSE),0)</f>
        <v>154285.71428571449</v>
      </c>
      <c r="AB157" s="132">
        <f>(U157-W157)*'11-Viabilidade'!$O$16</f>
        <v>804.85626266780525</v>
      </c>
      <c r="AC157" s="11">
        <f t="shared" si="3"/>
        <v>1486.6739539987789</v>
      </c>
      <c r="AD157" s="156">
        <f t="shared" si="4"/>
        <v>3292.9551289890205</v>
      </c>
      <c r="AE157" s="42"/>
      <c r="AF157" s="42"/>
      <c r="AG157" s="42"/>
      <c r="AH157" s="42"/>
    </row>
    <row r="158" spans="1:34" ht="15.75" customHeight="1">
      <c r="A158" s="37"/>
      <c r="B158" s="38">
        <f>IF(AND(B157&gt;0,B157&lt;'11-Viabilidade'!$P$14),B157+1,0)</f>
        <v>151</v>
      </c>
      <c r="C158" s="155">
        <f>IF($B158&lt;'11-Viabilidade'!$C$24,0,$B158-'11-Viabilidade'!$C$24)</f>
        <v>145</v>
      </c>
      <c r="D158" s="11">
        <f>IF(C158&gt;0,'11-Viabilidade'!$K$10,0)*((1+'11-Viabilidade'!$O$10)^(($C158-1)/12))</f>
        <v>5387.5689780663879</v>
      </c>
      <c r="E158" s="11">
        <f>D158*'11-Viabilidade'!$L$12</f>
        <v>299.30938767035485</v>
      </c>
      <c r="F158" s="11">
        <f>D158*'11-Viabilidade'!$K$14</f>
        <v>0</v>
      </c>
      <c r="G158" s="11">
        <f>D158*'11-Viabilidade'!$K$15</f>
        <v>269.37844890331939</v>
      </c>
      <c r="H158" s="11">
        <f>IF(D158=0,'11-Viabilidade'!$K$16+'11-Viabilidade'!$K$17,('11-Viabilidade'!$L$11)*((1+'11-Viabilidade'!$O$10)^(($C158-1)/12)))</f>
        <v>704.37475898423497</v>
      </c>
      <c r="I158" s="11">
        <f>'12-SAC Viabilidade'!G161</f>
        <v>1801.7245233165822</v>
      </c>
      <c r="J158" s="11">
        <f>'12-SAC Viabilidade'!H161</f>
        <v>153714.28571428594</v>
      </c>
      <c r="K158" s="132">
        <f>(D158-F158)*'11-Viabilidade'!$O$16</f>
        <v>808.13534670995818</v>
      </c>
      <c r="L158" s="11">
        <f t="shared" si="0"/>
        <v>1504.6465124819379</v>
      </c>
      <c r="M158" s="156">
        <f t="shared" si="1"/>
        <v>3306.3710357985201</v>
      </c>
      <c r="N158" s="13"/>
      <c r="O158" s="43"/>
      <c r="P158" s="41">
        <f>IF(B158&lt;='11-Viabilidade'!$G$11,(P157+(P157*'11-Viabilidade'!$H$12)),0)</f>
        <v>0</v>
      </c>
      <c r="Q158" s="41">
        <f>IF(B158='11-Viabilidade'!$G$11,'11-Viabilidade'!$G$16,0)*(1+'11-Viabilidade'!$G$12)^((B158-1)/12)</f>
        <v>0</v>
      </c>
      <c r="R158" s="170">
        <f t="shared" si="2"/>
        <v>0</v>
      </c>
      <c r="S158" s="41">
        <f t="shared" si="5"/>
        <v>151</v>
      </c>
      <c r="T158" s="155">
        <f>IF($S158&lt;'11-Viabilidade'!$C$24,0,$S158-'11-Viabilidade'!$C$24)</f>
        <v>145</v>
      </c>
      <c r="U158" s="11">
        <f>IF(T158&gt;0,'11-Viabilidade'!$K$10,0)*((1+'11-Viabilidade'!$O$10)^(($T158-1)/12))</f>
        <v>5387.5689780663879</v>
      </c>
      <c r="V158" s="11">
        <f>U158*'11-Viabilidade'!$L$12</f>
        <v>299.30938767035485</v>
      </c>
      <c r="W158" s="11">
        <f>U158*'11-Viabilidade'!$K$14</f>
        <v>0</v>
      </c>
      <c r="X158" s="11">
        <f>U158*'11-Viabilidade'!$K$15</f>
        <v>269.37844890331939</v>
      </c>
      <c r="Y158" s="11">
        <f>IF(AND(U158=0,S158=0),0,IF(AND(U158=0,S158&lt;&gt;0),'11-Viabilidade'!$K$16+'11-Viabilidade'!$K$17,('11-Viabilidade'!$L$11)*((1+'11-Viabilidade'!$O$10)^(($C158-1)/12))))</f>
        <v>704.37475898423497</v>
      </c>
      <c r="Z158" s="157">
        <f>IFERROR(VLOOKUP(S158,'12-SAC Viabilidade'!$B$11:$G$430,6,FALSE),0)</f>
        <v>1801.7245233165822</v>
      </c>
      <c r="AA158" s="157">
        <f>IFERROR(VLOOKUP(S158,'12-SAC Viabilidade'!$B$11:$H$430,7,FALSE),0)</f>
        <v>153714.28571428594</v>
      </c>
      <c r="AB158" s="132">
        <f>(U158-W158)*'11-Viabilidade'!$O$16</f>
        <v>808.13534670995818</v>
      </c>
      <c r="AC158" s="11">
        <f t="shared" si="3"/>
        <v>1504.6465124819379</v>
      </c>
      <c r="AD158" s="156">
        <f t="shared" si="4"/>
        <v>3306.3710357985201</v>
      </c>
      <c r="AE158" s="42"/>
      <c r="AF158" s="42"/>
      <c r="AG158" s="42"/>
      <c r="AH158" s="42"/>
    </row>
    <row r="159" spans="1:34" ht="15.75" customHeight="1">
      <c r="A159" s="37"/>
      <c r="B159" s="38">
        <f>IF(AND(B158&gt;0,B158&lt;'11-Viabilidade'!$P$14),B158+1,0)</f>
        <v>152</v>
      </c>
      <c r="C159" s="155">
        <f>IF($B159&lt;'11-Viabilidade'!$C$24,0,$B159-'11-Viabilidade'!$C$24)</f>
        <v>146</v>
      </c>
      <c r="D159" s="11">
        <f>IF(C159&gt;0,'11-Viabilidade'!$K$10,0)*((1+'11-Viabilidade'!$O$10)^(($C159-1)/12))</f>
        <v>5409.5186009759764</v>
      </c>
      <c r="E159" s="11">
        <f>D159*'11-Viabilidade'!$L$12</f>
        <v>300.528811165332</v>
      </c>
      <c r="F159" s="11">
        <f>D159*'11-Viabilidade'!$K$14</f>
        <v>0</v>
      </c>
      <c r="G159" s="11">
        <f>D159*'11-Viabilidade'!$K$15</f>
        <v>270.47593004879883</v>
      </c>
      <c r="H159" s="11">
        <f>IF(D159=0,'11-Viabilidade'!$K$16+'11-Viabilidade'!$K$17,('11-Viabilidade'!$L$11)*((1+'11-Viabilidade'!$O$10)^(($C159-1)/12)))</f>
        <v>707.24446894241464</v>
      </c>
      <c r="I159" s="11">
        <f>'12-SAC Viabilidade'!G162</f>
        <v>1797.1678716429233</v>
      </c>
      <c r="J159" s="11">
        <f>'12-SAC Viabilidade'!H162</f>
        <v>153142.85714285739</v>
      </c>
      <c r="K159" s="132">
        <f>(D159-F159)*'11-Viabilidade'!$O$16</f>
        <v>811.42779014639643</v>
      </c>
      <c r="L159" s="11">
        <f t="shared" si="0"/>
        <v>1522.6737290301112</v>
      </c>
      <c r="M159" s="156">
        <f t="shared" si="1"/>
        <v>3319.8416006730345</v>
      </c>
      <c r="N159" s="13"/>
      <c r="O159" s="43"/>
      <c r="P159" s="41">
        <f>IF(B159&lt;='11-Viabilidade'!$G$11,(P158+(P158*'11-Viabilidade'!$H$12)),0)</f>
        <v>0</v>
      </c>
      <c r="Q159" s="41">
        <f>IF(B159='11-Viabilidade'!$G$11,'11-Viabilidade'!$G$16,0)*(1+'11-Viabilidade'!$G$12)^((B159-1)/12)</f>
        <v>0</v>
      </c>
      <c r="R159" s="170">
        <f t="shared" si="2"/>
        <v>0</v>
      </c>
      <c r="S159" s="41">
        <f t="shared" si="5"/>
        <v>152</v>
      </c>
      <c r="T159" s="155">
        <f>IF($S159&lt;'11-Viabilidade'!$C$24,0,$S159-'11-Viabilidade'!$C$24)</f>
        <v>146</v>
      </c>
      <c r="U159" s="11">
        <f>IF(T159&gt;0,'11-Viabilidade'!$K$10,0)*((1+'11-Viabilidade'!$O$10)^(($T159-1)/12))</f>
        <v>5409.5186009759764</v>
      </c>
      <c r="V159" s="11">
        <f>U159*'11-Viabilidade'!$L$12</f>
        <v>300.528811165332</v>
      </c>
      <c r="W159" s="11">
        <f>U159*'11-Viabilidade'!$K$14</f>
        <v>0</v>
      </c>
      <c r="X159" s="11">
        <f>U159*'11-Viabilidade'!$K$15</f>
        <v>270.47593004879883</v>
      </c>
      <c r="Y159" s="11">
        <f>IF(AND(U159=0,S159=0),0,IF(AND(U159=0,S159&lt;&gt;0),'11-Viabilidade'!$K$16+'11-Viabilidade'!$K$17,('11-Viabilidade'!$L$11)*((1+'11-Viabilidade'!$O$10)^(($C159-1)/12))))</f>
        <v>707.24446894241464</v>
      </c>
      <c r="Z159" s="157">
        <f>IFERROR(VLOOKUP(S159,'12-SAC Viabilidade'!$B$11:$G$430,6,FALSE),0)</f>
        <v>1797.1678716429233</v>
      </c>
      <c r="AA159" s="157">
        <f>IFERROR(VLOOKUP(S159,'12-SAC Viabilidade'!$B$11:$H$430,7,FALSE),0)</f>
        <v>153142.85714285739</v>
      </c>
      <c r="AB159" s="132">
        <f>(U159-W159)*'11-Viabilidade'!$O$16</f>
        <v>811.42779014639643</v>
      </c>
      <c r="AC159" s="11">
        <f t="shared" si="3"/>
        <v>1522.6737290301112</v>
      </c>
      <c r="AD159" s="156">
        <f t="shared" si="4"/>
        <v>3319.8416006730345</v>
      </c>
      <c r="AE159" s="42"/>
      <c r="AF159" s="42"/>
      <c r="AG159" s="42"/>
      <c r="AH159" s="42"/>
    </row>
    <row r="160" spans="1:34" ht="15.75" customHeight="1">
      <c r="A160" s="37"/>
      <c r="B160" s="38">
        <f>IF(AND(B159&gt;0,B159&lt;'11-Viabilidade'!$P$14),B159+1,0)</f>
        <v>153</v>
      </c>
      <c r="C160" s="155">
        <f>IF($B160&lt;'11-Viabilidade'!$C$24,0,$B160-'11-Viabilidade'!$C$24)</f>
        <v>147</v>
      </c>
      <c r="D160" s="11">
        <f>IF(C160&gt;0,'11-Viabilidade'!$K$10,0)*((1+'11-Viabilidade'!$O$10)^(($C160-1)/12))</f>
        <v>5431.5576493663011</v>
      </c>
      <c r="E160" s="11">
        <f>D160*'11-Viabilidade'!$L$12</f>
        <v>301.75320274257228</v>
      </c>
      <c r="F160" s="11">
        <f>D160*'11-Viabilidade'!$K$14</f>
        <v>0</v>
      </c>
      <c r="G160" s="11">
        <f>D160*'11-Viabilidade'!$K$15</f>
        <v>271.57788246831507</v>
      </c>
      <c r="H160" s="11">
        <f>IF(D160=0,'11-Viabilidade'!$K$16+'11-Viabilidade'!$K$17,('11-Viabilidade'!$L$11)*((1+'11-Viabilidade'!$O$10)^(($C160-1)/12)))</f>
        <v>710.12587045418661</v>
      </c>
      <c r="I160" s="11">
        <f>'12-SAC Viabilidade'!G163</f>
        <v>1792.6112199692643</v>
      </c>
      <c r="J160" s="11">
        <f>'12-SAC Viabilidade'!H163</f>
        <v>152571.42857142884</v>
      </c>
      <c r="K160" s="132">
        <f>(D160-F160)*'11-Viabilidade'!$O$16</f>
        <v>814.73364740494515</v>
      </c>
      <c r="L160" s="11">
        <f t="shared" si="0"/>
        <v>1540.7558263270175</v>
      </c>
      <c r="M160" s="156">
        <f t="shared" si="1"/>
        <v>3333.3670462962818</v>
      </c>
      <c r="N160" s="13"/>
      <c r="O160" s="43"/>
      <c r="P160" s="41">
        <f>IF(B160&lt;='11-Viabilidade'!$G$11,(P159+(P159*'11-Viabilidade'!$H$12)),0)</f>
        <v>0</v>
      </c>
      <c r="Q160" s="41">
        <f>IF(B160='11-Viabilidade'!$G$11,'11-Viabilidade'!$G$16,0)*(1+'11-Viabilidade'!$G$12)^((B160-1)/12)</f>
        <v>0</v>
      </c>
      <c r="R160" s="170">
        <f t="shared" si="2"/>
        <v>0</v>
      </c>
      <c r="S160" s="41">
        <f t="shared" si="5"/>
        <v>153</v>
      </c>
      <c r="T160" s="155">
        <f>IF($S160&lt;'11-Viabilidade'!$C$24,0,$S160-'11-Viabilidade'!$C$24)</f>
        <v>147</v>
      </c>
      <c r="U160" s="11">
        <f>IF(T160&gt;0,'11-Viabilidade'!$K$10,0)*((1+'11-Viabilidade'!$O$10)^(($T160-1)/12))</f>
        <v>5431.5576493663011</v>
      </c>
      <c r="V160" s="11">
        <f>U160*'11-Viabilidade'!$L$12</f>
        <v>301.75320274257228</v>
      </c>
      <c r="W160" s="11">
        <f>U160*'11-Viabilidade'!$K$14</f>
        <v>0</v>
      </c>
      <c r="X160" s="11">
        <f>U160*'11-Viabilidade'!$K$15</f>
        <v>271.57788246831507</v>
      </c>
      <c r="Y160" s="11">
        <f>IF(AND(U160=0,S160=0),0,IF(AND(U160=0,S160&lt;&gt;0),'11-Viabilidade'!$K$16+'11-Viabilidade'!$K$17,('11-Viabilidade'!$L$11)*((1+'11-Viabilidade'!$O$10)^(($C160-1)/12))))</f>
        <v>710.12587045418661</v>
      </c>
      <c r="Z160" s="157">
        <f>IFERROR(VLOOKUP(S160,'12-SAC Viabilidade'!$B$11:$G$430,6,FALSE),0)</f>
        <v>1792.6112199692643</v>
      </c>
      <c r="AA160" s="157">
        <f>IFERROR(VLOOKUP(S160,'12-SAC Viabilidade'!$B$11:$H$430,7,FALSE),0)</f>
        <v>152571.42857142884</v>
      </c>
      <c r="AB160" s="132">
        <f>(U160-W160)*'11-Viabilidade'!$O$16</f>
        <v>814.73364740494515</v>
      </c>
      <c r="AC160" s="11">
        <f t="shared" si="3"/>
        <v>1540.7558263270175</v>
      </c>
      <c r="AD160" s="156">
        <f t="shared" si="4"/>
        <v>3333.3670462962818</v>
      </c>
      <c r="AE160" s="42"/>
      <c r="AF160" s="42"/>
      <c r="AG160" s="42"/>
      <c r="AH160" s="42"/>
    </row>
    <row r="161" spans="1:34" ht="15.75" customHeight="1">
      <c r="A161" s="37"/>
      <c r="B161" s="38">
        <f>IF(AND(B160&gt;0,B160&lt;'11-Viabilidade'!$P$14),B160+1,0)</f>
        <v>154</v>
      </c>
      <c r="C161" s="155">
        <f>IF($B161&lt;'11-Viabilidade'!$C$24,0,$B161-'11-Viabilidade'!$C$24)</f>
        <v>148</v>
      </c>
      <c r="D161" s="11">
        <f>IF(C161&gt;0,'11-Viabilidade'!$K$10,0)*((1+'11-Viabilidade'!$O$10)^(($C161-1)/12))</f>
        <v>5453.6864875678411</v>
      </c>
      <c r="E161" s="11">
        <f>D161*'11-Viabilidade'!$L$12</f>
        <v>302.9825826426578</v>
      </c>
      <c r="F161" s="11">
        <f>D161*'11-Viabilidade'!$K$14</f>
        <v>0</v>
      </c>
      <c r="G161" s="11">
        <f>D161*'11-Viabilidade'!$K$15</f>
        <v>272.68432437839209</v>
      </c>
      <c r="H161" s="11">
        <f>IF(D161=0,'11-Viabilidade'!$K$16+'11-Viabilidade'!$K$17,('11-Viabilidade'!$L$11)*((1+'11-Viabilidade'!$O$10)^(($C161-1)/12)))</f>
        <v>713.01901115238798</v>
      </c>
      <c r="I161" s="11">
        <f>'12-SAC Viabilidade'!G164</f>
        <v>1788.0545682956049</v>
      </c>
      <c r="J161" s="11">
        <f>'12-SAC Viabilidade'!H164</f>
        <v>152000.00000000026</v>
      </c>
      <c r="K161" s="132">
        <f>(D161-F161)*'11-Viabilidade'!$O$16</f>
        <v>818.0529731351761</v>
      </c>
      <c r="L161" s="11">
        <f t="shared" si="0"/>
        <v>1558.8930279636224</v>
      </c>
      <c r="M161" s="156">
        <f t="shared" si="1"/>
        <v>3346.9475962592273</v>
      </c>
      <c r="N161" s="13"/>
      <c r="O161" s="43"/>
      <c r="P161" s="41">
        <f>IF(B161&lt;='11-Viabilidade'!$G$11,(P160+(P160*'11-Viabilidade'!$H$12)),0)</f>
        <v>0</v>
      </c>
      <c r="Q161" s="41">
        <f>IF(B161='11-Viabilidade'!$G$11,'11-Viabilidade'!$G$16,0)*(1+'11-Viabilidade'!$G$12)^((B161-1)/12)</f>
        <v>0</v>
      </c>
      <c r="R161" s="170">
        <f t="shared" si="2"/>
        <v>0</v>
      </c>
      <c r="S161" s="41">
        <f t="shared" si="5"/>
        <v>154</v>
      </c>
      <c r="T161" s="155">
        <f>IF($S161&lt;'11-Viabilidade'!$C$24,0,$S161-'11-Viabilidade'!$C$24)</f>
        <v>148</v>
      </c>
      <c r="U161" s="11">
        <f>IF(T161&gt;0,'11-Viabilidade'!$K$10,0)*((1+'11-Viabilidade'!$O$10)^(($T161-1)/12))</f>
        <v>5453.6864875678411</v>
      </c>
      <c r="V161" s="11">
        <f>U161*'11-Viabilidade'!$L$12</f>
        <v>302.9825826426578</v>
      </c>
      <c r="W161" s="11">
        <f>U161*'11-Viabilidade'!$K$14</f>
        <v>0</v>
      </c>
      <c r="X161" s="11">
        <f>U161*'11-Viabilidade'!$K$15</f>
        <v>272.68432437839209</v>
      </c>
      <c r="Y161" s="11">
        <f>IF(AND(U161=0,S161=0),0,IF(AND(U161=0,S161&lt;&gt;0),'11-Viabilidade'!$K$16+'11-Viabilidade'!$K$17,('11-Viabilidade'!$L$11)*((1+'11-Viabilidade'!$O$10)^(($C161-1)/12))))</f>
        <v>713.01901115238798</v>
      </c>
      <c r="Z161" s="157">
        <f>IFERROR(VLOOKUP(S161,'12-SAC Viabilidade'!$B$11:$G$430,6,FALSE),0)</f>
        <v>1788.0545682956049</v>
      </c>
      <c r="AA161" s="157">
        <f>IFERROR(VLOOKUP(S161,'12-SAC Viabilidade'!$B$11:$H$430,7,FALSE),0)</f>
        <v>152000.00000000026</v>
      </c>
      <c r="AB161" s="132">
        <f>(U161-W161)*'11-Viabilidade'!$O$16</f>
        <v>818.0529731351761</v>
      </c>
      <c r="AC161" s="11">
        <f t="shared" si="3"/>
        <v>1558.8930279636224</v>
      </c>
      <c r="AD161" s="156">
        <f t="shared" si="4"/>
        <v>3346.9475962592273</v>
      </c>
      <c r="AE161" s="42"/>
      <c r="AF161" s="42"/>
      <c r="AG161" s="42"/>
      <c r="AH161" s="42"/>
    </row>
    <row r="162" spans="1:34" ht="15.75" customHeight="1">
      <c r="A162" s="37"/>
      <c r="B162" s="38">
        <f>IF(AND(B161&gt;0,B161&lt;'11-Viabilidade'!$P$14),B161+1,0)</f>
        <v>155</v>
      </c>
      <c r="C162" s="155">
        <f>IF($B162&lt;'11-Viabilidade'!$C$24,0,$B162-'11-Viabilidade'!$C$24)</f>
        <v>149</v>
      </c>
      <c r="D162" s="11">
        <f>IF(C162&gt;0,'11-Viabilidade'!$K$10,0)*((1+'11-Viabilidade'!$O$10)^(($C162-1)/12))</f>
        <v>5475.9054813954026</v>
      </c>
      <c r="E162" s="11">
        <f>D162*'11-Viabilidade'!$L$12</f>
        <v>304.21697118863347</v>
      </c>
      <c r="F162" s="11">
        <f>D162*'11-Viabilidade'!$K$14</f>
        <v>0</v>
      </c>
      <c r="G162" s="11">
        <f>D162*'11-Viabilidade'!$K$15</f>
        <v>273.79527406977013</v>
      </c>
      <c r="H162" s="11">
        <f>IF(D162=0,'11-Viabilidade'!$K$16+'11-Viabilidade'!$K$17,('11-Viabilidade'!$L$11)*((1+'11-Viabilidade'!$O$10)^(($C162-1)/12)))</f>
        <v>715.92393886391733</v>
      </c>
      <c r="I162" s="11">
        <f>'12-SAC Viabilidade'!G165</f>
        <v>1783.4979166219455</v>
      </c>
      <c r="J162" s="11">
        <f>'12-SAC Viabilidade'!H165</f>
        <v>151428.57142857168</v>
      </c>
      <c r="K162" s="132">
        <f>(D162-F162)*'11-Viabilidade'!$O$16</f>
        <v>821.38582220931039</v>
      </c>
      <c r="L162" s="11">
        <f t="shared" si="0"/>
        <v>1577.0855584418259</v>
      </c>
      <c r="M162" s="156">
        <f t="shared" si="1"/>
        <v>3360.5834750637714</v>
      </c>
      <c r="N162" s="13"/>
      <c r="O162" s="43"/>
      <c r="P162" s="41">
        <f>IF(B162&lt;='11-Viabilidade'!$G$11,(P161+(P161*'11-Viabilidade'!$H$12)),0)</f>
        <v>0</v>
      </c>
      <c r="Q162" s="41">
        <f>IF(B162='11-Viabilidade'!$G$11,'11-Viabilidade'!$G$16,0)*(1+'11-Viabilidade'!$G$12)^((B162-1)/12)</f>
        <v>0</v>
      </c>
      <c r="R162" s="170">
        <f t="shared" si="2"/>
        <v>0</v>
      </c>
      <c r="S162" s="41">
        <f t="shared" si="5"/>
        <v>155</v>
      </c>
      <c r="T162" s="155">
        <f>IF($S162&lt;'11-Viabilidade'!$C$24,0,$S162-'11-Viabilidade'!$C$24)</f>
        <v>149</v>
      </c>
      <c r="U162" s="11">
        <f>IF(T162&gt;0,'11-Viabilidade'!$K$10,0)*((1+'11-Viabilidade'!$O$10)^(($T162-1)/12))</f>
        <v>5475.9054813954026</v>
      </c>
      <c r="V162" s="11">
        <f>U162*'11-Viabilidade'!$L$12</f>
        <v>304.21697118863347</v>
      </c>
      <c r="W162" s="11">
        <f>U162*'11-Viabilidade'!$K$14</f>
        <v>0</v>
      </c>
      <c r="X162" s="11">
        <f>U162*'11-Viabilidade'!$K$15</f>
        <v>273.79527406977013</v>
      </c>
      <c r="Y162" s="11">
        <f>IF(AND(U162=0,S162=0),0,IF(AND(U162=0,S162&lt;&gt;0),'11-Viabilidade'!$K$16+'11-Viabilidade'!$K$17,('11-Viabilidade'!$L$11)*((1+'11-Viabilidade'!$O$10)^(($C162-1)/12))))</f>
        <v>715.92393886391733</v>
      </c>
      <c r="Z162" s="157">
        <f>IFERROR(VLOOKUP(S162,'12-SAC Viabilidade'!$B$11:$G$430,6,FALSE),0)</f>
        <v>1783.4979166219455</v>
      </c>
      <c r="AA162" s="157">
        <f>IFERROR(VLOOKUP(S162,'12-SAC Viabilidade'!$B$11:$H$430,7,FALSE),0)</f>
        <v>151428.57142857168</v>
      </c>
      <c r="AB162" s="132">
        <f>(U162-W162)*'11-Viabilidade'!$O$16</f>
        <v>821.38582220931039</v>
      </c>
      <c r="AC162" s="11">
        <f t="shared" si="3"/>
        <v>1577.0855584418259</v>
      </c>
      <c r="AD162" s="156">
        <f t="shared" si="4"/>
        <v>3360.5834750637714</v>
      </c>
      <c r="AE162" s="42"/>
      <c r="AF162" s="42"/>
      <c r="AG162" s="42"/>
      <c r="AH162" s="42"/>
    </row>
    <row r="163" spans="1:34" ht="15.75" customHeight="1">
      <c r="A163" s="158" t="s">
        <v>245</v>
      </c>
      <c r="B163" s="159">
        <f>IF(AND(B162&gt;0,B162&lt;'11-Viabilidade'!$P$14),B162+1,0)</f>
        <v>156</v>
      </c>
      <c r="C163" s="160">
        <f>IF($B163&lt;'11-Viabilidade'!$C$24,0,$B163-'11-Viabilidade'!$C$24)</f>
        <v>150</v>
      </c>
      <c r="D163" s="161">
        <f>IF(C163&gt;0,'11-Viabilidade'!$K$10,0)*((1+'11-Viabilidade'!$O$10)^(($C163-1)/12))</f>
        <v>5498.2149981541652</v>
      </c>
      <c r="E163" s="161">
        <f>D163*'11-Viabilidade'!$L$12</f>
        <v>305.45638878634247</v>
      </c>
      <c r="F163" s="161">
        <f>D163*'11-Viabilidade'!$K$14</f>
        <v>0</v>
      </c>
      <c r="G163" s="161">
        <f>D163*'11-Viabilidade'!$K$15</f>
        <v>274.91074990770829</v>
      </c>
      <c r="H163" s="11">
        <f>IF(D163=0,'11-Viabilidade'!$K$16+'11-Viabilidade'!$K$17,('11-Viabilidade'!$L$11)*((1+'11-Viabilidade'!$O$10)^(($C163-1)/12)))</f>
        <v>718.84070161052591</v>
      </c>
      <c r="I163" s="161">
        <f>'12-SAC Viabilidade'!G166</f>
        <v>1778.9412649482865</v>
      </c>
      <c r="J163" s="161">
        <f>'12-SAC Viabilidade'!H166</f>
        <v>150857.1428571431</v>
      </c>
      <c r="K163" s="162">
        <f>(D163-F163)*'11-Viabilidade'!$O$16</f>
        <v>824.73224972312471</v>
      </c>
      <c r="L163" s="161">
        <f t="shared" si="0"/>
        <v>1595.3336431781772</v>
      </c>
      <c r="M163" s="163">
        <f t="shared" si="1"/>
        <v>3374.2749081264637</v>
      </c>
      <c r="N163" s="164"/>
      <c r="O163" s="171"/>
      <c r="P163" s="165">
        <f>IF(B163&lt;='11-Viabilidade'!$G$11,(P162+(P162*'11-Viabilidade'!$H$12)),0)</f>
        <v>0</v>
      </c>
      <c r="Q163" s="165">
        <f>IF(B163='11-Viabilidade'!$G$11,'11-Viabilidade'!$G$16,0)*(1+'11-Viabilidade'!$G$12)^((B163-1)/12)</f>
        <v>0</v>
      </c>
      <c r="R163" s="172">
        <f t="shared" si="2"/>
        <v>0</v>
      </c>
      <c r="S163" s="165">
        <f t="shared" si="5"/>
        <v>156</v>
      </c>
      <c r="T163" s="160">
        <f>IF($S163&lt;'11-Viabilidade'!$C$24,0,$S163-'11-Viabilidade'!$C$24)</f>
        <v>150</v>
      </c>
      <c r="U163" s="161">
        <f>IF(T163&gt;0,'11-Viabilidade'!$K$10,0)*((1+'11-Viabilidade'!$O$10)^(($T163-1)/12))</f>
        <v>5498.2149981541652</v>
      </c>
      <c r="V163" s="161">
        <f>U163*'11-Viabilidade'!$L$12</f>
        <v>305.45638878634247</v>
      </c>
      <c r="W163" s="161">
        <f>U163*'11-Viabilidade'!$K$14</f>
        <v>0</v>
      </c>
      <c r="X163" s="161">
        <f>U163*'11-Viabilidade'!$K$15</f>
        <v>274.91074990770829</v>
      </c>
      <c r="Y163" s="11">
        <f>IF(AND(U163=0,S163=0),0,IF(AND(U163=0,S163&lt;&gt;0),'11-Viabilidade'!$K$16+'11-Viabilidade'!$K$17,('11-Viabilidade'!$L$11)*((1+'11-Viabilidade'!$O$10)^(($C163-1)/12))))</f>
        <v>718.84070161052591</v>
      </c>
      <c r="Z163" s="168">
        <f>IFERROR(VLOOKUP(S163,'12-SAC Viabilidade'!$B$11:$G$430,6,FALSE),0)</f>
        <v>1778.9412649482865</v>
      </c>
      <c r="AA163" s="168">
        <f>IFERROR(VLOOKUP(S163,'12-SAC Viabilidade'!$B$11:$H$430,7,FALSE),0)</f>
        <v>150857.1428571431</v>
      </c>
      <c r="AB163" s="162">
        <f>(U163-W163)*'11-Viabilidade'!$O$16</f>
        <v>824.73224972312471</v>
      </c>
      <c r="AC163" s="161">
        <f t="shared" si="3"/>
        <v>1595.3336431781772</v>
      </c>
      <c r="AD163" s="163">
        <f t="shared" si="4"/>
        <v>3374.2749081264637</v>
      </c>
      <c r="AE163" s="173"/>
      <c r="AF163" s="173"/>
      <c r="AG163" s="173"/>
      <c r="AH163" s="173"/>
    </row>
    <row r="164" spans="1:34" ht="15.75" customHeight="1">
      <c r="A164" s="37"/>
      <c r="B164" s="38">
        <f>IF(AND(B163&gt;0,B163&lt;'11-Viabilidade'!$P$14),B163+1,0)</f>
        <v>157</v>
      </c>
      <c r="C164" s="155">
        <f>IF($B164&lt;'11-Viabilidade'!$C$24,0,$B164-'11-Viabilidade'!$C$24)</f>
        <v>151</v>
      </c>
      <c r="D164" s="11">
        <f>IF(C164&gt;0,'11-Viabilidade'!$K$10,0)*((1+'11-Viabilidade'!$O$10)^(($C164-1)/12))</f>
        <v>5520.6154066457575</v>
      </c>
      <c r="E164" s="11">
        <f>D164*'11-Viabilidade'!$L$12</f>
        <v>306.70085592476431</v>
      </c>
      <c r="F164" s="11">
        <f>D164*'11-Viabilidade'!$K$14</f>
        <v>0</v>
      </c>
      <c r="G164" s="11">
        <f>D164*'11-Viabilidade'!$K$15</f>
        <v>276.03077033228789</v>
      </c>
      <c r="H164" s="11">
        <f>IF(D164=0,'11-Viabilidade'!$K$16+'11-Viabilidade'!$K$17,('11-Viabilidade'!$L$11)*((1+'11-Viabilidade'!$O$10)^(($C164-1)/12)))</f>
        <v>721.76934760961194</v>
      </c>
      <c r="I164" s="11">
        <f>'12-SAC Viabilidade'!G167</f>
        <v>1774.3846132746271</v>
      </c>
      <c r="J164" s="11">
        <f>'12-SAC Viabilidade'!H167</f>
        <v>150285.71428571452</v>
      </c>
      <c r="K164" s="132">
        <f>(D164-F164)*'11-Viabilidade'!$O$16</f>
        <v>828.0923109968636</v>
      </c>
      <c r="L164" s="11">
        <f t="shared" si="0"/>
        <v>1613.6375085076029</v>
      </c>
      <c r="M164" s="156">
        <f t="shared" si="1"/>
        <v>3388.02212178223</v>
      </c>
      <c r="N164" s="13"/>
      <c r="O164" s="43"/>
      <c r="P164" s="41">
        <f>IF(B164&lt;='11-Viabilidade'!$G$11,(P163+(P163*'11-Viabilidade'!$H$12)),0)</f>
        <v>0</v>
      </c>
      <c r="Q164" s="41">
        <f>IF(B164='11-Viabilidade'!$G$11,'11-Viabilidade'!$G$16,0)*(1+'11-Viabilidade'!$G$12)^((B164-1)/12)</f>
        <v>0</v>
      </c>
      <c r="R164" s="170">
        <f t="shared" si="2"/>
        <v>0</v>
      </c>
      <c r="S164" s="41">
        <f t="shared" si="5"/>
        <v>157</v>
      </c>
      <c r="T164" s="155">
        <f>IF($S164&lt;'11-Viabilidade'!$C$24,0,$S164-'11-Viabilidade'!$C$24)</f>
        <v>151</v>
      </c>
      <c r="U164" s="11">
        <f>IF(T164&gt;0,'11-Viabilidade'!$K$10,0)*((1+'11-Viabilidade'!$O$10)^(($T164-1)/12))</f>
        <v>5520.6154066457575</v>
      </c>
      <c r="V164" s="11">
        <f>U164*'11-Viabilidade'!$L$12</f>
        <v>306.70085592476431</v>
      </c>
      <c r="W164" s="11">
        <f>U164*'11-Viabilidade'!$K$14</f>
        <v>0</v>
      </c>
      <c r="X164" s="11">
        <f>U164*'11-Viabilidade'!$K$15</f>
        <v>276.03077033228789</v>
      </c>
      <c r="Y164" s="11">
        <f>IF(AND(U164=0,S164=0),0,IF(AND(U164=0,S164&lt;&gt;0),'11-Viabilidade'!$K$16+'11-Viabilidade'!$K$17,('11-Viabilidade'!$L$11)*((1+'11-Viabilidade'!$O$10)^(($C164-1)/12))))</f>
        <v>721.76934760961194</v>
      </c>
      <c r="Z164" s="157">
        <f>IFERROR(VLOOKUP(S164,'12-SAC Viabilidade'!$B$11:$G$430,6,FALSE),0)</f>
        <v>1774.3846132746271</v>
      </c>
      <c r="AA164" s="157">
        <f>IFERROR(VLOOKUP(S164,'12-SAC Viabilidade'!$B$11:$H$430,7,FALSE),0)</f>
        <v>150285.71428571452</v>
      </c>
      <c r="AB164" s="132">
        <f>(U164-W164)*'11-Viabilidade'!$O$16</f>
        <v>828.0923109968636</v>
      </c>
      <c r="AC164" s="11">
        <f t="shared" si="3"/>
        <v>1613.6375085076029</v>
      </c>
      <c r="AD164" s="156">
        <f t="shared" si="4"/>
        <v>3388.02212178223</v>
      </c>
      <c r="AE164" s="42"/>
      <c r="AF164" s="42"/>
      <c r="AG164" s="42"/>
      <c r="AH164" s="42"/>
    </row>
    <row r="165" spans="1:34" ht="15.75" customHeight="1">
      <c r="A165" s="37"/>
      <c r="B165" s="38">
        <f>IF(AND(B164&gt;0,B164&lt;'11-Viabilidade'!$P$14),B164+1,0)</f>
        <v>158</v>
      </c>
      <c r="C165" s="155">
        <f>IF($B165&lt;'11-Viabilidade'!$C$24,0,$B165-'11-Viabilidade'!$C$24)</f>
        <v>152</v>
      </c>
      <c r="D165" s="11">
        <f>IF(C165&gt;0,'11-Viabilidade'!$K$10,0)*((1+'11-Viabilidade'!$O$10)^(($C165-1)/12))</f>
        <v>5543.107077174348</v>
      </c>
      <c r="E165" s="11">
        <f>D165*'11-Viabilidade'!$L$12</f>
        <v>307.95039317635263</v>
      </c>
      <c r="F165" s="11">
        <f>D165*'11-Viabilidade'!$K$14</f>
        <v>0</v>
      </c>
      <c r="G165" s="11">
        <f>D165*'11-Viabilidade'!$K$15</f>
        <v>277.15535385871743</v>
      </c>
      <c r="H165" s="11">
        <f>IF(D165=0,'11-Viabilidade'!$K$16+'11-Viabilidade'!$K$17,('11-Viabilidade'!$L$11)*((1+'11-Viabilidade'!$O$10)^(($C165-1)/12)))</f>
        <v>724.70992527501642</v>
      </c>
      <c r="I165" s="11">
        <f>'12-SAC Viabilidade'!G168</f>
        <v>1769.8279616009677</v>
      </c>
      <c r="J165" s="11">
        <f>'12-SAC Viabilidade'!H168</f>
        <v>149714.28571428594</v>
      </c>
      <c r="K165" s="132">
        <f>(D165-F165)*'11-Viabilidade'!$O$16</f>
        <v>831.46606157615213</v>
      </c>
      <c r="L165" s="11">
        <f t="shared" si="0"/>
        <v>1631.9973816871416</v>
      </c>
      <c r="M165" s="156">
        <f t="shared" si="1"/>
        <v>3401.8253432881093</v>
      </c>
      <c r="N165" s="13"/>
      <c r="O165" s="43"/>
      <c r="P165" s="41">
        <f>IF(B165&lt;='11-Viabilidade'!$G$11,(P164+(P164*'11-Viabilidade'!$H$12)),0)</f>
        <v>0</v>
      </c>
      <c r="Q165" s="41">
        <f>IF(B165='11-Viabilidade'!$G$11,'11-Viabilidade'!$G$16,0)*(1+'11-Viabilidade'!$G$12)^((B165-1)/12)</f>
        <v>0</v>
      </c>
      <c r="R165" s="170">
        <f t="shared" si="2"/>
        <v>0</v>
      </c>
      <c r="S165" s="41">
        <f t="shared" si="5"/>
        <v>158</v>
      </c>
      <c r="T165" s="155">
        <f>IF($S165&lt;'11-Viabilidade'!$C$24,0,$S165-'11-Viabilidade'!$C$24)</f>
        <v>152</v>
      </c>
      <c r="U165" s="11">
        <f>IF(T165&gt;0,'11-Viabilidade'!$K$10,0)*((1+'11-Viabilidade'!$O$10)^(($T165-1)/12))</f>
        <v>5543.107077174348</v>
      </c>
      <c r="V165" s="11">
        <f>U165*'11-Viabilidade'!$L$12</f>
        <v>307.95039317635263</v>
      </c>
      <c r="W165" s="11">
        <f>U165*'11-Viabilidade'!$K$14</f>
        <v>0</v>
      </c>
      <c r="X165" s="11">
        <f>U165*'11-Viabilidade'!$K$15</f>
        <v>277.15535385871743</v>
      </c>
      <c r="Y165" s="11">
        <f>IF(AND(U165=0,S165=0),0,IF(AND(U165=0,S165&lt;&gt;0),'11-Viabilidade'!$K$16+'11-Viabilidade'!$K$17,('11-Viabilidade'!$L$11)*((1+'11-Viabilidade'!$O$10)^(($C165-1)/12))))</f>
        <v>724.70992527501642</v>
      </c>
      <c r="Z165" s="157">
        <f>IFERROR(VLOOKUP(S165,'12-SAC Viabilidade'!$B$11:$G$430,6,FALSE),0)</f>
        <v>1769.8279616009677</v>
      </c>
      <c r="AA165" s="157">
        <f>IFERROR(VLOOKUP(S165,'12-SAC Viabilidade'!$B$11:$H$430,7,FALSE),0)</f>
        <v>149714.28571428594</v>
      </c>
      <c r="AB165" s="132">
        <f>(U165-W165)*'11-Viabilidade'!$O$16</f>
        <v>831.46606157615213</v>
      </c>
      <c r="AC165" s="11">
        <f t="shared" si="3"/>
        <v>1631.9973816871416</v>
      </c>
      <c r="AD165" s="156">
        <f t="shared" si="4"/>
        <v>3401.8253432881093</v>
      </c>
      <c r="AE165" s="42"/>
      <c r="AF165" s="42"/>
      <c r="AG165" s="42"/>
      <c r="AH165" s="42"/>
    </row>
    <row r="166" spans="1:34" ht="15.75" customHeight="1">
      <c r="A166" s="37"/>
      <c r="B166" s="38">
        <f>IF(AND(B165&gt;0,B165&lt;'11-Viabilidade'!$P$14),B165+1,0)</f>
        <v>159</v>
      </c>
      <c r="C166" s="155">
        <f>IF($B166&lt;'11-Viabilidade'!$C$24,0,$B166-'11-Viabilidade'!$C$24)</f>
        <v>153</v>
      </c>
      <c r="D166" s="11">
        <f>IF(C166&gt;0,'11-Viabilidade'!$K$10,0)*((1+'11-Viabilidade'!$O$10)^(($C166-1)/12))</f>
        <v>5565.6903815527721</v>
      </c>
      <c r="E166" s="11">
        <f>D166*'11-Viabilidade'!$L$12</f>
        <v>309.2050211973762</v>
      </c>
      <c r="F166" s="11">
        <f>D166*'11-Viabilidade'!$K$14</f>
        <v>0</v>
      </c>
      <c r="G166" s="11">
        <f>D166*'11-Viabilidade'!$K$15</f>
        <v>278.28451907763861</v>
      </c>
      <c r="H166" s="11">
        <f>IF(D166=0,'11-Viabilidade'!$K$16+'11-Viabilidade'!$K$17,('11-Viabilidade'!$L$11)*((1+'11-Viabilidade'!$O$10)^(($C166-1)/12)))</f>
        <v>727.6624832178253</v>
      </c>
      <c r="I166" s="11">
        <f>'12-SAC Viabilidade'!G169</f>
        <v>1765.2713099273083</v>
      </c>
      <c r="J166" s="11">
        <f>'12-SAC Viabilidade'!H169</f>
        <v>149142.85714285736</v>
      </c>
      <c r="K166" s="132">
        <f>(D166-F166)*'11-Viabilidade'!$O$16</f>
        <v>834.85355723291582</v>
      </c>
      <c r="L166" s="11">
        <f t="shared" si="0"/>
        <v>1650.4134908997075</v>
      </c>
      <c r="M166" s="156">
        <f t="shared" si="1"/>
        <v>3415.6848008270163</v>
      </c>
      <c r="N166" s="13"/>
      <c r="O166" s="43"/>
      <c r="P166" s="41">
        <f>IF(B166&lt;='11-Viabilidade'!$G$11,(P165+(P165*'11-Viabilidade'!$H$12)),0)</f>
        <v>0</v>
      </c>
      <c r="Q166" s="41">
        <f>IF(B166='11-Viabilidade'!$G$11,'11-Viabilidade'!$G$16,0)*(1+'11-Viabilidade'!$G$12)^((B166-1)/12)</f>
        <v>0</v>
      </c>
      <c r="R166" s="170">
        <f t="shared" si="2"/>
        <v>0</v>
      </c>
      <c r="S166" s="41">
        <f t="shared" si="5"/>
        <v>159</v>
      </c>
      <c r="T166" s="155">
        <f>IF($S166&lt;'11-Viabilidade'!$C$24,0,$S166-'11-Viabilidade'!$C$24)</f>
        <v>153</v>
      </c>
      <c r="U166" s="11">
        <f>IF(T166&gt;0,'11-Viabilidade'!$K$10,0)*((1+'11-Viabilidade'!$O$10)^(($T166-1)/12))</f>
        <v>5565.6903815527721</v>
      </c>
      <c r="V166" s="11">
        <f>U166*'11-Viabilidade'!$L$12</f>
        <v>309.2050211973762</v>
      </c>
      <c r="W166" s="11">
        <f>U166*'11-Viabilidade'!$K$14</f>
        <v>0</v>
      </c>
      <c r="X166" s="11">
        <f>U166*'11-Viabilidade'!$K$15</f>
        <v>278.28451907763861</v>
      </c>
      <c r="Y166" s="11">
        <f>IF(AND(U166=0,S166=0),0,IF(AND(U166=0,S166&lt;&gt;0),'11-Viabilidade'!$K$16+'11-Viabilidade'!$K$17,('11-Viabilidade'!$L$11)*((1+'11-Viabilidade'!$O$10)^(($C166-1)/12))))</f>
        <v>727.6624832178253</v>
      </c>
      <c r="Z166" s="157">
        <f>IFERROR(VLOOKUP(S166,'12-SAC Viabilidade'!$B$11:$G$430,6,FALSE),0)</f>
        <v>1765.2713099273083</v>
      </c>
      <c r="AA166" s="157">
        <f>IFERROR(VLOOKUP(S166,'12-SAC Viabilidade'!$B$11:$H$430,7,FALSE),0)</f>
        <v>149142.85714285736</v>
      </c>
      <c r="AB166" s="132">
        <f>(U166-W166)*'11-Viabilidade'!$O$16</f>
        <v>834.85355723291582</v>
      </c>
      <c r="AC166" s="11">
        <f t="shared" si="3"/>
        <v>1650.4134908997075</v>
      </c>
      <c r="AD166" s="156">
        <f t="shared" si="4"/>
        <v>3415.6848008270163</v>
      </c>
      <c r="AE166" s="42"/>
      <c r="AF166" s="42"/>
      <c r="AG166" s="42"/>
      <c r="AH166" s="42"/>
    </row>
    <row r="167" spans="1:34" ht="15.75" customHeight="1">
      <c r="A167" s="37"/>
      <c r="B167" s="38">
        <f>IF(AND(B166&gt;0,B166&lt;'11-Viabilidade'!$P$14),B166+1,0)</f>
        <v>160</v>
      </c>
      <c r="C167" s="155">
        <f>IF($B167&lt;'11-Viabilidade'!$C$24,0,$B167-'11-Viabilidade'!$C$24)</f>
        <v>154</v>
      </c>
      <c r="D167" s="11">
        <f>IF(C167&gt;0,'11-Viabilidade'!$K$10,0)*((1+'11-Viabilidade'!$O$10)^(($C167-1)/12))</f>
        <v>5588.3656931086798</v>
      </c>
      <c r="E167" s="11">
        <f>D167*'11-Viabilidade'!$L$12</f>
        <v>310.46476072825999</v>
      </c>
      <c r="F167" s="11">
        <f>D167*'11-Viabilidade'!$K$14</f>
        <v>0</v>
      </c>
      <c r="G167" s="11">
        <f>D167*'11-Viabilidade'!$K$15</f>
        <v>279.41828465543398</v>
      </c>
      <c r="H167" s="11">
        <f>IF(D167=0,'11-Viabilidade'!$K$16+'11-Viabilidade'!$K$17,('11-Viabilidade'!$L$11)*((1+'11-Viabilidade'!$O$10)^(($C167-1)/12)))</f>
        <v>730.62707024717167</v>
      </c>
      <c r="I167" s="11">
        <f>'12-SAC Viabilidade'!G170</f>
        <v>1760.7146582536488</v>
      </c>
      <c r="J167" s="11">
        <f>'12-SAC Viabilidade'!H170</f>
        <v>148571.42857142878</v>
      </c>
      <c r="K167" s="132">
        <f>(D167-F167)*'11-Viabilidade'!$O$16</f>
        <v>838.25485396630199</v>
      </c>
      <c r="L167" s="11">
        <f t="shared" si="0"/>
        <v>1668.8860652578633</v>
      </c>
      <c r="M167" s="156">
        <f t="shared" si="1"/>
        <v>3429.6007235115121</v>
      </c>
      <c r="N167" s="13"/>
      <c r="O167" s="43"/>
      <c r="P167" s="41">
        <f>IF(B167&lt;='11-Viabilidade'!$G$11,(P166+(P166*'11-Viabilidade'!$H$12)),0)</f>
        <v>0</v>
      </c>
      <c r="Q167" s="41">
        <f>IF(B167='11-Viabilidade'!$G$11,'11-Viabilidade'!$G$16,0)*(1+'11-Viabilidade'!$G$12)^((B167-1)/12)</f>
        <v>0</v>
      </c>
      <c r="R167" s="170">
        <f t="shared" si="2"/>
        <v>0</v>
      </c>
      <c r="S167" s="41">
        <f t="shared" si="5"/>
        <v>160</v>
      </c>
      <c r="T167" s="155">
        <f>IF($S167&lt;'11-Viabilidade'!$C$24,0,$S167-'11-Viabilidade'!$C$24)</f>
        <v>154</v>
      </c>
      <c r="U167" s="11">
        <f>IF(T167&gt;0,'11-Viabilidade'!$K$10,0)*((1+'11-Viabilidade'!$O$10)^(($T167-1)/12))</f>
        <v>5588.3656931086798</v>
      </c>
      <c r="V167" s="11">
        <f>U167*'11-Viabilidade'!$L$12</f>
        <v>310.46476072825999</v>
      </c>
      <c r="W167" s="11">
        <f>U167*'11-Viabilidade'!$K$14</f>
        <v>0</v>
      </c>
      <c r="X167" s="11">
        <f>U167*'11-Viabilidade'!$K$15</f>
        <v>279.41828465543398</v>
      </c>
      <c r="Y167" s="11">
        <f>IF(AND(U167=0,S167=0),0,IF(AND(U167=0,S167&lt;&gt;0),'11-Viabilidade'!$K$16+'11-Viabilidade'!$K$17,('11-Viabilidade'!$L$11)*((1+'11-Viabilidade'!$O$10)^(($C167-1)/12))))</f>
        <v>730.62707024717167</v>
      </c>
      <c r="Z167" s="157">
        <f>IFERROR(VLOOKUP(S167,'12-SAC Viabilidade'!$B$11:$G$430,6,FALSE),0)</f>
        <v>1760.7146582536488</v>
      </c>
      <c r="AA167" s="157">
        <f>IFERROR(VLOOKUP(S167,'12-SAC Viabilidade'!$B$11:$H$430,7,FALSE),0)</f>
        <v>148571.42857142878</v>
      </c>
      <c r="AB167" s="132">
        <f>(U167-W167)*'11-Viabilidade'!$O$16</f>
        <v>838.25485396630199</v>
      </c>
      <c r="AC167" s="11">
        <f t="shared" si="3"/>
        <v>1668.8860652578633</v>
      </c>
      <c r="AD167" s="156">
        <f t="shared" si="4"/>
        <v>3429.6007235115121</v>
      </c>
      <c r="AE167" s="42"/>
      <c r="AF167" s="42"/>
      <c r="AG167" s="42"/>
      <c r="AH167" s="42"/>
    </row>
    <row r="168" spans="1:34" ht="15.75" customHeight="1">
      <c r="A168" s="37"/>
      <c r="B168" s="38">
        <f>IF(AND(B167&gt;0,B167&lt;'11-Viabilidade'!$P$14),B167+1,0)</f>
        <v>161</v>
      </c>
      <c r="C168" s="155">
        <f>IF($B168&lt;'11-Viabilidade'!$C$24,0,$B168-'11-Viabilidade'!$C$24)</f>
        <v>155</v>
      </c>
      <c r="D168" s="11">
        <f>IF(C168&gt;0,'11-Viabilidade'!$K$10,0)*((1+'11-Viabilidade'!$O$10)^(($C168-1)/12))</f>
        <v>5611.133386690698</v>
      </c>
      <c r="E168" s="11">
        <f>D168*'11-Viabilidade'!$L$12</f>
        <v>311.72963259392765</v>
      </c>
      <c r="F168" s="11">
        <f>D168*'11-Viabilidade'!$K$14</f>
        <v>0</v>
      </c>
      <c r="G168" s="11">
        <f>D168*'11-Viabilidade'!$K$15</f>
        <v>280.55666933453489</v>
      </c>
      <c r="H168" s="11">
        <f>IF(D168=0,'11-Viabilidade'!$K$16+'11-Viabilidade'!$K$17,('11-Viabilidade'!$L$11)*((1+'11-Viabilidade'!$O$10)^(($C168-1)/12)))</f>
        <v>733.60373537104306</v>
      </c>
      <c r="I168" s="11">
        <f>'12-SAC Viabilidade'!G171</f>
        <v>1756.1580065799894</v>
      </c>
      <c r="J168" s="11">
        <f>'12-SAC Viabilidade'!H171</f>
        <v>148000.0000000002</v>
      </c>
      <c r="K168" s="132">
        <f>(D168-F168)*'11-Viabilidade'!$O$16</f>
        <v>841.67000800360472</v>
      </c>
      <c r="L168" s="11">
        <f t="shared" si="0"/>
        <v>1687.4153348075984</v>
      </c>
      <c r="M168" s="156">
        <f t="shared" si="1"/>
        <v>3443.5733413875878</v>
      </c>
      <c r="N168" s="13"/>
      <c r="O168" s="43"/>
      <c r="P168" s="41">
        <f>IF(B168&lt;='11-Viabilidade'!$G$11,(P167+(P167*'11-Viabilidade'!$H$12)),0)</f>
        <v>0</v>
      </c>
      <c r="Q168" s="41">
        <f>IF(B168='11-Viabilidade'!$G$11,'11-Viabilidade'!$G$16,0)*(1+'11-Viabilidade'!$G$12)^((B168-1)/12)</f>
        <v>0</v>
      </c>
      <c r="R168" s="170">
        <f t="shared" si="2"/>
        <v>0</v>
      </c>
      <c r="S168" s="41">
        <f t="shared" si="5"/>
        <v>161</v>
      </c>
      <c r="T168" s="155">
        <f>IF($S168&lt;'11-Viabilidade'!$C$24,0,$S168-'11-Viabilidade'!$C$24)</f>
        <v>155</v>
      </c>
      <c r="U168" s="11">
        <f>IF(T168&gt;0,'11-Viabilidade'!$K$10,0)*((1+'11-Viabilidade'!$O$10)^(($T168-1)/12))</f>
        <v>5611.133386690698</v>
      </c>
      <c r="V168" s="11">
        <f>U168*'11-Viabilidade'!$L$12</f>
        <v>311.72963259392765</v>
      </c>
      <c r="W168" s="11">
        <f>U168*'11-Viabilidade'!$K$14</f>
        <v>0</v>
      </c>
      <c r="X168" s="11">
        <f>U168*'11-Viabilidade'!$K$15</f>
        <v>280.55666933453489</v>
      </c>
      <c r="Y168" s="11">
        <f>IF(AND(U168=0,S168=0),0,IF(AND(U168=0,S168&lt;&gt;0),'11-Viabilidade'!$K$16+'11-Viabilidade'!$K$17,('11-Viabilidade'!$L$11)*((1+'11-Viabilidade'!$O$10)^(($C168-1)/12))))</f>
        <v>733.60373537104306</v>
      </c>
      <c r="Z168" s="157">
        <f>IFERROR(VLOOKUP(S168,'12-SAC Viabilidade'!$B$11:$G$430,6,FALSE),0)</f>
        <v>1756.1580065799894</v>
      </c>
      <c r="AA168" s="157">
        <f>IFERROR(VLOOKUP(S168,'12-SAC Viabilidade'!$B$11:$H$430,7,FALSE),0)</f>
        <v>148000.0000000002</v>
      </c>
      <c r="AB168" s="132">
        <f>(U168-W168)*'11-Viabilidade'!$O$16</f>
        <v>841.67000800360472</v>
      </c>
      <c r="AC168" s="11">
        <f t="shared" si="3"/>
        <v>1687.4153348075984</v>
      </c>
      <c r="AD168" s="156">
        <f t="shared" si="4"/>
        <v>3443.5733413875878</v>
      </c>
      <c r="AE168" s="42"/>
      <c r="AF168" s="42"/>
      <c r="AG168" s="42"/>
      <c r="AH168" s="42"/>
    </row>
    <row r="169" spans="1:34" ht="15.75" customHeight="1">
      <c r="A169" s="37"/>
      <c r="B169" s="38">
        <f>IF(AND(B168&gt;0,B168&lt;'11-Viabilidade'!$P$14),B168+1,0)</f>
        <v>162</v>
      </c>
      <c r="C169" s="155">
        <f>IF($B169&lt;'11-Viabilidade'!$C$24,0,$B169-'11-Viabilidade'!$C$24)</f>
        <v>156</v>
      </c>
      <c r="D169" s="11">
        <f>IF(C169&gt;0,'11-Viabilidade'!$K$10,0)*((1+'11-Viabilidade'!$O$10)^(($C169-1)/12))</f>
        <v>5633.993838674638</v>
      </c>
      <c r="E169" s="11">
        <f>D169*'11-Viabilidade'!$L$12</f>
        <v>312.99965770414656</v>
      </c>
      <c r="F169" s="11">
        <f>D169*'11-Viabilidade'!$K$14</f>
        <v>0</v>
      </c>
      <c r="G169" s="11">
        <f>D169*'11-Viabilidade'!$K$15</f>
        <v>281.69969193373191</v>
      </c>
      <c r="H169" s="11">
        <f>IF(D169=0,'11-Viabilidade'!$K$16+'11-Viabilidade'!$K$17,('11-Viabilidade'!$L$11)*((1+'11-Viabilidade'!$O$10)^(($C169-1)/12)))</f>
        <v>736.59252779709141</v>
      </c>
      <c r="I169" s="11">
        <f>'12-SAC Viabilidade'!G172</f>
        <v>1751.60135490633</v>
      </c>
      <c r="J169" s="11">
        <f>'12-SAC Viabilidade'!H172</f>
        <v>147428.57142857162</v>
      </c>
      <c r="K169" s="132">
        <f>(D169-F169)*'11-Viabilidade'!$O$16</f>
        <v>845.09907580119568</v>
      </c>
      <c r="L169" s="11">
        <f t="shared" si="0"/>
        <v>1706.0015305321422</v>
      </c>
      <c r="M169" s="156">
        <f t="shared" si="1"/>
        <v>3457.6028854384726</v>
      </c>
      <c r="N169" s="13"/>
      <c r="O169" s="43"/>
      <c r="P169" s="41">
        <f>IF(B169&lt;='11-Viabilidade'!$G$11,(P168+(P168*'11-Viabilidade'!$H$12)),0)</f>
        <v>0</v>
      </c>
      <c r="Q169" s="41">
        <f>IF(B169='11-Viabilidade'!$G$11,'11-Viabilidade'!$G$16,0)*(1+'11-Viabilidade'!$G$12)^((B169-1)/12)</f>
        <v>0</v>
      </c>
      <c r="R169" s="170">
        <f t="shared" si="2"/>
        <v>0</v>
      </c>
      <c r="S169" s="41">
        <f t="shared" si="5"/>
        <v>162</v>
      </c>
      <c r="T169" s="155">
        <f>IF($S169&lt;'11-Viabilidade'!$C$24,0,$S169-'11-Viabilidade'!$C$24)</f>
        <v>156</v>
      </c>
      <c r="U169" s="11">
        <f>IF(T169&gt;0,'11-Viabilidade'!$K$10,0)*((1+'11-Viabilidade'!$O$10)^(($T169-1)/12))</f>
        <v>5633.993838674638</v>
      </c>
      <c r="V169" s="11">
        <f>U169*'11-Viabilidade'!$L$12</f>
        <v>312.99965770414656</v>
      </c>
      <c r="W169" s="11">
        <f>U169*'11-Viabilidade'!$K$14</f>
        <v>0</v>
      </c>
      <c r="X169" s="11">
        <f>U169*'11-Viabilidade'!$K$15</f>
        <v>281.69969193373191</v>
      </c>
      <c r="Y169" s="11">
        <f>IF(AND(U169=0,S169=0),0,IF(AND(U169=0,S169&lt;&gt;0),'11-Viabilidade'!$K$16+'11-Viabilidade'!$K$17,('11-Viabilidade'!$L$11)*((1+'11-Viabilidade'!$O$10)^(($C169-1)/12))))</f>
        <v>736.59252779709141</v>
      </c>
      <c r="Z169" s="157">
        <f>IFERROR(VLOOKUP(S169,'12-SAC Viabilidade'!$B$11:$G$430,6,FALSE),0)</f>
        <v>1751.60135490633</v>
      </c>
      <c r="AA169" s="157">
        <f>IFERROR(VLOOKUP(S169,'12-SAC Viabilidade'!$B$11:$H$430,7,FALSE),0)</f>
        <v>147428.57142857162</v>
      </c>
      <c r="AB169" s="132">
        <f>(U169-W169)*'11-Viabilidade'!$O$16</f>
        <v>845.09907580119568</v>
      </c>
      <c r="AC169" s="11">
        <f t="shared" si="3"/>
        <v>1706.0015305321422</v>
      </c>
      <c r="AD169" s="156">
        <f t="shared" si="4"/>
        <v>3457.6028854384726</v>
      </c>
      <c r="AE169" s="42"/>
      <c r="AF169" s="42"/>
      <c r="AG169" s="42"/>
      <c r="AH169" s="42"/>
    </row>
    <row r="170" spans="1:34" ht="15.75" customHeight="1">
      <c r="A170" s="37"/>
      <c r="B170" s="38">
        <f>IF(AND(B169&gt;0,B169&lt;'11-Viabilidade'!$P$14),B169+1,0)</f>
        <v>163</v>
      </c>
      <c r="C170" s="155">
        <f>IF($B170&lt;'11-Viabilidade'!$C$24,0,$B170-'11-Viabilidade'!$C$24)</f>
        <v>157</v>
      </c>
      <c r="D170" s="11">
        <f>IF(C170&gt;0,'11-Viabilidade'!$K$10,0)*((1+'11-Viabilidade'!$O$10)^(($C170-1)/12))</f>
        <v>5656.9474269697084</v>
      </c>
      <c r="E170" s="11">
        <f>D170*'11-Viabilidade'!$L$12</f>
        <v>314.27485705387267</v>
      </c>
      <c r="F170" s="11">
        <f>D170*'11-Viabilidade'!$K$14</f>
        <v>0</v>
      </c>
      <c r="G170" s="11">
        <f>D170*'11-Viabilidade'!$K$15</f>
        <v>282.84737134848541</v>
      </c>
      <c r="H170" s="11">
        <f>IF(D170=0,'11-Viabilidade'!$K$16+'11-Viabilidade'!$K$17,('11-Viabilidade'!$L$11)*((1+'11-Viabilidade'!$O$10)^(($C170-1)/12)))</f>
        <v>739.59349693344689</v>
      </c>
      <c r="I170" s="11">
        <f>'12-SAC Viabilidade'!G173</f>
        <v>1747.0447032326706</v>
      </c>
      <c r="J170" s="11">
        <f>'12-SAC Viabilidade'!H173</f>
        <v>146857.14285714304</v>
      </c>
      <c r="K170" s="132">
        <f>(D170-F170)*'11-Viabilidade'!$O$16</f>
        <v>848.54211404545629</v>
      </c>
      <c r="L170" s="11">
        <f t="shared" si="0"/>
        <v>1724.6448843557764</v>
      </c>
      <c r="M170" s="156">
        <f t="shared" si="1"/>
        <v>3471.689587588447</v>
      </c>
      <c r="N170" s="13"/>
      <c r="O170" s="43"/>
      <c r="P170" s="41">
        <f>IF(B170&lt;='11-Viabilidade'!$G$11,(P169+(P169*'11-Viabilidade'!$H$12)),0)</f>
        <v>0</v>
      </c>
      <c r="Q170" s="41">
        <f>IF(B170='11-Viabilidade'!$G$11,'11-Viabilidade'!$G$16,0)*(1+'11-Viabilidade'!$G$12)^((B170-1)/12)</f>
        <v>0</v>
      </c>
      <c r="R170" s="170">
        <f t="shared" si="2"/>
        <v>0</v>
      </c>
      <c r="S170" s="41">
        <f t="shared" si="5"/>
        <v>163</v>
      </c>
      <c r="T170" s="155">
        <f>IF($S170&lt;'11-Viabilidade'!$C$24,0,$S170-'11-Viabilidade'!$C$24)</f>
        <v>157</v>
      </c>
      <c r="U170" s="11">
        <f>IF(T170&gt;0,'11-Viabilidade'!$K$10,0)*((1+'11-Viabilidade'!$O$10)^(($T170-1)/12))</f>
        <v>5656.9474269697084</v>
      </c>
      <c r="V170" s="11">
        <f>U170*'11-Viabilidade'!$L$12</f>
        <v>314.27485705387267</v>
      </c>
      <c r="W170" s="11">
        <f>U170*'11-Viabilidade'!$K$14</f>
        <v>0</v>
      </c>
      <c r="X170" s="11">
        <f>U170*'11-Viabilidade'!$K$15</f>
        <v>282.84737134848541</v>
      </c>
      <c r="Y170" s="11">
        <f>IF(AND(U170=0,S170=0),0,IF(AND(U170=0,S170&lt;&gt;0),'11-Viabilidade'!$K$16+'11-Viabilidade'!$K$17,('11-Viabilidade'!$L$11)*((1+'11-Viabilidade'!$O$10)^(($C170-1)/12))))</f>
        <v>739.59349693344689</v>
      </c>
      <c r="Z170" s="157">
        <f>IFERROR(VLOOKUP(S170,'12-SAC Viabilidade'!$B$11:$G$430,6,FALSE),0)</f>
        <v>1747.0447032326706</v>
      </c>
      <c r="AA170" s="157">
        <f>IFERROR(VLOOKUP(S170,'12-SAC Viabilidade'!$B$11:$H$430,7,FALSE),0)</f>
        <v>146857.14285714304</v>
      </c>
      <c r="AB170" s="132">
        <f>(U170-W170)*'11-Viabilidade'!$O$16</f>
        <v>848.54211404545629</v>
      </c>
      <c r="AC170" s="11">
        <f t="shared" si="3"/>
        <v>1724.6448843557764</v>
      </c>
      <c r="AD170" s="156">
        <f t="shared" si="4"/>
        <v>3471.689587588447</v>
      </c>
      <c r="AE170" s="42"/>
      <c r="AF170" s="42"/>
      <c r="AG170" s="42"/>
      <c r="AH170" s="42"/>
    </row>
    <row r="171" spans="1:34" ht="15.75" customHeight="1">
      <c r="A171" s="37"/>
      <c r="B171" s="38">
        <f>IF(AND(B170&gt;0,B170&lt;'11-Viabilidade'!$P$14),B170+1,0)</f>
        <v>164</v>
      </c>
      <c r="C171" s="155">
        <f>IF($B171&lt;'11-Viabilidade'!$C$24,0,$B171-'11-Viabilidade'!$C$24)</f>
        <v>158</v>
      </c>
      <c r="D171" s="11">
        <f>IF(C171&gt;0,'11-Viabilidade'!$K$10,0)*((1+'11-Viabilidade'!$O$10)^(($C171-1)/12))</f>
        <v>5679.9945310247758</v>
      </c>
      <c r="E171" s="11">
        <f>D171*'11-Viabilidade'!$L$12</f>
        <v>315.55525172359864</v>
      </c>
      <c r="F171" s="11">
        <f>D171*'11-Viabilidade'!$K$14</f>
        <v>0</v>
      </c>
      <c r="G171" s="11">
        <f>D171*'11-Viabilidade'!$K$15</f>
        <v>283.99972655123878</v>
      </c>
      <c r="H171" s="11">
        <f>IF(D171=0,'11-Viabilidade'!$K$16+'11-Viabilidade'!$K$17,('11-Viabilidade'!$L$11)*((1+'11-Viabilidade'!$O$10)^(($C171-1)/12)))</f>
        <v>742.6066923895354</v>
      </c>
      <c r="I171" s="11">
        <f>'12-SAC Viabilidade'!G174</f>
        <v>1742.4880515590116</v>
      </c>
      <c r="J171" s="11">
        <f>'12-SAC Viabilidade'!H174</f>
        <v>146285.71428571446</v>
      </c>
      <c r="K171" s="132">
        <f>(D171-F171)*'11-Viabilidade'!$O$16</f>
        <v>851.9991796537164</v>
      </c>
      <c r="L171" s="11">
        <f t="shared" si="0"/>
        <v>1743.345629147675</v>
      </c>
      <c r="M171" s="156">
        <f t="shared" si="1"/>
        <v>3485.8336807066867</v>
      </c>
      <c r="N171" s="13"/>
      <c r="O171" s="43"/>
      <c r="P171" s="41">
        <f>IF(B171&lt;='11-Viabilidade'!$G$11,(P170+(P170*'11-Viabilidade'!$H$12)),0)</f>
        <v>0</v>
      </c>
      <c r="Q171" s="41">
        <f>IF(B171='11-Viabilidade'!$G$11,'11-Viabilidade'!$G$16,0)*(1+'11-Viabilidade'!$G$12)^((B171-1)/12)</f>
        <v>0</v>
      </c>
      <c r="R171" s="170">
        <f t="shared" si="2"/>
        <v>0</v>
      </c>
      <c r="S171" s="41">
        <f t="shared" si="5"/>
        <v>164</v>
      </c>
      <c r="T171" s="155">
        <f>IF($S171&lt;'11-Viabilidade'!$C$24,0,$S171-'11-Viabilidade'!$C$24)</f>
        <v>158</v>
      </c>
      <c r="U171" s="11">
        <f>IF(T171&gt;0,'11-Viabilidade'!$K$10,0)*((1+'11-Viabilidade'!$O$10)^(($T171-1)/12))</f>
        <v>5679.9945310247758</v>
      </c>
      <c r="V171" s="11">
        <f>U171*'11-Viabilidade'!$L$12</f>
        <v>315.55525172359864</v>
      </c>
      <c r="W171" s="11">
        <f>U171*'11-Viabilidade'!$K$14</f>
        <v>0</v>
      </c>
      <c r="X171" s="11">
        <f>U171*'11-Viabilidade'!$K$15</f>
        <v>283.99972655123878</v>
      </c>
      <c r="Y171" s="11">
        <f>IF(AND(U171=0,S171=0),0,IF(AND(U171=0,S171&lt;&gt;0),'11-Viabilidade'!$K$16+'11-Viabilidade'!$K$17,('11-Viabilidade'!$L$11)*((1+'11-Viabilidade'!$O$10)^(($C171-1)/12))))</f>
        <v>742.6066923895354</v>
      </c>
      <c r="Z171" s="157">
        <f>IFERROR(VLOOKUP(S171,'12-SAC Viabilidade'!$B$11:$G$430,6,FALSE),0)</f>
        <v>1742.4880515590116</v>
      </c>
      <c r="AA171" s="157">
        <f>IFERROR(VLOOKUP(S171,'12-SAC Viabilidade'!$B$11:$H$430,7,FALSE),0)</f>
        <v>146285.71428571446</v>
      </c>
      <c r="AB171" s="132">
        <f>(U171-W171)*'11-Viabilidade'!$O$16</f>
        <v>851.9991796537164</v>
      </c>
      <c r="AC171" s="11">
        <f t="shared" si="3"/>
        <v>1743.345629147675</v>
      </c>
      <c r="AD171" s="156">
        <f t="shared" si="4"/>
        <v>3485.8336807066867</v>
      </c>
      <c r="AE171" s="42"/>
      <c r="AF171" s="42"/>
      <c r="AG171" s="42"/>
      <c r="AH171" s="42"/>
    </row>
    <row r="172" spans="1:34" ht="15.75" customHeight="1">
      <c r="A172" s="37"/>
      <c r="B172" s="38">
        <f>IF(AND(B171&gt;0,B171&lt;'11-Viabilidade'!$P$14),B171+1,0)</f>
        <v>165</v>
      </c>
      <c r="C172" s="155">
        <f>IF($B172&lt;'11-Viabilidade'!$C$24,0,$B172-'11-Viabilidade'!$C$24)</f>
        <v>159</v>
      </c>
      <c r="D172" s="11">
        <f>IF(C172&gt;0,'11-Viabilidade'!$K$10,0)*((1+'11-Viabilidade'!$O$10)^(($C172-1)/12))</f>
        <v>5703.1355318346159</v>
      </c>
      <c r="E172" s="11">
        <f>D172*'11-Viabilidade'!$L$12</f>
        <v>316.84086287970086</v>
      </c>
      <c r="F172" s="11">
        <f>D172*'11-Viabilidade'!$K$14</f>
        <v>0</v>
      </c>
      <c r="G172" s="11">
        <f>D172*'11-Viabilidade'!$K$15</f>
        <v>285.15677659173082</v>
      </c>
      <c r="H172" s="11">
        <f>IF(D172=0,'11-Viabilidade'!$K$16+'11-Viabilidade'!$K$17,('11-Viabilidade'!$L$11)*((1+'11-Viabilidade'!$O$10)^(($C172-1)/12)))</f>
        <v>745.63216397689598</v>
      </c>
      <c r="I172" s="11">
        <f>'12-SAC Viabilidade'!G175</f>
        <v>1737.9313998853522</v>
      </c>
      <c r="J172" s="11">
        <f>'12-SAC Viabilidade'!H175</f>
        <v>145714.28571428588</v>
      </c>
      <c r="K172" s="132">
        <f>(D172-F172)*'11-Viabilidade'!$O$16</f>
        <v>855.47032977519234</v>
      </c>
      <c r="L172" s="11">
        <f t="shared" si="0"/>
        <v>1762.1039987257436</v>
      </c>
      <c r="M172" s="156">
        <f t="shared" si="1"/>
        <v>3500.0353986110958</v>
      </c>
      <c r="N172" s="13"/>
      <c r="O172" s="43"/>
      <c r="P172" s="41">
        <f>IF(B172&lt;='11-Viabilidade'!$G$11,(P171+(P171*'11-Viabilidade'!$H$12)),0)</f>
        <v>0</v>
      </c>
      <c r="Q172" s="41">
        <f>IF(B172='11-Viabilidade'!$G$11,'11-Viabilidade'!$G$16,0)*(1+'11-Viabilidade'!$G$12)^((B172-1)/12)</f>
        <v>0</v>
      </c>
      <c r="R172" s="170">
        <f t="shared" si="2"/>
        <v>0</v>
      </c>
      <c r="S172" s="41">
        <f t="shared" si="5"/>
        <v>165</v>
      </c>
      <c r="T172" s="155">
        <f>IF($S172&lt;'11-Viabilidade'!$C$24,0,$S172-'11-Viabilidade'!$C$24)</f>
        <v>159</v>
      </c>
      <c r="U172" s="11">
        <f>IF(T172&gt;0,'11-Viabilidade'!$K$10,0)*((1+'11-Viabilidade'!$O$10)^(($T172-1)/12))</f>
        <v>5703.1355318346159</v>
      </c>
      <c r="V172" s="11">
        <f>U172*'11-Viabilidade'!$L$12</f>
        <v>316.84086287970086</v>
      </c>
      <c r="W172" s="11">
        <f>U172*'11-Viabilidade'!$K$14</f>
        <v>0</v>
      </c>
      <c r="X172" s="11">
        <f>U172*'11-Viabilidade'!$K$15</f>
        <v>285.15677659173082</v>
      </c>
      <c r="Y172" s="11">
        <f>IF(AND(U172=0,S172=0),0,IF(AND(U172=0,S172&lt;&gt;0),'11-Viabilidade'!$K$16+'11-Viabilidade'!$K$17,('11-Viabilidade'!$L$11)*((1+'11-Viabilidade'!$O$10)^(($C172-1)/12))))</f>
        <v>745.63216397689598</v>
      </c>
      <c r="Z172" s="157">
        <f>IFERROR(VLOOKUP(S172,'12-SAC Viabilidade'!$B$11:$G$430,6,FALSE),0)</f>
        <v>1737.9313998853522</v>
      </c>
      <c r="AA172" s="157">
        <f>IFERROR(VLOOKUP(S172,'12-SAC Viabilidade'!$B$11:$H$430,7,FALSE),0)</f>
        <v>145714.28571428588</v>
      </c>
      <c r="AB172" s="132">
        <f>(U172-W172)*'11-Viabilidade'!$O$16</f>
        <v>855.47032977519234</v>
      </c>
      <c r="AC172" s="11">
        <f t="shared" si="3"/>
        <v>1762.1039987257436</v>
      </c>
      <c r="AD172" s="156">
        <f t="shared" si="4"/>
        <v>3500.0353986110958</v>
      </c>
      <c r="AE172" s="42"/>
      <c r="AF172" s="42"/>
      <c r="AG172" s="42"/>
      <c r="AH172" s="42"/>
    </row>
    <row r="173" spans="1:34" ht="15.75" customHeight="1">
      <c r="A173" s="37"/>
      <c r="B173" s="38">
        <f>IF(AND(B172&gt;0,B172&lt;'11-Viabilidade'!$P$14),B172+1,0)</f>
        <v>166</v>
      </c>
      <c r="C173" s="155">
        <f>IF($B173&lt;'11-Viabilidade'!$C$24,0,$B173-'11-Viabilidade'!$C$24)</f>
        <v>160</v>
      </c>
      <c r="D173" s="11">
        <f>IF(C173&gt;0,'11-Viabilidade'!$K$10,0)*((1+'11-Viabilidade'!$O$10)^(($C173-1)/12))</f>
        <v>5726.3708119462326</v>
      </c>
      <c r="E173" s="11">
        <f>D173*'11-Viabilidade'!$L$12</f>
        <v>318.13171177479069</v>
      </c>
      <c r="F173" s="11">
        <f>D173*'11-Viabilidade'!$K$14</f>
        <v>0</v>
      </c>
      <c r="G173" s="11">
        <f>D173*'11-Viabilidade'!$K$15</f>
        <v>286.31854059731165</v>
      </c>
      <c r="H173" s="11">
        <f>IF(D173=0,'11-Viabilidade'!$K$16+'11-Viabilidade'!$K$17,('11-Viabilidade'!$L$11)*((1+'11-Viabilidade'!$O$10)^(($C173-1)/12)))</f>
        <v>748.66996171000744</v>
      </c>
      <c r="I173" s="11">
        <f>'12-SAC Viabilidade'!G176</f>
        <v>1733.3747482116928</v>
      </c>
      <c r="J173" s="11">
        <f>'12-SAC Viabilidade'!H176</f>
        <v>145142.85714285731</v>
      </c>
      <c r="K173" s="132">
        <f>(D173-F173)*'11-Viabilidade'!$O$16</f>
        <v>858.95562179193485</v>
      </c>
      <c r="L173" s="11">
        <f t="shared" si="0"/>
        <v>1780.9202278604953</v>
      </c>
      <c r="M173" s="156">
        <f t="shared" si="1"/>
        <v>3514.2949760721881</v>
      </c>
      <c r="N173" s="13"/>
      <c r="O173" s="43"/>
      <c r="P173" s="41">
        <f>IF(B173&lt;='11-Viabilidade'!$G$11,(P172+(P172*'11-Viabilidade'!$H$12)),0)</f>
        <v>0</v>
      </c>
      <c r="Q173" s="41">
        <f>IF(B173='11-Viabilidade'!$G$11,'11-Viabilidade'!$G$16,0)*(1+'11-Viabilidade'!$G$12)^((B173-1)/12)</f>
        <v>0</v>
      </c>
      <c r="R173" s="170">
        <f t="shared" si="2"/>
        <v>0</v>
      </c>
      <c r="S173" s="41">
        <f t="shared" si="5"/>
        <v>166</v>
      </c>
      <c r="T173" s="155">
        <f>IF($S173&lt;'11-Viabilidade'!$C$24,0,$S173-'11-Viabilidade'!$C$24)</f>
        <v>160</v>
      </c>
      <c r="U173" s="11">
        <f>IF(T173&gt;0,'11-Viabilidade'!$K$10,0)*((1+'11-Viabilidade'!$O$10)^(($T173-1)/12))</f>
        <v>5726.3708119462326</v>
      </c>
      <c r="V173" s="11">
        <f>U173*'11-Viabilidade'!$L$12</f>
        <v>318.13171177479069</v>
      </c>
      <c r="W173" s="11">
        <f>U173*'11-Viabilidade'!$K$14</f>
        <v>0</v>
      </c>
      <c r="X173" s="11">
        <f>U173*'11-Viabilidade'!$K$15</f>
        <v>286.31854059731165</v>
      </c>
      <c r="Y173" s="11">
        <f>IF(AND(U173=0,S173=0),0,IF(AND(U173=0,S173&lt;&gt;0),'11-Viabilidade'!$K$16+'11-Viabilidade'!$K$17,('11-Viabilidade'!$L$11)*((1+'11-Viabilidade'!$O$10)^(($C173-1)/12))))</f>
        <v>748.66996171000744</v>
      </c>
      <c r="Z173" s="157">
        <f>IFERROR(VLOOKUP(S173,'12-SAC Viabilidade'!$B$11:$G$430,6,FALSE),0)</f>
        <v>1733.3747482116928</v>
      </c>
      <c r="AA173" s="157">
        <f>IFERROR(VLOOKUP(S173,'12-SAC Viabilidade'!$B$11:$H$430,7,FALSE),0)</f>
        <v>145142.85714285731</v>
      </c>
      <c r="AB173" s="132">
        <f>(U173-W173)*'11-Viabilidade'!$O$16</f>
        <v>858.95562179193485</v>
      </c>
      <c r="AC173" s="11">
        <f t="shared" si="3"/>
        <v>1780.9202278604953</v>
      </c>
      <c r="AD173" s="156">
        <f t="shared" si="4"/>
        <v>3514.2949760721881</v>
      </c>
      <c r="AE173" s="42"/>
      <c r="AF173" s="42"/>
      <c r="AG173" s="42"/>
      <c r="AH173" s="42"/>
    </row>
    <row r="174" spans="1:34" ht="15.75" customHeight="1">
      <c r="A174" s="37"/>
      <c r="B174" s="38">
        <f>IF(AND(B173&gt;0,B173&lt;'11-Viabilidade'!$P$14),B173+1,0)</f>
        <v>167</v>
      </c>
      <c r="C174" s="155">
        <f>IF($B174&lt;'11-Viabilidade'!$C$24,0,$B174-'11-Viabilidade'!$C$24)</f>
        <v>161</v>
      </c>
      <c r="D174" s="11">
        <f>IF(C174&gt;0,'11-Viabilidade'!$K$10,0)*((1+'11-Viabilidade'!$O$10)^(($C174-1)/12))</f>
        <v>5749.7007554651736</v>
      </c>
      <c r="E174" s="11">
        <f>D174*'11-Viabilidade'!$L$12</f>
        <v>319.42781974806519</v>
      </c>
      <c r="F174" s="11">
        <f>D174*'11-Viabilidade'!$K$14</f>
        <v>0</v>
      </c>
      <c r="G174" s="11">
        <f>D174*'11-Viabilidade'!$K$15</f>
        <v>287.48503777325868</v>
      </c>
      <c r="H174" s="11">
        <f>IF(D174=0,'11-Viabilidade'!$K$16+'11-Viabilidade'!$K$17,('11-Viabilidade'!$L$11)*((1+'11-Viabilidade'!$O$10)^(($C174-1)/12)))</f>
        <v>751.72013580711325</v>
      </c>
      <c r="I174" s="11">
        <f>'12-SAC Viabilidade'!G177</f>
        <v>1728.8180965380334</v>
      </c>
      <c r="J174" s="11">
        <f>'12-SAC Viabilidade'!H177</f>
        <v>144571.42857142873</v>
      </c>
      <c r="K174" s="132">
        <f>(D174-F174)*'11-Viabilidade'!$O$16</f>
        <v>862.45511331977605</v>
      </c>
      <c r="L174" s="11">
        <f t="shared" si="0"/>
        <v>1799.7945522789273</v>
      </c>
      <c r="M174" s="156">
        <f t="shared" si="1"/>
        <v>3528.6126488169602</v>
      </c>
      <c r="N174" s="13"/>
      <c r="O174" s="43"/>
      <c r="P174" s="41">
        <f>IF(B174&lt;='11-Viabilidade'!$G$11,(P173+(P173*'11-Viabilidade'!$H$12)),0)</f>
        <v>0</v>
      </c>
      <c r="Q174" s="41">
        <f>IF(B174='11-Viabilidade'!$G$11,'11-Viabilidade'!$G$16,0)*(1+'11-Viabilidade'!$G$12)^((B174-1)/12)</f>
        <v>0</v>
      </c>
      <c r="R174" s="170">
        <f t="shared" si="2"/>
        <v>0</v>
      </c>
      <c r="S174" s="41">
        <f t="shared" si="5"/>
        <v>167</v>
      </c>
      <c r="T174" s="155">
        <f>IF($S174&lt;'11-Viabilidade'!$C$24,0,$S174-'11-Viabilidade'!$C$24)</f>
        <v>161</v>
      </c>
      <c r="U174" s="11">
        <f>IF(T174&gt;0,'11-Viabilidade'!$K$10,0)*((1+'11-Viabilidade'!$O$10)^(($T174-1)/12))</f>
        <v>5749.7007554651736</v>
      </c>
      <c r="V174" s="11">
        <f>U174*'11-Viabilidade'!$L$12</f>
        <v>319.42781974806519</v>
      </c>
      <c r="W174" s="11">
        <f>U174*'11-Viabilidade'!$K$14</f>
        <v>0</v>
      </c>
      <c r="X174" s="11">
        <f>U174*'11-Viabilidade'!$K$15</f>
        <v>287.48503777325868</v>
      </c>
      <c r="Y174" s="11">
        <f>IF(AND(U174=0,S174=0),0,IF(AND(U174=0,S174&lt;&gt;0),'11-Viabilidade'!$K$16+'11-Viabilidade'!$K$17,('11-Viabilidade'!$L$11)*((1+'11-Viabilidade'!$O$10)^(($C174-1)/12))))</f>
        <v>751.72013580711325</v>
      </c>
      <c r="Z174" s="157">
        <f>IFERROR(VLOOKUP(S174,'12-SAC Viabilidade'!$B$11:$G$430,6,FALSE),0)</f>
        <v>1728.8180965380334</v>
      </c>
      <c r="AA174" s="157">
        <f>IFERROR(VLOOKUP(S174,'12-SAC Viabilidade'!$B$11:$H$430,7,FALSE),0)</f>
        <v>144571.42857142873</v>
      </c>
      <c r="AB174" s="132">
        <f>(U174-W174)*'11-Viabilidade'!$O$16</f>
        <v>862.45511331977605</v>
      </c>
      <c r="AC174" s="11">
        <f t="shared" si="3"/>
        <v>1799.7945522789273</v>
      </c>
      <c r="AD174" s="156">
        <f t="shared" si="4"/>
        <v>3528.6126488169602</v>
      </c>
      <c r="AE174" s="42"/>
      <c r="AF174" s="42"/>
      <c r="AG174" s="42"/>
      <c r="AH174" s="42"/>
    </row>
    <row r="175" spans="1:34" ht="15.75" customHeight="1">
      <c r="A175" s="158" t="s">
        <v>246</v>
      </c>
      <c r="B175" s="159">
        <f>IF(AND(B174&gt;0,B174&lt;'11-Viabilidade'!$P$14),B174+1,0)</f>
        <v>168</v>
      </c>
      <c r="C175" s="160">
        <f>IF($B175&lt;'11-Viabilidade'!$C$24,0,$B175-'11-Viabilidade'!$C$24)</f>
        <v>162</v>
      </c>
      <c r="D175" s="161">
        <f>IF(C175&gt;0,'11-Viabilidade'!$K$10,0)*((1+'11-Viabilidade'!$O$10)^(($C175-1)/12))</f>
        <v>5773.1257480618742</v>
      </c>
      <c r="E175" s="161">
        <f>D175*'11-Viabilidade'!$L$12</f>
        <v>320.72920822565965</v>
      </c>
      <c r="F175" s="161">
        <f>D175*'11-Viabilidade'!$K$14</f>
        <v>0</v>
      </c>
      <c r="G175" s="161">
        <f>D175*'11-Viabilidade'!$K$15</f>
        <v>288.6562874030937</v>
      </c>
      <c r="H175" s="11">
        <f>IF(D175=0,'11-Viabilidade'!$K$16+'11-Viabilidade'!$K$17,('11-Viabilidade'!$L$11)*((1+'11-Viabilidade'!$O$10)^(($C175-1)/12)))</f>
        <v>754.78273669105238</v>
      </c>
      <c r="I175" s="161">
        <f>'12-SAC Viabilidade'!G178</f>
        <v>1724.261444864374</v>
      </c>
      <c r="J175" s="161">
        <f>'12-SAC Viabilidade'!H178</f>
        <v>144000.00000000015</v>
      </c>
      <c r="K175" s="162">
        <f>(D175-F175)*'11-Viabilidade'!$O$16</f>
        <v>865.96886220928116</v>
      </c>
      <c r="L175" s="161">
        <f t="shared" si="0"/>
        <v>1818.7272086684134</v>
      </c>
      <c r="M175" s="163">
        <f t="shared" si="1"/>
        <v>3542.9886535327873</v>
      </c>
      <c r="N175" s="164"/>
      <c r="O175" s="171"/>
      <c r="P175" s="165">
        <f>IF(B175&lt;='11-Viabilidade'!$G$11,(P174+(P174*'11-Viabilidade'!$H$12)),0)</f>
        <v>0</v>
      </c>
      <c r="Q175" s="165">
        <f>IF(B175='11-Viabilidade'!$G$11,'11-Viabilidade'!$G$16,0)*(1+'11-Viabilidade'!$G$12)^((B175-1)/12)</f>
        <v>0</v>
      </c>
      <c r="R175" s="172">
        <f t="shared" si="2"/>
        <v>0</v>
      </c>
      <c r="S175" s="165">
        <f t="shared" si="5"/>
        <v>168</v>
      </c>
      <c r="T175" s="160">
        <f>IF($S175&lt;'11-Viabilidade'!$C$24,0,$S175-'11-Viabilidade'!$C$24)</f>
        <v>162</v>
      </c>
      <c r="U175" s="161">
        <f>IF(T175&gt;0,'11-Viabilidade'!$K$10,0)*((1+'11-Viabilidade'!$O$10)^(($T175-1)/12))</f>
        <v>5773.1257480618742</v>
      </c>
      <c r="V175" s="161">
        <f>U175*'11-Viabilidade'!$L$12</f>
        <v>320.72920822565965</v>
      </c>
      <c r="W175" s="161">
        <f>U175*'11-Viabilidade'!$K$14</f>
        <v>0</v>
      </c>
      <c r="X175" s="161">
        <f>U175*'11-Viabilidade'!$K$15</f>
        <v>288.6562874030937</v>
      </c>
      <c r="Y175" s="11">
        <f>IF(AND(U175=0,S175=0),0,IF(AND(U175=0,S175&lt;&gt;0),'11-Viabilidade'!$K$16+'11-Viabilidade'!$K$17,('11-Viabilidade'!$L$11)*((1+'11-Viabilidade'!$O$10)^(($C175-1)/12))))</f>
        <v>754.78273669105238</v>
      </c>
      <c r="Z175" s="168">
        <f>IFERROR(VLOOKUP(S175,'12-SAC Viabilidade'!$B$11:$G$430,6,FALSE),0)</f>
        <v>1724.261444864374</v>
      </c>
      <c r="AA175" s="168">
        <f>IFERROR(VLOOKUP(S175,'12-SAC Viabilidade'!$B$11:$H$430,7,FALSE),0)</f>
        <v>144000.00000000015</v>
      </c>
      <c r="AB175" s="162">
        <f>(U175-W175)*'11-Viabilidade'!$O$16</f>
        <v>865.96886220928116</v>
      </c>
      <c r="AC175" s="161">
        <f t="shared" si="3"/>
        <v>1818.7272086684134</v>
      </c>
      <c r="AD175" s="163">
        <f t="shared" si="4"/>
        <v>3542.9886535327873</v>
      </c>
      <c r="AE175" s="173"/>
      <c r="AF175" s="173"/>
      <c r="AG175" s="173"/>
      <c r="AH175" s="173"/>
    </row>
    <row r="176" spans="1:34" ht="15.75" customHeight="1">
      <c r="A176" s="37"/>
      <c r="B176" s="38">
        <f>IF(AND(B175&gt;0,B175&lt;'11-Viabilidade'!$P$14),B175+1,0)</f>
        <v>169</v>
      </c>
      <c r="C176" s="155">
        <f>IF($B176&lt;'11-Viabilidade'!$C$24,0,$B176-'11-Viabilidade'!$C$24)</f>
        <v>163</v>
      </c>
      <c r="D176" s="11">
        <f>IF(C176&gt;0,'11-Viabilidade'!$K$10,0)*((1+'11-Viabilidade'!$O$10)^(($C176-1)/12))</f>
        <v>5796.6461769780453</v>
      </c>
      <c r="E176" s="11">
        <f>D176*'11-Viabilidade'!$L$12</f>
        <v>322.03589872100252</v>
      </c>
      <c r="F176" s="11">
        <f>D176*'11-Viabilidade'!$K$14</f>
        <v>0</v>
      </c>
      <c r="G176" s="11">
        <f>D176*'11-Viabilidade'!$K$15</f>
        <v>289.8323088489023</v>
      </c>
      <c r="H176" s="11">
        <f>IF(D176=0,'11-Viabilidade'!$K$16+'11-Viabilidade'!$K$17,('11-Viabilidade'!$L$11)*((1+'11-Viabilidade'!$O$10)^(($C176-1)/12)))</f>
        <v>757.85781499009249</v>
      </c>
      <c r="I176" s="11">
        <f>'12-SAC Viabilidade'!G179</f>
        <v>1719.7047931907146</v>
      </c>
      <c r="J176" s="11">
        <f>'12-SAC Viabilidade'!H179</f>
        <v>143428.57142857159</v>
      </c>
      <c r="K176" s="132">
        <f>(D176-F176)*'11-Viabilidade'!$O$16</f>
        <v>869.49692654670673</v>
      </c>
      <c r="L176" s="11">
        <f t="shared" si="0"/>
        <v>1837.7184346806266</v>
      </c>
      <c r="M176" s="156">
        <f t="shared" si="1"/>
        <v>3557.4232278713412</v>
      </c>
      <c r="N176" s="13"/>
      <c r="O176" s="43"/>
      <c r="P176" s="41">
        <f>IF(B176&lt;='11-Viabilidade'!$G$11,(P175+(P175*'11-Viabilidade'!$H$12)),0)</f>
        <v>0</v>
      </c>
      <c r="Q176" s="41">
        <f>IF(B176='11-Viabilidade'!$G$11,'11-Viabilidade'!$G$16,0)*(1+'11-Viabilidade'!$G$12)^((B176-1)/12)</f>
        <v>0</v>
      </c>
      <c r="R176" s="170">
        <f t="shared" si="2"/>
        <v>0</v>
      </c>
      <c r="S176" s="41">
        <f t="shared" si="5"/>
        <v>169</v>
      </c>
      <c r="T176" s="155">
        <f>IF($S176&lt;'11-Viabilidade'!$C$24,0,$S176-'11-Viabilidade'!$C$24)</f>
        <v>163</v>
      </c>
      <c r="U176" s="11">
        <f>IF(T176&gt;0,'11-Viabilidade'!$K$10,0)*((1+'11-Viabilidade'!$O$10)^(($T176-1)/12))</f>
        <v>5796.6461769780453</v>
      </c>
      <c r="V176" s="11">
        <f>U176*'11-Viabilidade'!$L$12</f>
        <v>322.03589872100252</v>
      </c>
      <c r="W176" s="11">
        <f>U176*'11-Viabilidade'!$K$14</f>
        <v>0</v>
      </c>
      <c r="X176" s="11">
        <f>U176*'11-Viabilidade'!$K$15</f>
        <v>289.8323088489023</v>
      </c>
      <c r="Y176" s="11">
        <f>IF(AND(U176=0,S176=0),0,IF(AND(U176=0,S176&lt;&gt;0),'11-Viabilidade'!$K$16+'11-Viabilidade'!$K$17,('11-Viabilidade'!$L$11)*((1+'11-Viabilidade'!$O$10)^(($C176-1)/12))))</f>
        <v>757.85781499009249</v>
      </c>
      <c r="Z176" s="157">
        <f>IFERROR(VLOOKUP(S176,'12-SAC Viabilidade'!$B$11:$G$430,6,FALSE),0)</f>
        <v>1719.7047931907146</v>
      </c>
      <c r="AA176" s="157">
        <f>IFERROR(VLOOKUP(S176,'12-SAC Viabilidade'!$B$11:$H$430,7,FALSE),0)</f>
        <v>143428.57142857159</v>
      </c>
      <c r="AB176" s="132">
        <f>(U176-W176)*'11-Viabilidade'!$O$16</f>
        <v>869.49692654670673</v>
      </c>
      <c r="AC176" s="11">
        <f t="shared" si="3"/>
        <v>1837.7184346806266</v>
      </c>
      <c r="AD176" s="156">
        <f t="shared" si="4"/>
        <v>3557.4232278713412</v>
      </c>
      <c r="AE176" s="42"/>
      <c r="AF176" s="42"/>
      <c r="AG176" s="42"/>
      <c r="AH176" s="42"/>
    </row>
    <row r="177" spans="1:34" ht="15.75" customHeight="1">
      <c r="A177" s="37"/>
      <c r="B177" s="38">
        <f>IF(AND(B176&gt;0,B176&lt;'11-Viabilidade'!$P$14),B176+1,0)</f>
        <v>170</v>
      </c>
      <c r="C177" s="155">
        <f>IF($B177&lt;'11-Viabilidade'!$C$24,0,$B177-'11-Viabilidade'!$C$24)</f>
        <v>164</v>
      </c>
      <c r="D177" s="11">
        <f>IF(C177&gt;0,'11-Viabilidade'!$K$10,0)*((1+'11-Viabilidade'!$O$10)^(($C177-1)/12))</f>
        <v>5820.2624310330657</v>
      </c>
      <c r="E177" s="11">
        <f>D177*'11-Viabilidade'!$L$12</f>
        <v>323.34791283517029</v>
      </c>
      <c r="F177" s="11">
        <f>D177*'11-Viabilidade'!$K$14</f>
        <v>0</v>
      </c>
      <c r="G177" s="11">
        <f>D177*'11-Viabilidade'!$K$15</f>
        <v>291.01312155165328</v>
      </c>
      <c r="H177" s="11">
        <f>IF(D177=0,'11-Viabilidade'!$K$16+'11-Viabilidade'!$K$17,('11-Viabilidade'!$L$11)*((1+'11-Viabilidade'!$O$10)^(($C177-1)/12)))</f>
        <v>760.94542153876739</v>
      </c>
      <c r="I177" s="11">
        <f>'12-SAC Viabilidade'!G180</f>
        <v>1715.1481415170556</v>
      </c>
      <c r="J177" s="11">
        <f>'12-SAC Viabilidade'!H180</f>
        <v>142857.14285714304</v>
      </c>
      <c r="K177" s="132">
        <f>(D177-F177)*'11-Viabilidade'!$O$16</f>
        <v>873.03936465495985</v>
      </c>
      <c r="L177" s="11">
        <f t="shared" si="0"/>
        <v>1856.7684689354592</v>
      </c>
      <c r="M177" s="156">
        <f t="shared" si="1"/>
        <v>3571.9166104525148</v>
      </c>
      <c r="N177" s="13"/>
      <c r="O177" s="43"/>
      <c r="P177" s="41">
        <f>IF(B177&lt;='11-Viabilidade'!$G$11,(P176+(P176*'11-Viabilidade'!$H$12)),0)</f>
        <v>0</v>
      </c>
      <c r="Q177" s="41">
        <f>IF(B177='11-Viabilidade'!$G$11,'11-Viabilidade'!$G$16,0)*(1+'11-Viabilidade'!$G$12)^((B177-1)/12)</f>
        <v>0</v>
      </c>
      <c r="R177" s="170">
        <f t="shared" si="2"/>
        <v>0</v>
      </c>
      <c r="S177" s="41">
        <f t="shared" si="5"/>
        <v>170</v>
      </c>
      <c r="T177" s="155">
        <f>IF($S177&lt;'11-Viabilidade'!$C$24,0,$S177-'11-Viabilidade'!$C$24)</f>
        <v>164</v>
      </c>
      <c r="U177" s="11">
        <f>IF(T177&gt;0,'11-Viabilidade'!$K$10,0)*((1+'11-Viabilidade'!$O$10)^(($T177-1)/12))</f>
        <v>5820.2624310330657</v>
      </c>
      <c r="V177" s="11">
        <f>U177*'11-Viabilidade'!$L$12</f>
        <v>323.34791283517029</v>
      </c>
      <c r="W177" s="11">
        <f>U177*'11-Viabilidade'!$K$14</f>
        <v>0</v>
      </c>
      <c r="X177" s="11">
        <f>U177*'11-Viabilidade'!$K$15</f>
        <v>291.01312155165328</v>
      </c>
      <c r="Y177" s="11">
        <f>IF(AND(U177=0,S177=0),0,IF(AND(U177=0,S177&lt;&gt;0),'11-Viabilidade'!$K$16+'11-Viabilidade'!$K$17,('11-Viabilidade'!$L$11)*((1+'11-Viabilidade'!$O$10)^(($C177-1)/12))))</f>
        <v>760.94542153876739</v>
      </c>
      <c r="Z177" s="157">
        <f>IFERROR(VLOOKUP(S177,'12-SAC Viabilidade'!$B$11:$G$430,6,FALSE),0)</f>
        <v>1715.1481415170556</v>
      </c>
      <c r="AA177" s="157">
        <f>IFERROR(VLOOKUP(S177,'12-SAC Viabilidade'!$B$11:$H$430,7,FALSE),0)</f>
        <v>142857.14285714304</v>
      </c>
      <c r="AB177" s="132">
        <f>(U177-W177)*'11-Viabilidade'!$O$16</f>
        <v>873.03936465495985</v>
      </c>
      <c r="AC177" s="11">
        <f t="shared" si="3"/>
        <v>1856.7684689354592</v>
      </c>
      <c r="AD177" s="156">
        <f t="shared" si="4"/>
        <v>3571.9166104525148</v>
      </c>
      <c r="AE177" s="42"/>
      <c r="AF177" s="42"/>
      <c r="AG177" s="42"/>
      <c r="AH177" s="42"/>
    </row>
    <row r="178" spans="1:34" ht="15.75" customHeight="1">
      <c r="A178" s="37"/>
      <c r="B178" s="38">
        <f>IF(AND(B177&gt;0,B177&lt;'11-Viabilidade'!$P$14),B177+1,0)</f>
        <v>171</v>
      </c>
      <c r="C178" s="155">
        <f>IF($B178&lt;'11-Viabilidade'!$C$24,0,$B178-'11-Viabilidade'!$C$24)</f>
        <v>165</v>
      </c>
      <c r="D178" s="11">
        <f>IF(C178&gt;0,'11-Viabilidade'!$K$10,0)*((1+'11-Viabilidade'!$O$10)^(($C178-1)/12))</f>
        <v>5843.9749006304119</v>
      </c>
      <c r="E178" s="11">
        <f>D178*'11-Viabilidade'!$L$12</f>
        <v>324.66527225724508</v>
      </c>
      <c r="F178" s="11">
        <f>D178*'11-Viabilidade'!$K$14</f>
        <v>0</v>
      </c>
      <c r="G178" s="11">
        <f>D178*'11-Viabilidade'!$K$15</f>
        <v>292.19874503152062</v>
      </c>
      <c r="H178" s="11">
        <f>IF(D178=0,'11-Viabilidade'!$K$16+'11-Viabilidade'!$K$17,('11-Viabilidade'!$L$11)*((1+'11-Viabilidade'!$O$10)^(($C178-1)/12)))</f>
        <v>764.04560737871668</v>
      </c>
      <c r="I178" s="11">
        <f>'12-SAC Viabilidade'!G181</f>
        <v>1710.5914898433966</v>
      </c>
      <c r="J178" s="11">
        <f>'12-SAC Viabilidade'!H181</f>
        <v>142285.71428571449</v>
      </c>
      <c r="K178" s="132">
        <f>(D178-F178)*'11-Viabilidade'!$O$16</f>
        <v>876.59623509456173</v>
      </c>
      <c r="L178" s="11">
        <f t="shared" si="0"/>
        <v>1875.8775510249707</v>
      </c>
      <c r="M178" s="156">
        <f t="shared" si="1"/>
        <v>3586.4690408683678</v>
      </c>
      <c r="N178" s="13"/>
      <c r="O178" s="43"/>
      <c r="P178" s="41">
        <f>IF(B178&lt;='11-Viabilidade'!$G$11,(P177+(P177*'11-Viabilidade'!$H$12)),0)</f>
        <v>0</v>
      </c>
      <c r="Q178" s="41">
        <f>IF(B178='11-Viabilidade'!$G$11,'11-Viabilidade'!$G$16,0)*(1+'11-Viabilidade'!$G$12)^((B178-1)/12)</f>
        <v>0</v>
      </c>
      <c r="R178" s="170">
        <f t="shared" si="2"/>
        <v>0</v>
      </c>
      <c r="S178" s="41">
        <f t="shared" si="5"/>
        <v>171</v>
      </c>
      <c r="T178" s="155">
        <f>IF($S178&lt;'11-Viabilidade'!$C$24,0,$S178-'11-Viabilidade'!$C$24)</f>
        <v>165</v>
      </c>
      <c r="U178" s="11">
        <f>IF(T178&gt;0,'11-Viabilidade'!$K$10,0)*((1+'11-Viabilidade'!$O$10)^(($T178-1)/12))</f>
        <v>5843.9749006304119</v>
      </c>
      <c r="V178" s="11">
        <f>U178*'11-Viabilidade'!$L$12</f>
        <v>324.66527225724508</v>
      </c>
      <c r="W178" s="11">
        <f>U178*'11-Viabilidade'!$K$14</f>
        <v>0</v>
      </c>
      <c r="X178" s="11">
        <f>U178*'11-Viabilidade'!$K$15</f>
        <v>292.19874503152062</v>
      </c>
      <c r="Y178" s="11">
        <f>IF(AND(U178=0,S178=0),0,IF(AND(U178=0,S178&lt;&gt;0),'11-Viabilidade'!$K$16+'11-Viabilidade'!$K$17,('11-Viabilidade'!$L$11)*((1+'11-Viabilidade'!$O$10)^(($C178-1)/12))))</f>
        <v>764.04560737871668</v>
      </c>
      <c r="Z178" s="157">
        <f>IFERROR(VLOOKUP(S178,'12-SAC Viabilidade'!$B$11:$G$430,6,FALSE),0)</f>
        <v>1710.5914898433966</v>
      </c>
      <c r="AA178" s="157">
        <f>IFERROR(VLOOKUP(S178,'12-SAC Viabilidade'!$B$11:$H$430,7,FALSE),0)</f>
        <v>142285.71428571449</v>
      </c>
      <c r="AB178" s="132">
        <f>(U178-W178)*'11-Viabilidade'!$O$16</f>
        <v>876.59623509456173</v>
      </c>
      <c r="AC178" s="11">
        <f t="shared" si="3"/>
        <v>1875.8775510249707</v>
      </c>
      <c r="AD178" s="156">
        <f t="shared" si="4"/>
        <v>3586.4690408683678</v>
      </c>
      <c r="AE178" s="42"/>
      <c r="AF178" s="42"/>
      <c r="AG178" s="42"/>
      <c r="AH178" s="42"/>
    </row>
    <row r="179" spans="1:34" ht="15.75" customHeight="1">
      <c r="A179" s="37"/>
      <c r="B179" s="38">
        <f>IF(AND(B178&gt;0,B178&lt;'11-Viabilidade'!$P$14),B178+1,0)</f>
        <v>172</v>
      </c>
      <c r="C179" s="155">
        <f>IF($B179&lt;'11-Viabilidade'!$C$24,0,$B179-'11-Viabilidade'!$C$24)</f>
        <v>166</v>
      </c>
      <c r="D179" s="11">
        <f>IF(C179&gt;0,'11-Viabilidade'!$K$10,0)*((1+'11-Viabilidade'!$O$10)^(($C179-1)/12))</f>
        <v>5867.7839777641138</v>
      </c>
      <c r="E179" s="11">
        <f>D179*'11-Viabilidade'!$L$12</f>
        <v>325.98799876467297</v>
      </c>
      <c r="F179" s="11">
        <f>D179*'11-Viabilidade'!$K$14</f>
        <v>0</v>
      </c>
      <c r="G179" s="11">
        <f>D179*'11-Viabilidade'!$K$15</f>
        <v>293.38919888820573</v>
      </c>
      <c r="H179" s="11">
        <f>IF(D179=0,'11-Viabilidade'!$K$16+'11-Viabilidade'!$K$17,('11-Viabilidade'!$L$11)*((1+'11-Viabilidade'!$O$10)^(($C179-1)/12)))</f>
        <v>767.15842375953036</v>
      </c>
      <c r="I179" s="11">
        <f>'12-SAC Viabilidade'!G182</f>
        <v>1706.0348381697372</v>
      </c>
      <c r="J179" s="11">
        <f>'12-SAC Viabilidade'!H182</f>
        <v>141714.28571428594</v>
      </c>
      <c r="K179" s="132">
        <f>(D179-F179)*'11-Viabilidade'!$O$16</f>
        <v>880.16759666461701</v>
      </c>
      <c r="L179" s="11">
        <f t="shared" si="0"/>
        <v>1895.0459215173505</v>
      </c>
      <c r="M179" s="156">
        <f t="shared" si="1"/>
        <v>3601.0807596870877</v>
      </c>
      <c r="N179" s="13"/>
      <c r="O179" s="43"/>
      <c r="P179" s="41">
        <f>IF(B179&lt;='11-Viabilidade'!$G$11,(P178+(P178*'11-Viabilidade'!$H$12)),0)</f>
        <v>0</v>
      </c>
      <c r="Q179" s="41">
        <f>IF(B179='11-Viabilidade'!$G$11,'11-Viabilidade'!$G$16,0)*(1+'11-Viabilidade'!$G$12)^((B179-1)/12)</f>
        <v>0</v>
      </c>
      <c r="R179" s="170">
        <f t="shared" si="2"/>
        <v>0</v>
      </c>
      <c r="S179" s="41">
        <f t="shared" si="5"/>
        <v>172</v>
      </c>
      <c r="T179" s="155">
        <f>IF($S179&lt;'11-Viabilidade'!$C$24,0,$S179-'11-Viabilidade'!$C$24)</f>
        <v>166</v>
      </c>
      <c r="U179" s="11">
        <f>IF(T179&gt;0,'11-Viabilidade'!$K$10,0)*((1+'11-Viabilidade'!$O$10)^(($T179-1)/12))</f>
        <v>5867.7839777641138</v>
      </c>
      <c r="V179" s="11">
        <f>U179*'11-Viabilidade'!$L$12</f>
        <v>325.98799876467297</v>
      </c>
      <c r="W179" s="11">
        <f>U179*'11-Viabilidade'!$K$14</f>
        <v>0</v>
      </c>
      <c r="X179" s="11">
        <f>U179*'11-Viabilidade'!$K$15</f>
        <v>293.38919888820573</v>
      </c>
      <c r="Y179" s="11">
        <f>IF(AND(U179=0,S179=0),0,IF(AND(U179=0,S179&lt;&gt;0),'11-Viabilidade'!$K$16+'11-Viabilidade'!$K$17,('11-Viabilidade'!$L$11)*((1+'11-Viabilidade'!$O$10)^(($C179-1)/12))))</f>
        <v>767.15842375953036</v>
      </c>
      <c r="Z179" s="157">
        <f>IFERROR(VLOOKUP(S179,'12-SAC Viabilidade'!$B$11:$G$430,6,FALSE),0)</f>
        <v>1706.0348381697372</v>
      </c>
      <c r="AA179" s="157">
        <f>IFERROR(VLOOKUP(S179,'12-SAC Viabilidade'!$B$11:$H$430,7,FALSE),0)</f>
        <v>141714.28571428594</v>
      </c>
      <c r="AB179" s="132">
        <f>(U179-W179)*'11-Viabilidade'!$O$16</f>
        <v>880.16759666461701</v>
      </c>
      <c r="AC179" s="11">
        <f t="shared" si="3"/>
        <v>1895.0459215173505</v>
      </c>
      <c r="AD179" s="156">
        <f t="shared" si="4"/>
        <v>3601.0807596870877</v>
      </c>
      <c r="AE179" s="42"/>
      <c r="AF179" s="42"/>
      <c r="AG179" s="42"/>
      <c r="AH179" s="42"/>
    </row>
    <row r="180" spans="1:34" ht="15.75" customHeight="1">
      <c r="A180" s="37"/>
      <c r="B180" s="38">
        <f>IF(AND(B179&gt;0,B179&lt;'11-Viabilidade'!$P$14),B179+1,0)</f>
        <v>173</v>
      </c>
      <c r="C180" s="155">
        <f>IF($B180&lt;'11-Viabilidade'!$C$24,0,$B180-'11-Viabilidade'!$C$24)</f>
        <v>167</v>
      </c>
      <c r="D180" s="11">
        <f>IF(C180&gt;0,'11-Viabilidade'!$K$10,0)*((1+'11-Viabilidade'!$O$10)^(($C180-1)/12))</f>
        <v>5891.6900560252334</v>
      </c>
      <c r="E180" s="11">
        <f>D180*'11-Viabilidade'!$L$12</f>
        <v>327.31611422362408</v>
      </c>
      <c r="F180" s="11">
        <f>D180*'11-Viabilidade'!$K$14</f>
        <v>0</v>
      </c>
      <c r="G180" s="11">
        <f>D180*'11-Viabilidade'!$K$15</f>
        <v>294.58450280126169</v>
      </c>
      <c r="H180" s="11">
        <f>IF(D180=0,'11-Viabilidade'!$K$16+'11-Viabilidade'!$K$17,('11-Viabilidade'!$L$11)*((1+'11-Viabilidade'!$O$10)^(($C180-1)/12)))</f>
        <v>770.28392213959523</v>
      </c>
      <c r="I180" s="11">
        <f>'12-SAC Viabilidade'!G183</f>
        <v>1701.4781864960783</v>
      </c>
      <c r="J180" s="11">
        <f>'12-SAC Viabilidade'!H183</f>
        <v>141142.85714285739</v>
      </c>
      <c r="K180" s="132">
        <f>(D180-F180)*'11-Viabilidade'!$O$16</f>
        <v>883.75350840378496</v>
      </c>
      <c r="L180" s="11">
        <f t="shared" si="0"/>
        <v>1914.2738219608891</v>
      </c>
      <c r="M180" s="156">
        <f t="shared" si="1"/>
        <v>3615.7520084569674</v>
      </c>
      <c r="N180" s="13"/>
      <c r="O180" s="43"/>
      <c r="P180" s="41">
        <f>IF(B180&lt;='11-Viabilidade'!$G$11,(P179+(P179*'11-Viabilidade'!$H$12)),0)</f>
        <v>0</v>
      </c>
      <c r="Q180" s="41">
        <f>IF(B180='11-Viabilidade'!$G$11,'11-Viabilidade'!$G$16,0)*(1+'11-Viabilidade'!$G$12)^((B180-1)/12)</f>
        <v>0</v>
      </c>
      <c r="R180" s="170">
        <f t="shared" si="2"/>
        <v>0</v>
      </c>
      <c r="S180" s="41">
        <f t="shared" si="5"/>
        <v>173</v>
      </c>
      <c r="T180" s="155">
        <f>IF($S180&lt;'11-Viabilidade'!$C$24,0,$S180-'11-Viabilidade'!$C$24)</f>
        <v>167</v>
      </c>
      <c r="U180" s="11">
        <f>IF(T180&gt;0,'11-Viabilidade'!$K$10,0)*((1+'11-Viabilidade'!$O$10)^(($T180-1)/12))</f>
        <v>5891.6900560252334</v>
      </c>
      <c r="V180" s="11">
        <f>U180*'11-Viabilidade'!$L$12</f>
        <v>327.31611422362408</v>
      </c>
      <c r="W180" s="11">
        <f>U180*'11-Viabilidade'!$K$14</f>
        <v>0</v>
      </c>
      <c r="X180" s="11">
        <f>U180*'11-Viabilidade'!$K$15</f>
        <v>294.58450280126169</v>
      </c>
      <c r="Y180" s="11">
        <f>IF(AND(U180=0,S180=0),0,IF(AND(U180=0,S180&lt;&gt;0),'11-Viabilidade'!$K$16+'11-Viabilidade'!$K$17,('11-Viabilidade'!$L$11)*((1+'11-Viabilidade'!$O$10)^(($C180-1)/12))))</f>
        <v>770.28392213959523</v>
      </c>
      <c r="Z180" s="157">
        <f>IFERROR(VLOOKUP(S180,'12-SAC Viabilidade'!$B$11:$G$430,6,FALSE),0)</f>
        <v>1701.4781864960783</v>
      </c>
      <c r="AA180" s="157">
        <f>IFERROR(VLOOKUP(S180,'12-SAC Viabilidade'!$B$11:$H$430,7,FALSE),0)</f>
        <v>141142.85714285739</v>
      </c>
      <c r="AB180" s="132">
        <f>(U180-W180)*'11-Viabilidade'!$O$16</f>
        <v>883.75350840378496</v>
      </c>
      <c r="AC180" s="11">
        <f t="shared" si="3"/>
        <v>1914.2738219608891</v>
      </c>
      <c r="AD180" s="156">
        <f t="shared" si="4"/>
        <v>3615.7520084569674</v>
      </c>
      <c r="AE180" s="42"/>
      <c r="AF180" s="42"/>
      <c r="AG180" s="42"/>
      <c r="AH180" s="42"/>
    </row>
    <row r="181" spans="1:34" ht="15.75" customHeight="1">
      <c r="A181" s="37"/>
      <c r="B181" s="38">
        <f>IF(AND(B180&gt;0,B180&lt;'11-Viabilidade'!$P$14),B180+1,0)</f>
        <v>174</v>
      </c>
      <c r="C181" s="155">
        <f>IF($B181&lt;'11-Viabilidade'!$C$24,0,$B181-'11-Viabilidade'!$C$24)</f>
        <v>168</v>
      </c>
      <c r="D181" s="11">
        <f>IF(C181&gt;0,'11-Viabilidade'!$K$10,0)*((1+'11-Viabilidade'!$O$10)^(($C181-1)/12))</f>
        <v>5915.6935306083697</v>
      </c>
      <c r="E181" s="11">
        <f>D181*'11-Viabilidade'!$L$12</f>
        <v>328.64964058935385</v>
      </c>
      <c r="F181" s="11">
        <f>D181*'11-Viabilidade'!$K$14</f>
        <v>0</v>
      </c>
      <c r="G181" s="11">
        <f>D181*'11-Viabilidade'!$K$15</f>
        <v>295.78467653041849</v>
      </c>
      <c r="H181" s="11">
        <f>IF(D181=0,'11-Viabilidade'!$K$16+'11-Viabilidade'!$K$17,('11-Viabilidade'!$L$11)*((1+'11-Viabilidade'!$O$10)^(($C181-1)/12)))</f>
        <v>773.42215418694605</v>
      </c>
      <c r="I181" s="11">
        <f>'12-SAC Viabilidade'!G184</f>
        <v>1696.9215348224188</v>
      </c>
      <c r="J181" s="11">
        <f>'12-SAC Viabilidade'!H184</f>
        <v>140571.42857142884</v>
      </c>
      <c r="K181" s="132">
        <f>(D181-F181)*'11-Viabilidade'!$O$16</f>
        <v>887.35402959125543</v>
      </c>
      <c r="L181" s="11">
        <f t="shared" si="0"/>
        <v>1933.561494887977</v>
      </c>
      <c r="M181" s="156">
        <f t="shared" si="1"/>
        <v>3630.4830297103958</v>
      </c>
      <c r="N181" s="13"/>
      <c r="O181" s="43"/>
      <c r="P181" s="41">
        <f>IF(B181&lt;='11-Viabilidade'!$G$11,(P180+(P180*'11-Viabilidade'!$H$12)),0)</f>
        <v>0</v>
      </c>
      <c r="Q181" s="41">
        <f>IF(B181='11-Viabilidade'!$G$11,'11-Viabilidade'!$G$16,0)*(1+'11-Viabilidade'!$G$12)^((B181-1)/12)</f>
        <v>0</v>
      </c>
      <c r="R181" s="170">
        <f t="shared" si="2"/>
        <v>0</v>
      </c>
      <c r="S181" s="41">
        <f t="shared" si="5"/>
        <v>174</v>
      </c>
      <c r="T181" s="155">
        <f>IF($S181&lt;'11-Viabilidade'!$C$24,0,$S181-'11-Viabilidade'!$C$24)</f>
        <v>168</v>
      </c>
      <c r="U181" s="11">
        <f>IF(T181&gt;0,'11-Viabilidade'!$K$10,0)*((1+'11-Viabilidade'!$O$10)^(($T181-1)/12))</f>
        <v>5915.6935306083697</v>
      </c>
      <c r="V181" s="11">
        <f>U181*'11-Viabilidade'!$L$12</f>
        <v>328.64964058935385</v>
      </c>
      <c r="W181" s="11">
        <f>U181*'11-Viabilidade'!$K$14</f>
        <v>0</v>
      </c>
      <c r="X181" s="11">
        <f>U181*'11-Viabilidade'!$K$15</f>
        <v>295.78467653041849</v>
      </c>
      <c r="Y181" s="11">
        <f>IF(AND(U181=0,S181=0),0,IF(AND(U181=0,S181&lt;&gt;0),'11-Viabilidade'!$K$16+'11-Viabilidade'!$K$17,('11-Viabilidade'!$L$11)*((1+'11-Viabilidade'!$O$10)^(($C181-1)/12))))</f>
        <v>773.42215418694605</v>
      </c>
      <c r="Z181" s="157">
        <f>IFERROR(VLOOKUP(S181,'12-SAC Viabilidade'!$B$11:$G$430,6,FALSE),0)</f>
        <v>1696.9215348224188</v>
      </c>
      <c r="AA181" s="157">
        <f>IFERROR(VLOOKUP(S181,'12-SAC Viabilidade'!$B$11:$H$430,7,FALSE),0)</f>
        <v>140571.42857142884</v>
      </c>
      <c r="AB181" s="132">
        <f>(U181-W181)*'11-Viabilidade'!$O$16</f>
        <v>887.35402959125543</v>
      </c>
      <c r="AC181" s="11">
        <f t="shared" si="3"/>
        <v>1933.561494887977</v>
      </c>
      <c r="AD181" s="156">
        <f t="shared" si="4"/>
        <v>3630.4830297103958</v>
      </c>
      <c r="AE181" s="42"/>
      <c r="AF181" s="42"/>
      <c r="AG181" s="42"/>
      <c r="AH181" s="42"/>
    </row>
    <row r="182" spans="1:34" ht="15.75" customHeight="1">
      <c r="A182" s="37"/>
      <c r="B182" s="38">
        <f>IF(AND(B181&gt;0,B181&lt;'11-Viabilidade'!$P$14),B181+1,0)</f>
        <v>175</v>
      </c>
      <c r="C182" s="155">
        <f>IF($B182&lt;'11-Viabilidade'!$C$24,0,$B182-'11-Viabilidade'!$C$24)</f>
        <v>169</v>
      </c>
      <c r="D182" s="11">
        <f>IF(C182&gt;0,'11-Viabilidade'!$K$10,0)*((1+'11-Viabilidade'!$O$10)^(($C182-1)/12))</f>
        <v>5939.7947983181921</v>
      </c>
      <c r="E182" s="11">
        <f>D182*'11-Viabilidade'!$L$12</f>
        <v>329.98859990656621</v>
      </c>
      <c r="F182" s="11">
        <f>D182*'11-Viabilidade'!$K$14</f>
        <v>0</v>
      </c>
      <c r="G182" s="11">
        <f>D182*'11-Viabilidade'!$K$15</f>
        <v>296.98973991590964</v>
      </c>
      <c r="H182" s="11">
        <f>IF(D182=0,'11-Viabilidade'!$K$16+'11-Viabilidade'!$K$17,('11-Viabilidade'!$L$11)*((1+'11-Viabilidade'!$O$10)^(($C182-1)/12)))</f>
        <v>776.57317178011908</v>
      </c>
      <c r="I182" s="11">
        <f>'12-SAC Viabilidade'!G185</f>
        <v>1692.3648831487599</v>
      </c>
      <c r="J182" s="11">
        <f>'12-SAC Viabilidade'!H185</f>
        <v>140000.00000000029</v>
      </c>
      <c r="K182" s="132">
        <f>(D182-F182)*'11-Viabilidade'!$O$16</f>
        <v>890.96921974772874</v>
      </c>
      <c r="L182" s="11">
        <f t="shared" si="0"/>
        <v>1952.9091838191084</v>
      </c>
      <c r="M182" s="156">
        <f t="shared" si="1"/>
        <v>3645.2740669678683</v>
      </c>
      <c r="N182" s="13"/>
      <c r="O182" s="43"/>
      <c r="P182" s="41">
        <f>IF(B182&lt;='11-Viabilidade'!$G$11,(P181+(P181*'11-Viabilidade'!$H$12)),0)</f>
        <v>0</v>
      </c>
      <c r="Q182" s="41">
        <f>IF(B182='11-Viabilidade'!$G$11,'11-Viabilidade'!$G$16,0)*(1+'11-Viabilidade'!$G$12)^((B182-1)/12)</f>
        <v>0</v>
      </c>
      <c r="R182" s="170">
        <f t="shared" si="2"/>
        <v>0</v>
      </c>
      <c r="S182" s="41">
        <f t="shared" si="5"/>
        <v>175</v>
      </c>
      <c r="T182" s="155">
        <f>IF($S182&lt;'11-Viabilidade'!$C$24,0,$S182-'11-Viabilidade'!$C$24)</f>
        <v>169</v>
      </c>
      <c r="U182" s="11">
        <f>IF(T182&gt;0,'11-Viabilidade'!$K$10,0)*((1+'11-Viabilidade'!$O$10)^(($T182-1)/12))</f>
        <v>5939.7947983181921</v>
      </c>
      <c r="V182" s="11">
        <f>U182*'11-Viabilidade'!$L$12</f>
        <v>329.98859990656621</v>
      </c>
      <c r="W182" s="11">
        <f>U182*'11-Viabilidade'!$K$14</f>
        <v>0</v>
      </c>
      <c r="X182" s="11">
        <f>U182*'11-Viabilidade'!$K$15</f>
        <v>296.98973991590964</v>
      </c>
      <c r="Y182" s="11">
        <f>IF(AND(U182=0,S182=0),0,IF(AND(U182=0,S182&lt;&gt;0),'11-Viabilidade'!$K$16+'11-Viabilidade'!$K$17,('11-Viabilidade'!$L$11)*((1+'11-Viabilidade'!$O$10)^(($C182-1)/12))))</f>
        <v>776.57317178011908</v>
      </c>
      <c r="Z182" s="157">
        <f>IFERROR(VLOOKUP(S182,'12-SAC Viabilidade'!$B$11:$G$430,6,FALSE),0)</f>
        <v>1692.3648831487599</v>
      </c>
      <c r="AA182" s="157">
        <f>IFERROR(VLOOKUP(S182,'12-SAC Viabilidade'!$B$11:$H$430,7,FALSE),0)</f>
        <v>140000.00000000029</v>
      </c>
      <c r="AB182" s="132">
        <f>(U182-W182)*'11-Viabilidade'!$O$16</f>
        <v>890.96921974772874</v>
      </c>
      <c r="AC182" s="11">
        <f t="shared" si="3"/>
        <v>1952.9091838191084</v>
      </c>
      <c r="AD182" s="156">
        <f t="shared" si="4"/>
        <v>3645.2740669678683</v>
      </c>
      <c r="AE182" s="42"/>
      <c r="AF182" s="42"/>
      <c r="AG182" s="42"/>
      <c r="AH182" s="42"/>
    </row>
    <row r="183" spans="1:34" ht="15.75" customHeight="1">
      <c r="A183" s="37"/>
      <c r="B183" s="38">
        <f>IF(AND(B182&gt;0,B182&lt;'11-Viabilidade'!$P$14),B182+1,0)</f>
        <v>176</v>
      </c>
      <c r="C183" s="155">
        <f>IF($B183&lt;'11-Viabilidade'!$C$24,0,$B183-'11-Viabilidade'!$C$24)</f>
        <v>170</v>
      </c>
      <c r="D183" s="11">
        <f>IF(C183&gt;0,'11-Viabilidade'!$K$10,0)*((1+'11-Viabilidade'!$O$10)^(($C183-1)/12))</f>
        <v>5963.9942575760151</v>
      </c>
      <c r="E183" s="11">
        <f>D183*'11-Viabilidade'!$L$12</f>
        <v>331.3330143097786</v>
      </c>
      <c r="F183" s="11">
        <f>D183*'11-Viabilidade'!$K$14</f>
        <v>0</v>
      </c>
      <c r="G183" s="11">
        <f>D183*'11-Viabilidade'!$K$15</f>
        <v>298.19971287880077</v>
      </c>
      <c r="H183" s="11">
        <f>IF(D183=0,'11-Viabilidade'!$K$16+'11-Viabilidade'!$K$17,('11-Viabilidade'!$L$11)*((1+'11-Viabilidade'!$O$10)^(($C183-1)/12)))</f>
        <v>779.73702700901219</v>
      </c>
      <c r="I183" s="11">
        <f>'12-SAC Viabilidade'!G186</f>
        <v>1687.8082314751009</v>
      </c>
      <c r="J183" s="11">
        <f>'12-SAC Viabilidade'!H186</f>
        <v>139428.57142857174</v>
      </c>
      <c r="K183" s="132">
        <f>(D183-F183)*'11-Viabilidade'!$O$16</f>
        <v>894.59913863640224</v>
      </c>
      <c r="L183" s="11">
        <f t="shared" si="0"/>
        <v>1972.3171332669203</v>
      </c>
      <c r="M183" s="156">
        <f t="shared" si="1"/>
        <v>3660.1253647420212</v>
      </c>
      <c r="N183" s="13"/>
      <c r="O183" s="43"/>
      <c r="P183" s="41">
        <f>IF(B183&lt;='11-Viabilidade'!$G$11,(P182+(P182*'11-Viabilidade'!$H$12)),0)</f>
        <v>0</v>
      </c>
      <c r="Q183" s="41">
        <f>IF(B183='11-Viabilidade'!$G$11,'11-Viabilidade'!$G$16,0)*(1+'11-Viabilidade'!$G$12)^((B183-1)/12)</f>
        <v>0</v>
      </c>
      <c r="R183" s="170">
        <f t="shared" si="2"/>
        <v>0</v>
      </c>
      <c r="S183" s="41">
        <f t="shared" si="5"/>
        <v>176</v>
      </c>
      <c r="T183" s="155">
        <f>IF($S183&lt;'11-Viabilidade'!$C$24,0,$S183-'11-Viabilidade'!$C$24)</f>
        <v>170</v>
      </c>
      <c r="U183" s="11">
        <f>IF(T183&gt;0,'11-Viabilidade'!$K$10,0)*((1+'11-Viabilidade'!$O$10)^(($T183-1)/12))</f>
        <v>5963.9942575760151</v>
      </c>
      <c r="V183" s="11">
        <f>U183*'11-Viabilidade'!$L$12</f>
        <v>331.3330143097786</v>
      </c>
      <c r="W183" s="11">
        <f>U183*'11-Viabilidade'!$K$14</f>
        <v>0</v>
      </c>
      <c r="X183" s="11">
        <f>U183*'11-Viabilidade'!$K$15</f>
        <v>298.19971287880077</v>
      </c>
      <c r="Y183" s="11">
        <f>IF(AND(U183=0,S183=0),0,IF(AND(U183=0,S183&lt;&gt;0),'11-Viabilidade'!$K$16+'11-Viabilidade'!$K$17,('11-Viabilidade'!$L$11)*((1+'11-Viabilidade'!$O$10)^(($C183-1)/12))))</f>
        <v>779.73702700901219</v>
      </c>
      <c r="Z183" s="157">
        <f>IFERROR(VLOOKUP(S183,'12-SAC Viabilidade'!$B$11:$G$430,6,FALSE),0)</f>
        <v>1687.8082314751009</v>
      </c>
      <c r="AA183" s="157">
        <f>IFERROR(VLOOKUP(S183,'12-SAC Viabilidade'!$B$11:$H$430,7,FALSE),0)</f>
        <v>139428.57142857174</v>
      </c>
      <c r="AB183" s="132">
        <f>(U183-W183)*'11-Viabilidade'!$O$16</f>
        <v>894.59913863640224</v>
      </c>
      <c r="AC183" s="11">
        <f t="shared" si="3"/>
        <v>1972.3171332669203</v>
      </c>
      <c r="AD183" s="156">
        <f t="shared" si="4"/>
        <v>3660.1253647420212</v>
      </c>
      <c r="AE183" s="42"/>
      <c r="AF183" s="42"/>
      <c r="AG183" s="42"/>
      <c r="AH183" s="42"/>
    </row>
    <row r="184" spans="1:34" ht="15.75" customHeight="1">
      <c r="A184" s="37"/>
      <c r="B184" s="38">
        <f>IF(AND(B183&gt;0,B183&lt;'11-Viabilidade'!$P$14),B183+1,0)</f>
        <v>177</v>
      </c>
      <c r="C184" s="155">
        <f>IF($B184&lt;'11-Viabilidade'!$C$24,0,$B184-'11-Viabilidade'!$C$24)</f>
        <v>171</v>
      </c>
      <c r="D184" s="11">
        <f>IF(C184&gt;0,'11-Viabilidade'!$K$10,0)*((1+'11-Viabilidade'!$O$10)^(($C184-1)/12))</f>
        <v>5988.2923084263466</v>
      </c>
      <c r="E184" s="11">
        <f>D184*'11-Viabilidade'!$L$12</f>
        <v>332.68290602368592</v>
      </c>
      <c r="F184" s="11">
        <f>D184*'11-Viabilidade'!$K$14</f>
        <v>0</v>
      </c>
      <c r="G184" s="11">
        <f>D184*'11-Viabilidade'!$K$15</f>
        <v>299.41461542131736</v>
      </c>
      <c r="H184" s="11">
        <f>IF(D184=0,'11-Viabilidade'!$K$16+'11-Viabilidade'!$K$17,('11-Viabilidade'!$L$11)*((1+'11-Viabilidade'!$O$10)^(($C184-1)/12)))</f>
        <v>782.91377217574075</v>
      </c>
      <c r="I184" s="11">
        <f>'12-SAC Viabilidade'!G187</f>
        <v>1683.2515798014415</v>
      </c>
      <c r="J184" s="11">
        <f>'12-SAC Viabilidade'!H187</f>
        <v>138857.14285714316</v>
      </c>
      <c r="K184" s="132">
        <f>(D184-F184)*'11-Viabilidade'!$O$16</f>
        <v>898.24384626395192</v>
      </c>
      <c r="L184" s="11">
        <f t="shared" si="0"/>
        <v>1991.7855887402093</v>
      </c>
      <c r="M184" s="156">
        <f t="shared" si="1"/>
        <v>3675.0371685416508</v>
      </c>
      <c r="N184" s="13"/>
      <c r="O184" s="43"/>
      <c r="P184" s="41">
        <f>IF(B184&lt;='11-Viabilidade'!$G$11,(P183+(P183*'11-Viabilidade'!$H$12)),0)</f>
        <v>0</v>
      </c>
      <c r="Q184" s="41">
        <f>IF(B184='11-Viabilidade'!$G$11,'11-Viabilidade'!$G$16,0)*(1+'11-Viabilidade'!$G$12)^((B184-1)/12)</f>
        <v>0</v>
      </c>
      <c r="R184" s="170">
        <f t="shared" si="2"/>
        <v>0</v>
      </c>
      <c r="S184" s="41">
        <f t="shared" si="5"/>
        <v>177</v>
      </c>
      <c r="T184" s="155">
        <f>IF($S184&lt;'11-Viabilidade'!$C$24,0,$S184-'11-Viabilidade'!$C$24)</f>
        <v>171</v>
      </c>
      <c r="U184" s="11">
        <f>IF(T184&gt;0,'11-Viabilidade'!$K$10,0)*((1+'11-Viabilidade'!$O$10)^(($T184-1)/12))</f>
        <v>5988.2923084263466</v>
      </c>
      <c r="V184" s="11">
        <f>U184*'11-Viabilidade'!$L$12</f>
        <v>332.68290602368592</v>
      </c>
      <c r="W184" s="11">
        <f>U184*'11-Viabilidade'!$K$14</f>
        <v>0</v>
      </c>
      <c r="X184" s="11">
        <f>U184*'11-Viabilidade'!$K$15</f>
        <v>299.41461542131736</v>
      </c>
      <c r="Y184" s="11">
        <f>IF(AND(U184=0,S184=0),0,IF(AND(U184=0,S184&lt;&gt;0),'11-Viabilidade'!$K$16+'11-Viabilidade'!$K$17,('11-Viabilidade'!$L$11)*((1+'11-Viabilidade'!$O$10)^(($C184-1)/12))))</f>
        <v>782.91377217574075</v>
      </c>
      <c r="Z184" s="157">
        <f>IFERROR(VLOOKUP(S184,'12-SAC Viabilidade'!$B$11:$G$430,6,FALSE),0)</f>
        <v>1683.2515798014415</v>
      </c>
      <c r="AA184" s="157">
        <f>IFERROR(VLOOKUP(S184,'12-SAC Viabilidade'!$B$11:$H$430,7,FALSE),0)</f>
        <v>138857.14285714316</v>
      </c>
      <c r="AB184" s="132">
        <f>(U184-W184)*'11-Viabilidade'!$O$16</f>
        <v>898.24384626395192</v>
      </c>
      <c r="AC184" s="11">
        <f t="shared" si="3"/>
        <v>1991.7855887402093</v>
      </c>
      <c r="AD184" s="156">
        <f t="shared" si="4"/>
        <v>3675.0371685416508</v>
      </c>
      <c r="AE184" s="42"/>
      <c r="AF184" s="42"/>
      <c r="AG184" s="42"/>
      <c r="AH184" s="42"/>
    </row>
    <row r="185" spans="1:34" ht="15.75" customHeight="1">
      <c r="A185" s="37"/>
      <c r="B185" s="38">
        <f>IF(AND(B184&gt;0,B184&lt;'11-Viabilidade'!$P$14),B184+1,0)</f>
        <v>178</v>
      </c>
      <c r="C185" s="155">
        <f>IF($B185&lt;'11-Viabilidade'!$C$24,0,$B185-'11-Viabilidade'!$C$24)</f>
        <v>172</v>
      </c>
      <c r="D185" s="11">
        <f>IF(C185&gt;0,'11-Viabilidade'!$K$10,0)*((1+'11-Viabilidade'!$O$10)^(($C185-1)/12))</f>
        <v>6012.6893525435453</v>
      </c>
      <c r="E185" s="11">
        <f>D185*'11-Viabilidade'!$L$12</f>
        <v>334.03829736353026</v>
      </c>
      <c r="F185" s="11">
        <f>D185*'11-Viabilidade'!$K$14</f>
        <v>0</v>
      </c>
      <c r="G185" s="11">
        <f>D185*'11-Viabilidade'!$K$15</f>
        <v>300.63446762717729</v>
      </c>
      <c r="H185" s="11">
        <f>IF(D185=0,'11-Viabilidade'!$K$16+'11-Viabilidade'!$K$17,('11-Viabilidade'!$L$11)*((1+'11-Viabilidade'!$O$10)^(($C185-1)/12)))</f>
        <v>786.10345979550789</v>
      </c>
      <c r="I185" s="11">
        <f>'12-SAC Viabilidade'!G188</f>
        <v>1678.6949281277821</v>
      </c>
      <c r="J185" s="11">
        <f>'12-SAC Viabilidade'!H188</f>
        <v>138285.71428571458</v>
      </c>
      <c r="K185" s="132">
        <f>(D185-F185)*'11-Viabilidade'!$O$16</f>
        <v>901.90340288153175</v>
      </c>
      <c r="L185" s="11">
        <f t="shared" si="0"/>
        <v>2011.3147967480159</v>
      </c>
      <c r="M185" s="156">
        <f t="shared" si="1"/>
        <v>3690.0097248757984</v>
      </c>
      <c r="N185" s="13"/>
      <c r="O185" s="43"/>
      <c r="P185" s="41">
        <f>IF(B185&lt;='11-Viabilidade'!$G$11,(P184+(P184*'11-Viabilidade'!$H$12)),0)</f>
        <v>0</v>
      </c>
      <c r="Q185" s="41">
        <f>IF(B185='11-Viabilidade'!$G$11,'11-Viabilidade'!$G$16,0)*(1+'11-Viabilidade'!$G$12)^((B185-1)/12)</f>
        <v>0</v>
      </c>
      <c r="R185" s="170">
        <f t="shared" si="2"/>
        <v>0</v>
      </c>
      <c r="S185" s="41">
        <f t="shared" si="5"/>
        <v>178</v>
      </c>
      <c r="T185" s="155">
        <f>IF($S185&lt;'11-Viabilidade'!$C$24,0,$S185-'11-Viabilidade'!$C$24)</f>
        <v>172</v>
      </c>
      <c r="U185" s="11">
        <f>IF(T185&gt;0,'11-Viabilidade'!$K$10,0)*((1+'11-Viabilidade'!$O$10)^(($T185-1)/12))</f>
        <v>6012.6893525435453</v>
      </c>
      <c r="V185" s="11">
        <f>U185*'11-Viabilidade'!$L$12</f>
        <v>334.03829736353026</v>
      </c>
      <c r="W185" s="11">
        <f>U185*'11-Viabilidade'!$K$14</f>
        <v>0</v>
      </c>
      <c r="X185" s="11">
        <f>U185*'11-Viabilidade'!$K$15</f>
        <v>300.63446762717729</v>
      </c>
      <c r="Y185" s="11">
        <f>IF(AND(U185=0,S185=0),0,IF(AND(U185=0,S185&lt;&gt;0),'11-Viabilidade'!$K$16+'11-Viabilidade'!$K$17,('11-Viabilidade'!$L$11)*((1+'11-Viabilidade'!$O$10)^(($C185-1)/12))))</f>
        <v>786.10345979550789</v>
      </c>
      <c r="Z185" s="157">
        <f>IFERROR(VLOOKUP(S185,'12-SAC Viabilidade'!$B$11:$G$430,6,FALSE),0)</f>
        <v>1678.6949281277821</v>
      </c>
      <c r="AA185" s="157">
        <f>IFERROR(VLOOKUP(S185,'12-SAC Viabilidade'!$B$11:$H$430,7,FALSE),0)</f>
        <v>138285.71428571458</v>
      </c>
      <c r="AB185" s="132">
        <f>(U185-W185)*'11-Viabilidade'!$O$16</f>
        <v>901.90340288153175</v>
      </c>
      <c r="AC185" s="11">
        <f t="shared" si="3"/>
        <v>2011.3147967480159</v>
      </c>
      <c r="AD185" s="156">
        <f t="shared" si="4"/>
        <v>3690.0097248757984</v>
      </c>
      <c r="AE185" s="42"/>
      <c r="AF185" s="42"/>
      <c r="AG185" s="42"/>
      <c r="AH185" s="42"/>
    </row>
    <row r="186" spans="1:34" ht="15.75" customHeight="1">
      <c r="A186" s="37"/>
      <c r="B186" s="38">
        <f>IF(AND(B185&gt;0,B185&lt;'11-Viabilidade'!$P$14),B185+1,0)</f>
        <v>179</v>
      </c>
      <c r="C186" s="155">
        <f>IF($B186&lt;'11-Viabilidade'!$C$24,0,$B186-'11-Viabilidade'!$C$24)</f>
        <v>173</v>
      </c>
      <c r="D186" s="11">
        <f>IF(C186&gt;0,'11-Viabilidade'!$K$10,0)*((1+'11-Viabilidade'!$O$10)^(($C186-1)/12))</f>
        <v>6037.185793238431</v>
      </c>
      <c r="E186" s="11">
        <f>D186*'11-Viabilidade'!$L$12</f>
        <v>335.39921073546839</v>
      </c>
      <c r="F186" s="11">
        <f>D186*'11-Viabilidade'!$K$14</f>
        <v>0</v>
      </c>
      <c r="G186" s="11">
        <f>D186*'11-Viabilidade'!$K$15</f>
        <v>301.85928966192154</v>
      </c>
      <c r="H186" s="11">
        <f>IF(D186=0,'11-Viabilidade'!$K$16+'11-Viabilidade'!$K$17,('11-Viabilidade'!$L$11)*((1+'11-Viabilidade'!$O$10)^(($C186-1)/12)))</f>
        <v>789.30614259746892</v>
      </c>
      <c r="I186" s="11">
        <f>'12-SAC Viabilidade'!G189</f>
        <v>1674.1382764541231</v>
      </c>
      <c r="J186" s="11">
        <f>'12-SAC Viabilidade'!H189</f>
        <v>137714.285714286</v>
      </c>
      <c r="K186" s="132">
        <f>(D186-F186)*'11-Viabilidade'!$O$16</f>
        <v>905.57786898576467</v>
      </c>
      <c r="L186" s="11">
        <f t="shared" si="0"/>
        <v>2030.9050048036843</v>
      </c>
      <c r="M186" s="156">
        <f t="shared" si="1"/>
        <v>3705.0432812578074</v>
      </c>
      <c r="N186" s="13"/>
      <c r="O186" s="43"/>
      <c r="P186" s="41">
        <f>IF(B186&lt;='11-Viabilidade'!$G$11,(P185+(P185*'11-Viabilidade'!$H$12)),0)</f>
        <v>0</v>
      </c>
      <c r="Q186" s="41">
        <f>IF(B186='11-Viabilidade'!$G$11,'11-Viabilidade'!$G$16,0)*(1+'11-Viabilidade'!$G$12)^((B186-1)/12)</f>
        <v>0</v>
      </c>
      <c r="R186" s="170">
        <f t="shared" si="2"/>
        <v>0</v>
      </c>
      <c r="S186" s="41">
        <f t="shared" si="5"/>
        <v>179</v>
      </c>
      <c r="T186" s="155">
        <f>IF($S186&lt;'11-Viabilidade'!$C$24,0,$S186-'11-Viabilidade'!$C$24)</f>
        <v>173</v>
      </c>
      <c r="U186" s="11">
        <f>IF(T186&gt;0,'11-Viabilidade'!$K$10,0)*((1+'11-Viabilidade'!$O$10)^(($T186-1)/12))</f>
        <v>6037.185793238431</v>
      </c>
      <c r="V186" s="11">
        <f>U186*'11-Viabilidade'!$L$12</f>
        <v>335.39921073546839</v>
      </c>
      <c r="W186" s="11">
        <f>U186*'11-Viabilidade'!$K$14</f>
        <v>0</v>
      </c>
      <c r="X186" s="11">
        <f>U186*'11-Viabilidade'!$K$15</f>
        <v>301.85928966192154</v>
      </c>
      <c r="Y186" s="11">
        <f>IF(AND(U186=0,S186=0),0,IF(AND(U186=0,S186&lt;&gt;0),'11-Viabilidade'!$K$16+'11-Viabilidade'!$K$17,('11-Viabilidade'!$L$11)*((1+'11-Viabilidade'!$O$10)^(($C186-1)/12))))</f>
        <v>789.30614259746892</v>
      </c>
      <c r="Z186" s="157">
        <f>IFERROR(VLOOKUP(S186,'12-SAC Viabilidade'!$B$11:$G$430,6,FALSE),0)</f>
        <v>1674.1382764541231</v>
      </c>
      <c r="AA186" s="157">
        <f>IFERROR(VLOOKUP(S186,'12-SAC Viabilidade'!$B$11:$H$430,7,FALSE),0)</f>
        <v>137714.285714286</v>
      </c>
      <c r="AB186" s="132">
        <f>(U186-W186)*'11-Viabilidade'!$O$16</f>
        <v>905.57786898576467</v>
      </c>
      <c r="AC186" s="11">
        <f t="shared" si="3"/>
        <v>2030.9050048036843</v>
      </c>
      <c r="AD186" s="156">
        <f t="shared" si="4"/>
        <v>3705.0432812578074</v>
      </c>
      <c r="AE186" s="42"/>
      <c r="AF186" s="42"/>
      <c r="AG186" s="42"/>
      <c r="AH186" s="42"/>
    </row>
    <row r="187" spans="1:34" ht="15.75" customHeight="1">
      <c r="A187" s="37"/>
      <c r="B187" s="38">
        <f>IF(AND(B186&gt;0,B186&lt;'11-Viabilidade'!$P$14),B186+1,0)</f>
        <v>180</v>
      </c>
      <c r="C187" s="155">
        <f>IF($B187&lt;'11-Viabilidade'!$C$24,0,$B187-'11-Viabilidade'!$C$24)</f>
        <v>174</v>
      </c>
      <c r="D187" s="11">
        <f>IF(C187&gt;0,'11-Viabilidade'!$K$10,0)*((1+'11-Viabilidade'!$O$10)^(($C187-1)/12))</f>
        <v>6061.7820354649684</v>
      </c>
      <c r="E187" s="11">
        <f>D187*'11-Viabilidade'!$L$12</f>
        <v>336.76566863694268</v>
      </c>
      <c r="F187" s="11">
        <f>D187*'11-Viabilidade'!$K$14</f>
        <v>0</v>
      </c>
      <c r="G187" s="11">
        <f>D187*'11-Viabilidade'!$K$15</f>
        <v>303.08910177324844</v>
      </c>
      <c r="H187" s="11">
        <f>IF(D187=0,'11-Viabilidade'!$K$16+'11-Viabilidade'!$K$17,('11-Viabilidade'!$L$11)*((1+'11-Viabilidade'!$O$10)^(($C187-1)/12)))</f>
        <v>792.52187352560497</v>
      </c>
      <c r="I187" s="11">
        <f>'12-SAC Viabilidade'!G190</f>
        <v>1669.5816247804637</v>
      </c>
      <c r="J187" s="11">
        <f>'12-SAC Viabilidade'!H190</f>
        <v>137142.85714285742</v>
      </c>
      <c r="K187" s="132">
        <f>(D187-F187)*'11-Viabilidade'!$O$16</f>
        <v>909.26730531974522</v>
      </c>
      <c r="L187" s="11">
        <f t="shared" si="0"/>
        <v>2050.5564614289633</v>
      </c>
      <c r="M187" s="156">
        <f t="shared" si="1"/>
        <v>3720.1380862094275</v>
      </c>
      <c r="N187" s="13"/>
      <c r="O187" s="43"/>
      <c r="P187" s="41">
        <f>IF(B187&lt;='11-Viabilidade'!$G$11,(P186+(P186*'11-Viabilidade'!$H$12)),0)</f>
        <v>0</v>
      </c>
      <c r="Q187" s="41">
        <f>IF(B187='11-Viabilidade'!$G$11,'11-Viabilidade'!$G$16,0)*(1+'11-Viabilidade'!$G$12)^((B187-1)/12)</f>
        <v>0</v>
      </c>
      <c r="R187" s="170">
        <f t="shared" si="2"/>
        <v>0</v>
      </c>
      <c r="S187" s="41">
        <f t="shared" si="5"/>
        <v>180</v>
      </c>
      <c r="T187" s="155">
        <f>IF($S187&lt;'11-Viabilidade'!$C$24,0,$S187-'11-Viabilidade'!$C$24)</f>
        <v>174</v>
      </c>
      <c r="U187" s="11">
        <f>IF(T187&gt;0,'11-Viabilidade'!$K$10,0)*((1+'11-Viabilidade'!$O$10)^(($T187-1)/12))</f>
        <v>6061.7820354649684</v>
      </c>
      <c r="V187" s="11">
        <f>U187*'11-Viabilidade'!$L$12</f>
        <v>336.76566863694268</v>
      </c>
      <c r="W187" s="11">
        <f>U187*'11-Viabilidade'!$K$14</f>
        <v>0</v>
      </c>
      <c r="X187" s="11">
        <f>U187*'11-Viabilidade'!$K$15</f>
        <v>303.08910177324844</v>
      </c>
      <c r="Y187" s="11">
        <f>IF(AND(U187=0,S187=0),0,IF(AND(U187=0,S187&lt;&gt;0),'11-Viabilidade'!$K$16+'11-Viabilidade'!$K$17,('11-Viabilidade'!$L$11)*((1+'11-Viabilidade'!$O$10)^(($C187-1)/12))))</f>
        <v>792.52187352560497</v>
      </c>
      <c r="Z187" s="157">
        <f>IFERROR(VLOOKUP(S187,'12-SAC Viabilidade'!$B$11:$G$430,6,FALSE),0)</f>
        <v>1669.5816247804637</v>
      </c>
      <c r="AA187" s="157">
        <f>IFERROR(VLOOKUP(S187,'12-SAC Viabilidade'!$B$11:$H$430,7,FALSE),0)</f>
        <v>137142.85714285742</v>
      </c>
      <c r="AB187" s="132">
        <f>(U187-W187)*'11-Viabilidade'!$O$16</f>
        <v>909.26730531974522</v>
      </c>
      <c r="AC187" s="11">
        <f t="shared" si="3"/>
        <v>2050.5564614289633</v>
      </c>
      <c r="AD187" s="156">
        <f t="shared" si="4"/>
        <v>3720.1380862094275</v>
      </c>
      <c r="AE187" s="42"/>
      <c r="AF187" s="42"/>
      <c r="AG187" s="42"/>
      <c r="AH187" s="42"/>
    </row>
    <row r="188" spans="1:34" ht="15.75" customHeight="1">
      <c r="A188" s="42"/>
      <c r="B188" s="13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133"/>
      <c r="N188" s="13"/>
      <c r="O188" s="43"/>
      <c r="P188" s="43"/>
      <c r="Q188" s="42"/>
      <c r="R188" s="170"/>
      <c r="S188" s="43"/>
      <c r="T188" s="43"/>
      <c r="U188" s="43"/>
      <c r="V188" s="43"/>
      <c r="W188" s="43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</row>
    <row r="189" spans="1:34" ht="15.75" customHeight="1">
      <c r="A189" s="42"/>
      <c r="B189" s="13"/>
      <c r="C189" s="212"/>
      <c r="D189" s="212"/>
      <c r="E189" s="212"/>
      <c r="F189" s="174"/>
      <c r="G189" s="212"/>
      <c r="H189" s="212"/>
      <c r="I189" s="212"/>
      <c r="J189" s="212"/>
      <c r="K189" s="212"/>
      <c r="L189" s="212"/>
      <c r="M189" s="133"/>
      <c r="N189" s="13"/>
      <c r="O189" s="43"/>
      <c r="P189" s="43"/>
      <c r="Q189" s="42"/>
      <c r="R189" s="170"/>
      <c r="S189" s="43"/>
      <c r="T189" s="43"/>
      <c r="U189" s="43"/>
      <c r="V189" s="43"/>
      <c r="W189" s="43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</row>
    <row r="190" spans="1:34" ht="15.75" customHeight="1">
      <c r="A190" s="42"/>
      <c r="B190" s="13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133"/>
      <c r="N190" s="13"/>
      <c r="O190" s="43"/>
      <c r="P190" s="43"/>
      <c r="Q190" s="42"/>
      <c r="R190" s="170"/>
      <c r="S190" s="43"/>
      <c r="T190" s="43"/>
      <c r="U190" s="43"/>
      <c r="V190" s="43"/>
      <c r="W190" s="43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</row>
    <row r="191" spans="1:34" ht="15.75" customHeight="1">
      <c r="A191" s="4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133"/>
      <c r="N191" s="13"/>
      <c r="O191" s="43"/>
      <c r="P191" s="43"/>
      <c r="Q191" s="42"/>
      <c r="R191" s="170"/>
      <c r="S191" s="43"/>
      <c r="T191" s="43"/>
      <c r="U191" s="43"/>
      <c r="V191" s="43"/>
      <c r="W191" s="43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</row>
    <row r="192" spans="1:34" ht="15.75" customHeight="1">
      <c r="A192" s="4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133"/>
      <c r="N192" s="13"/>
      <c r="O192" s="43"/>
      <c r="P192" s="43"/>
      <c r="Q192" s="42"/>
      <c r="R192" s="170"/>
      <c r="S192" s="43"/>
      <c r="T192" s="43"/>
      <c r="U192" s="43"/>
      <c r="V192" s="43"/>
      <c r="W192" s="43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</row>
    <row r="193" spans="1:34" ht="15.75" customHeight="1">
      <c r="A193" s="4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133"/>
      <c r="N193" s="13"/>
      <c r="O193" s="43"/>
      <c r="P193" s="43"/>
      <c r="Q193" s="42"/>
      <c r="R193" s="170"/>
      <c r="S193" s="43"/>
      <c r="T193" s="43"/>
      <c r="U193" s="43"/>
      <c r="V193" s="43"/>
      <c r="W193" s="43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</row>
    <row r="194" spans="1:34" ht="15.75" customHeight="1">
      <c r="A194" s="4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133"/>
      <c r="N194" s="13"/>
      <c r="O194" s="43"/>
      <c r="P194" s="43"/>
      <c r="Q194" s="42"/>
      <c r="R194" s="170"/>
      <c r="S194" s="43"/>
      <c r="T194" s="43"/>
      <c r="U194" s="43"/>
      <c r="V194" s="43"/>
      <c r="W194" s="43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</row>
    <row r="195" spans="1:34" ht="15.75" customHeight="1">
      <c r="A195" s="4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133"/>
      <c r="N195" s="13"/>
      <c r="O195" s="43"/>
      <c r="P195" s="43"/>
      <c r="Q195" s="42"/>
      <c r="R195" s="170"/>
      <c r="S195" s="43"/>
      <c r="T195" s="43"/>
      <c r="U195" s="43"/>
      <c r="V195" s="43"/>
      <c r="W195" s="43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</row>
    <row r="196" spans="1:34" ht="15.75" customHeight="1">
      <c r="A196" s="4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133"/>
      <c r="N196" s="13"/>
      <c r="O196" s="43"/>
      <c r="P196" s="43"/>
      <c r="Q196" s="42"/>
      <c r="R196" s="170"/>
      <c r="S196" s="43"/>
      <c r="T196" s="43"/>
      <c r="U196" s="43"/>
      <c r="V196" s="43"/>
      <c r="W196" s="43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</row>
    <row r="197" spans="1:34" ht="15.75" customHeight="1">
      <c r="A197" s="4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133"/>
      <c r="N197" s="13"/>
      <c r="O197" s="43"/>
      <c r="P197" s="43"/>
      <c r="Q197" s="42"/>
      <c r="R197" s="170"/>
      <c r="S197" s="43"/>
      <c r="T197" s="43"/>
      <c r="U197" s="43"/>
      <c r="V197" s="43"/>
      <c r="W197" s="43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</row>
    <row r="198" spans="1:34" ht="15.75" customHeight="1">
      <c r="A198" s="4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43"/>
      <c r="P198" s="43"/>
      <c r="Q198" s="42"/>
      <c r="R198" s="170"/>
      <c r="S198" s="43"/>
      <c r="T198" s="43"/>
      <c r="U198" s="43"/>
      <c r="V198" s="43"/>
      <c r="W198" s="43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</row>
    <row r="199" spans="1:34" ht="15.75" customHeight="1">
      <c r="A199" s="4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43"/>
      <c r="P199" s="43"/>
      <c r="Q199" s="42"/>
      <c r="R199" s="170"/>
      <c r="S199" s="43"/>
      <c r="T199" s="43"/>
      <c r="U199" s="43"/>
      <c r="V199" s="43"/>
      <c r="W199" s="43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</row>
    <row r="200" spans="1:34" ht="15.75" customHeight="1">
      <c r="A200" s="4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43"/>
      <c r="P200" s="43"/>
      <c r="Q200" s="42"/>
      <c r="R200" s="170"/>
      <c r="S200" s="43"/>
      <c r="T200" s="43"/>
      <c r="U200" s="43"/>
      <c r="V200" s="43"/>
      <c r="W200" s="43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</row>
    <row r="201" spans="1:34" ht="15.75" customHeight="1">
      <c r="A201" s="4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43"/>
      <c r="P201" s="43"/>
      <c r="Q201" s="42"/>
      <c r="R201" s="170"/>
      <c r="S201" s="43"/>
      <c r="T201" s="43"/>
      <c r="U201" s="43"/>
      <c r="V201" s="43"/>
      <c r="W201" s="43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</row>
    <row r="202" spans="1:34" ht="15.75" customHeight="1">
      <c r="A202" s="4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43"/>
      <c r="P202" s="43"/>
      <c r="Q202" s="42"/>
      <c r="R202" s="170"/>
      <c r="S202" s="43"/>
      <c r="T202" s="43"/>
      <c r="U202" s="43"/>
      <c r="V202" s="43"/>
      <c r="W202" s="43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</row>
    <row r="203" spans="1:34" ht="15.75" customHeight="1">
      <c r="A203" s="4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43"/>
      <c r="P203" s="43"/>
      <c r="Q203" s="42"/>
      <c r="R203" s="170"/>
      <c r="S203" s="43"/>
      <c r="T203" s="43"/>
      <c r="U203" s="43"/>
      <c r="V203" s="43"/>
      <c r="W203" s="43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</row>
    <row r="204" spans="1:34" ht="15.75" customHeight="1">
      <c r="A204" s="4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43"/>
      <c r="P204" s="43"/>
      <c r="Q204" s="42"/>
      <c r="R204" s="170"/>
      <c r="S204" s="43"/>
      <c r="T204" s="43"/>
      <c r="U204" s="43"/>
      <c r="V204" s="43"/>
      <c r="W204" s="43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</row>
    <row r="205" spans="1:34" ht="15.75" customHeight="1">
      <c r="A205" s="4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43"/>
      <c r="P205" s="43"/>
      <c r="Q205" s="42"/>
      <c r="R205" s="170"/>
      <c r="S205" s="43"/>
      <c r="T205" s="43"/>
      <c r="U205" s="43"/>
      <c r="V205" s="43"/>
      <c r="W205" s="43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</row>
    <row r="206" spans="1:34" ht="15.75" customHeight="1">
      <c r="A206" s="4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43"/>
      <c r="P206" s="43"/>
      <c r="Q206" s="42"/>
      <c r="R206" s="170"/>
      <c r="S206" s="43"/>
      <c r="T206" s="43"/>
      <c r="U206" s="43"/>
      <c r="V206" s="43"/>
      <c r="W206" s="43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</row>
    <row r="207" spans="1:34" ht="15.75" customHeight="1">
      <c r="A207" s="4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43"/>
      <c r="P207" s="43"/>
      <c r="Q207" s="42"/>
      <c r="R207" s="170"/>
      <c r="S207" s="43"/>
      <c r="T207" s="43"/>
      <c r="U207" s="43"/>
      <c r="V207" s="43"/>
      <c r="W207" s="43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4" ht="15.75" customHeight="1">
      <c r="A208" s="4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43"/>
      <c r="P208" s="43"/>
      <c r="Q208" s="42"/>
      <c r="R208" s="170"/>
      <c r="S208" s="43"/>
      <c r="T208" s="43"/>
      <c r="U208" s="43"/>
      <c r="V208" s="43"/>
      <c r="W208" s="43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34" ht="15.75" customHeight="1">
      <c r="A209" s="4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43"/>
      <c r="P209" s="43"/>
      <c r="Q209" s="42"/>
      <c r="R209" s="170"/>
      <c r="S209" s="43"/>
      <c r="T209" s="43"/>
      <c r="U209" s="43"/>
      <c r="V209" s="43"/>
      <c r="W209" s="43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34" ht="15.75" customHeight="1">
      <c r="A210" s="4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43"/>
      <c r="P210" s="43"/>
      <c r="Q210" s="42"/>
      <c r="R210" s="170"/>
      <c r="S210" s="43"/>
      <c r="T210" s="43"/>
      <c r="U210" s="43"/>
      <c r="V210" s="43"/>
      <c r="W210" s="43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34" ht="15.75" customHeight="1">
      <c r="A211" s="4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43"/>
      <c r="P211" s="43"/>
      <c r="Q211" s="42"/>
      <c r="R211" s="170"/>
      <c r="S211" s="43"/>
      <c r="T211" s="43"/>
      <c r="U211" s="43"/>
      <c r="V211" s="43"/>
      <c r="W211" s="43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34" ht="15.75" customHeight="1">
      <c r="A212" s="4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43"/>
      <c r="P212" s="43"/>
      <c r="Q212" s="42"/>
      <c r="R212" s="170"/>
      <c r="S212" s="43"/>
      <c r="T212" s="43"/>
      <c r="U212" s="43"/>
      <c r="V212" s="43"/>
      <c r="W212" s="43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34" ht="15.75" customHeight="1">
      <c r="A213" s="4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43"/>
      <c r="P213" s="43"/>
      <c r="Q213" s="42"/>
      <c r="R213" s="170"/>
      <c r="S213" s="43"/>
      <c r="T213" s="43"/>
      <c r="U213" s="43"/>
      <c r="V213" s="43"/>
      <c r="W213" s="43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</row>
    <row r="214" spans="1:34" ht="15.75" customHeight="1">
      <c r="A214" s="4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43"/>
      <c r="P214" s="43"/>
      <c r="Q214" s="42"/>
      <c r="R214" s="170"/>
      <c r="S214" s="43"/>
      <c r="T214" s="43"/>
      <c r="U214" s="43"/>
      <c r="V214" s="43"/>
      <c r="W214" s="43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</row>
    <row r="215" spans="1:34" ht="15.75" customHeight="1">
      <c r="A215" s="4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43"/>
      <c r="P215" s="43"/>
      <c r="Q215" s="42"/>
      <c r="R215" s="170"/>
      <c r="S215" s="43"/>
      <c r="T215" s="43"/>
      <c r="U215" s="43"/>
      <c r="V215" s="43"/>
      <c r="W215" s="43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34" ht="15.75" customHeight="1">
      <c r="A216" s="4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43"/>
      <c r="P216" s="43"/>
      <c r="Q216" s="42"/>
      <c r="R216" s="170"/>
      <c r="S216" s="43"/>
      <c r="T216" s="43"/>
      <c r="U216" s="43"/>
      <c r="V216" s="43"/>
      <c r="W216" s="43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34" ht="15.75" customHeight="1">
      <c r="A217" s="4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43"/>
      <c r="P217" s="43"/>
      <c r="Q217" s="42"/>
      <c r="R217" s="170"/>
      <c r="S217" s="43"/>
      <c r="T217" s="43"/>
      <c r="U217" s="43"/>
      <c r="V217" s="43"/>
      <c r="W217" s="43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34" ht="15.75" customHeight="1">
      <c r="A218" s="4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43"/>
      <c r="P218" s="43"/>
      <c r="Q218" s="42"/>
      <c r="R218" s="170"/>
      <c r="S218" s="43"/>
      <c r="T218" s="43"/>
      <c r="U218" s="43"/>
      <c r="V218" s="43"/>
      <c r="W218" s="43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34" ht="15.75" customHeight="1">
      <c r="A219" s="4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43"/>
      <c r="P219" s="43"/>
      <c r="Q219" s="42"/>
      <c r="R219" s="170"/>
      <c r="S219" s="43"/>
      <c r="T219" s="43"/>
      <c r="U219" s="43"/>
      <c r="V219" s="43"/>
      <c r="W219" s="43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34" ht="15.75" customHeight="1">
      <c r="A220" s="4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43"/>
      <c r="P220" s="43"/>
      <c r="Q220" s="42"/>
      <c r="R220" s="170"/>
      <c r="S220" s="43"/>
      <c r="T220" s="43"/>
      <c r="U220" s="43"/>
      <c r="V220" s="43"/>
      <c r="W220" s="43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34" ht="15.75" customHeight="1">
      <c r="A221" s="4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43"/>
      <c r="P221" s="43"/>
      <c r="Q221" s="42"/>
      <c r="R221" s="170"/>
      <c r="S221" s="43"/>
      <c r="T221" s="43"/>
      <c r="U221" s="43"/>
      <c r="V221" s="43"/>
      <c r="W221" s="43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34" ht="15.75" customHeight="1">
      <c r="A222" s="4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43"/>
      <c r="P222" s="43"/>
      <c r="Q222" s="42"/>
      <c r="R222" s="170"/>
      <c r="S222" s="43"/>
      <c r="T222" s="43"/>
      <c r="U222" s="43"/>
      <c r="V222" s="43"/>
      <c r="W222" s="43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34" ht="15.75" customHeight="1">
      <c r="A223" s="4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43"/>
      <c r="P223" s="43"/>
      <c r="Q223" s="42"/>
      <c r="R223" s="170"/>
      <c r="S223" s="43"/>
      <c r="T223" s="43"/>
      <c r="U223" s="43"/>
      <c r="V223" s="43"/>
      <c r="W223" s="43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34" ht="15.75" customHeight="1">
      <c r="A224" s="4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43"/>
      <c r="P224" s="43"/>
      <c r="Q224" s="42"/>
      <c r="R224" s="170"/>
      <c r="S224" s="43"/>
      <c r="T224" s="43"/>
      <c r="U224" s="43"/>
      <c r="V224" s="43"/>
      <c r="W224" s="43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ht="15.75" customHeight="1">
      <c r="A225" s="4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43"/>
      <c r="P225" s="43"/>
      <c r="Q225" s="42"/>
      <c r="R225" s="170"/>
      <c r="S225" s="43"/>
      <c r="T225" s="43"/>
      <c r="U225" s="43"/>
      <c r="V225" s="43"/>
      <c r="W225" s="43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ht="15.75" customHeight="1">
      <c r="A226" s="4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43"/>
      <c r="P226" s="43"/>
      <c r="Q226" s="42"/>
      <c r="R226" s="170"/>
      <c r="S226" s="43"/>
      <c r="T226" s="43"/>
      <c r="U226" s="43"/>
      <c r="V226" s="43"/>
      <c r="W226" s="43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ht="15.75" customHeight="1">
      <c r="A227" s="4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43"/>
      <c r="P227" s="43"/>
      <c r="Q227" s="42"/>
      <c r="R227" s="170"/>
      <c r="S227" s="43"/>
      <c r="T227" s="43"/>
      <c r="U227" s="43"/>
      <c r="V227" s="43"/>
      <c r="W227" s="43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ht="15.75" customHeight="1">
      <c r="A228" s="4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43"/>
      <c r="P228" s="43"/>
      <c r="Q228" s="42"/>
      <c r="R228" s="170"/>
      <c r="S228" s="43"/>
      <c r="T228" s="43"/>
      <c r="U228" s="43"/>
      <c r="V228" s="43"/>
      <c r="W228" s="43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ht="15.75" customHeight="1">
      <c r="A229" s="4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43"/>
      <c r="P229" s="43"/>
      <c r="Q229" s="42"/>
      <c r="R229" s="170"/>
      <c r="S229" s="43"/>
      <c r="T229" s="43"/>
      <c r="U229" s="43"/>
      <c r="V229" s="43"/>
      <c r="W229" s="43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ht="15.75" customHeight="1">
      <c r="A230" s="4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43"/>
      <c r="P230" s="43"/>
      <c r="Q230" s="42"/>
      <c r="R230" s="170"/>
      <c r="S230" s="43"/>
      <c r="T230" s="43"/>
      <c r="U230" s="43"/>
      <c r="V230" s="43"/>
      <c r="W230" s="43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ht="15.75" customHeight="1">
      <c r="A231" s="4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43"/>
      <c r="P231" s="43"/>
      <c r="Q231" s="42"/>
      <c r="R231" s="170"/>
      <c r="S231" s="43"/>
      <c r="T231" s="43"/>
      <c r="U231" s="43"/>
      <c r="V231" s="43"/>
      <c r="W231" s="43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ht="15.75" customHeight="1">
      <c r="A232" s="4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43"/>
      <c r="P232" s="43"/>
      <c r="Q232" s="42"/>
      <c r="R232" s="170"/>
      <c r="S232" s="43"/>
      <c r="T232" s="43"/>
      <c r="U232" s="43"/>
      <c r="V232" s="43"/>
      <c r="W232" s="43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ht="15.75" customHeight="1">
      <c r="A233" s="4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43"/>
      <c r="P233" s="43"/>
      <c r="Q233" s="42"/>
      <c r="R233" s="170"/>
      <c r="S233" s="43"/>
      <c r="T233" s="43"/>
      <c r="U233" s="43"/>
      <c r="V233" s="43"/>
      <c r="W233" s="43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ht="15.75" customHeight="1">
      <c r="A234" s="4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43"/>
      <c r="P234" s="43"/>
      <c r="Q234" s="42"/>
      <c r="R234" s="170"/>
      <c r="S234" s="43"/>
      <c r="T234" s="43"/>
      <c r="U234" s="43"/>
      <c r="V234" s="43"/>
      <c r="W234" s="43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ht="15.75" customHeight="1">
      <c r="A235" s="4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43"/>
      <c r="P235" s="43"/>
      <c r="Q235" s="42"/>
      <c r="R235" s="170"/>
      <c r="S235" s="43"/>
      <c r="T235" s="43"/>
      <c r="U235" s="43"/>
      <c r="V235" s="43"/>
      <c r="W235" s="43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</row>
    <row r="236" spans="1:34" ht="15.75" customHeight="1">
      <c r="A236" s="4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43"/>
      <c r="P236" s="43"/>
      <c r="Q236" s="42"/>
      <c r="R236" s="170"/>
      <c r="S236" s="43"/>
      <c r="T236" s="43"/>
      <c r="U236" s="43"/>
      <c r="V236" s="43"/>
      <c r="W236" s="43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</row>
    <row r="237" spans="1:34" ht="15.75" customHeight="1">
      <c r="A237" s="4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43"/>
      <c r="P237" s="43"/>
      <c r="Q237" s="42"/>
      <c r="R237" s="170"/>
      <c r="S237" s="43"/>
      <c r="T237" s="43"/>
      <c r="U237" s="43"/>
      <c r="V237" s="43"/>
      <c r="W237" s="43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</row>
    <row r="238" spans="1:34" ht="15.75" customHeight="1">
      <c r="A238" s="4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43"/>
      <c r="P238" s="43"/>
      <c r="Q238" s="42"/>
      <c r="R238" s="170"/>
      <c r="S238" s="43"/>
      <c r="T238" s="43"/>
      <c r="U238" s="43"/>
      <c r="V238" s="43"/>
      <c r="W238" s="43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</row>
    <row r="239" spans="1:34" ht="15.75" customHeight="1">
      <c r="A239" s="4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43"/>
      <c r="P239" s="43"/>
      <c r="Q239" s="42"/>
      <c r="R239" s="170"/>
      <c r="S239" s="43"/>
      <c r="T239" s="43"/>
      <c r="U239" s="43"/>
      <c r="V239" s="43"/>
      <c r="W239" s="43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</row>
    <row r="240" spans="1:34" ht="15.75" customHeight="1">
      <c r="A240" s="4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43"/>
      <c r="P240" s="43"/>
      <c r="Q240" s="42"/>
      <c r="R240" s="170"/>
      <c r="S240" s="43"/>
      <c r="T240" s="43"/>
      <c r="U240" s="43"/>
      <c r="V240" s="43"/>
      <c r="W240" s="43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1:34" ht="15.75" customHeight="1">
      <c r="A241" s="4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43"/>
      <c r="P241" s="43"/>
      <c r="Q241" s="42"/>
      <c r="R241" s="170"/>
      <c r="S241" s="43"/>
      <c r="T241" s="43"/>
      <c r="U241" s="43"/>
      <c r="V241" s="43"/>
      <c r="W241" s="43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1:34" ht="15.75" customHeight="1">
      <c r="A242" s="4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43"/>
      <c r="P242" s="43"/>
      <c r="Q242" s="42"/>
      <c r="R242" s="170"/>
      <c r="S242" s="43"/>
      <c r="T242" s="43"/>
      <c r="U242" s="43"/>
      <c r="V242" s="43"/>
      <c r="W242" s="43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1:34" ht="15.75" customHeight="1">
      <c r="A243" s="4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43"/>
      <c r="P243" s="43"/>
      <c r="Q243" s="42"/>
      <c r="R243" s="170"/>
      <c r="S243" s="43"/>
      <c r="T243" s="43"/>
      <c r="U243" s="43"/>
      <c r="V243" s="43"/>
      <c r="W243" s="43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1:34" ht="15.75" customHeight="1">
      <c r="A244" s="4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43"/>
      <c r="P244" s="43"/>
      <c r="Q244" s="42"/>
      <c r="R244" s="170"/>
      <c r="S244" s="43"/>
      <c r="T244" s="43"/>
      <c r="U244" s="43"/>
      <c r="V244" s="43"/>
      <c r="W244" s="43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1:34" ht="15.75" customHeight="1">
      <c r="A245" s="4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43"/>
      <c r="P245" s="43"/>
      <c r="Q245" s="42"/>
      <c r="R245" s="170"/>
      <c r="S245" s="43"/>
      <c r="T245" s="43"/>
      <c r="U245" s="43"/>
      <c r="V245" s="43"/>
      <c r="W245" s="43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1:34" ht="15.75" customHeight="1">
      <c r="A246" s="4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43"/>
      <c r="P246" s="43"/>
      <c r="Q246" s="42"/>
      <c r="R246" s="170"/>
      <c r="S246" s="43"/>
      <c r="T246" s="43"/>
      <c r="U246" s="43"/>
      <c r="V246" s="43"/>
      <c r="W246" s="43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</row>
    <row r="247" spans="1:34" ht="15.75" customHeight="1">
      <c r="A247" s="4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43"/>
      <c r="P247" s="43"/>
      <c r="Q247" s="42"/>
      <c r="R247" s="170"/>
      <c r="S247" s="43"/>
      <c r="T247" s="43"/>
      <c r="U247" s="43"/>
      <c r="V247" s="43"/>
      <c r="W247" s="43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</row>
    <row r="248" spans="1:34" ht="15.75" customHeight="1">
      <c r="A248" s="4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43"/>
      <c r="P248" s="43"/>
      <c r="Q248" s="42"/>
      <c r="R248" s="170"/>
      <c r="S248" s="43"/>
      <c r="T248" s="43"/>
      <c r="U248" s="43"/>
      <c r="V248" s="43"/>
      <c r="W248" s="43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</row>
    <row r="249" spans="1:34" ht="15.75" customHeight="1">
      <c r="A249" s="4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43"/>
      <c r="P249" s="43"/>
      <c r="Q249" s="42"/>
      <c r="R249" s="170"/>
      <c r="S249" s="43"/>
      <c r="T249" s="43"/>
      <c r="U249" s="43"/>
      <c r="V249" s="43"/>
      <c r="W249" s="43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</row>
    <row r="250" spans="1:34" ht="15.75" customHeight="1">
      <c r="A250" s="4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43"/>
      <c r="P250" s="43"/>
      <c r="Q250" s="42"/>
      <c r="R250" s="170"/>
      <c r="S250" s="43"/>
      <c r="T250" s="43"/>
      <c r="U250" s="43"/>
      <c r="V250" s="43"/>
      <c r="W250" s="43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</row>
    <row r="251" spans="1:34" ht="15.75" customHeight="1">
      <c r="A251" s="4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43"/>
      <c r="P251" s="43"/>
      <c r="Q251" s="42"/>
      <c r="R251" s="170"/>
      <c r="S251" s="43"/>
      <c r="T251" s="43"/>
      <c r="U251" s="43"/>
      <c r="V251" s="43"/>
      <c r="W251" s="43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</row>
    <row r="252" spans="1:34" ht="15.75" customHeight="1">
      <c r="A252" s="4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43"/>
      <c r="P252" s="43"/>
      <c r="Q252" s="42"/>
      <c r="R252" s="170"/>
      <c r="S252" s="43"/>
      <c r="T252" s="43"/>
      <c r="U252" s="43"/>
      <c r="V252" s="43"/>
      <c r="W252" s="43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</row>
    <row r="253" spans="1:34" ht="15.75" customHeight="1">
      <c r="A253" s="4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43"/>
      <c r="P253" s="43"/>
      <c r="Q253" s="42"/>
      <c r="R253" s="170"/>
      <c r="S253" s="43"/>
      <c r="T253" s="43"/>
      <c r="U253" s="43"/>
      <c r="V253" s="43"/>
      <c r="W253" s="43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</row>
    <row r="254" spans="1:34" ht="15.75" customHeight="1">
      <c r="A254" s="4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43"/>
      <c r="P254" s="43"/>
      <c r="Q254" s="42"/>
      <c r="R254" s="170"/>
      <c r="S254" s="43"/>
      <c r="T254" s="43"/>
      <c r="U254" s="43"/>
      <c r="V254" s="43"/>
      <c r="W254" s="43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</row>
    <row r="255" spans="1:34" ht="15.75" customHeight="1">
      <c r="A255" s="4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43"/>
      <c r="P255" s="43"/>
      <c r="Q255" s="42"/>
      <c r="R255" s="170"/>
      <c r="S255" s="43"/>
      <c r="T255" s="43"/>
      <c r="U255" s="43"/>
      <c r="V255" s="43"/>
      <c r="W255" s="43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</row>
    <row r="256" spans="1:34" ht="15.75" customHeight="1">
      <c r="A256" s="4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43"/>
      <c r="P256" s="43"/>
      <c r="Q256" s="42"/>
      <c r="R256" s="170"/>
      <c r="S256" s="43"/>
      <c r="T256" s="43"/>
      <c r="U256" s="43"/>
      <c r="V256" s="43"/>
      <c r="W256" s="43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</row>
    <row r="257" spans="1:34" ht="15.75" customHeight="1">
      <c r="A257" s="4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43"/>
      <c r="P257" s="43"/>
      <c r="Q257" s="42"/>
      <c r="R257" s="170"/>
      <c r="S257" s="43"/>
      <c r="T257" s="43"/>
      <c r="U257" s="43"/>
      <c r="V257" s="43"/>
      <c r="W257" s="43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</row>
    <row r="258" spans="1:34" ht="15.75" customHeight="1">
      <c r="A258" s="4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43"/>
      <c r="P258" s="43"/>
      <c r="Q258" s="42"/>
      <c r="R258" s="170"/>
      <c r="S258" s="43"/>
      <c r="T258" s="43"/>
      <c r="U258" s="43"/>
      <c r="V258" s="43"/>
      <c r="W258" s="43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</row>
    <row r="259" spans="1:34" ht="15.75" customHeight="1">
      <c r="A259" s="4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43"/>
      <c r="P259" s="43"/>
      <c r="Q259" s="42"/>
      <c r="R259" s="170"/>
      <c r="S259" s="43"/>
      <c r="T259" s="43"/>
      <c r="U259" s="43"/>
      <c r="V259" s="43"/>
      <c r="W259" s="43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</row>
    <row r="260" spans="1:34" ht="15.75" customHeight="1">
      <c r="A260" s="4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43"/>
      <c r="P260" s="43"/>
      <c r="Q260" s="42"/>
      <c r="R260" s="170"/>
      <c r="S260" s="43"/>
      <c r="T260" s="43"/>
      <c r="U260" s="43"/>
      <c r="V260" s="43"/>
      <c r="W260" s="43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</row>
    <row r="261" spans="1:34" ht="15.75" customHeight="1">
      <c r="A261" s="4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43"/>
      <c r="P261" s="43"/>
      <c r="Q261" s="42"/>
      <c r="R261" s="170"/>
      <c r="S261" s="43"/>
      <c r="T261" s="43"/>
      <c r="U261" s="43"/>
      <c r="V261" s="43"/>
      <c r="W261" s="43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</row>
    <row r="262" spans="1:34" ht="15.75" customHeight="1">
      <c r="A262" s="4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43"/>
      <c r="P262" s="43"/>
      <c r="Q262" s="42"/>
      <c r="R262" s="170"/>
      <c r="S262" s="43"/>
      <c r="T262" s="43"/>
      <c r="U262" s="43"/>
      <c r="V262" s="43"/>
      <c r="W262" s="43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</row>
    <row r="263" spans="1:34" ht="15.75" customHeight="1">
      <c r="A263" s="4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43"/>
      <c r="P263" s="43"/>
      <c r="Q263" s="42"/>
      <c r="R263" s="170"/>
      <c r="S263" s="43"/>
      <c r="T263" s="43"/>
      <c r="U263" s="43"/>
      <c r="V263" s="43"/>
      <c r="W263" s="43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</row>
    <row r="264" spans="1:34" ht="15.75" customHeight="1">
      <c r="A264" s="4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43"/>
      <c r="P264" s="43"/>
      <c r="Q264" s="42"/>
      <c r="R264" s="170"/>
      <c r="S264" s="43"/>
      <c r="T264" s="43"/>
      <c r="U264" s="43"/>
      <c r="V264" s="43"/>
      <c r="W264" s="43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</row>
    <row r="265" spans="1:34" ht="15.75" customHeight="1">
      <c r="A265" s="4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43"/>
      <c r="P265" s="43"/>
      <c r="Q265" s="42"/>
      <c r="R265" s="170"/>
      <c r="S265" s="43"/>
      <c r="T265" s="43"/>
      <c r="U265" s="43"/>
      <c r="V265" s="43"/>
      <c r="W265" s="43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</row>
    <row r="266" spans="1:34" ht="15.75" customHeight="1">
      <c r="A266" s="4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43"/>
      <c r="P266" s="43"/>
      <c r="Q266" s="42"/>
      <c r="R266" s="170"/>
      <c r="S266" s="43"/>
      <c r="T266" s="43"/>
      <c r="U266" s="43"/>
      <c r="V266" s="43"/>
      <c r="W266" s="43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</row>
    <row r="267" spans="1:34" ht="15.75" customHeight="1">
      <c r="A267" s="4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43"/>
      <c r="P267" s="43"/>
      <c r="Q267" s="42"/>
      <c r="R267" s="170"/>
      <c r="S267" s="43"/>
      <c r="T267" s="43"/>
      <c r="U267" s="43"/>
      <c r="V267" s="43"/>
      <c r="W267" s="43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</row>
    <row r="268" spans="1:34" ht="15.75" customHeight="1">
      <c r="A268" s="4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43"/>
      <c r="P268" s="43"/>
      <c r="Q268" s="42"/>
      <c r="R268" s="170"/>
      <c r="S268" s="43"/>
      <c r="T268" s="43"/>
      <c r="U268" s="43"/>
      <c r="V268" s="43"/>
      <c r="W268" s="43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</row>
    <row r="269" spans="1:34" ht="15.75" customHeight="1">
      <c r="A269" s="4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43"/>
      <c r="P269" s="43"/>
      <c r="Q269" s="42"/>
      <c r="R269" s="170"/>
      <c r="S269" s="43"/>
      <c r="T269" s="43"/>
      <c r="U269" s="43"/>
      <c r="V269" s="43"/>
      <c r="W269" s="43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</row>
    <row r="270" spans="1:34" ht="15.75" customHeight="1">
      <c r="A270" s="4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43"/>
      <c r="P270" s="43"/>
      <c r="Q270" s="42"/>
      <c r="R270" s="170"/>
      <c r="S270" s="43"/>
      <c r="T270" s="43"/>
      <c r="U270" s="43"/>
      <c r="V270" s="43"/>
      <c r="W270" s="43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</row>
    <row r="271" spans="1:34" ht="15.75" customHeight="1">
      <c r="A271" s="4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43"/>
      <c r="P271" s="43"/>
      <c r="Q271" s="42"/>
      <c r="R271" s="170"/>
      <c r="S271" s="43"/>
      <c r="T271" s="43"/>
      <c r="U271" s="43"/>
      <c r="V271" s="43"/>
      <c r="W271" s="43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</row>
    <row r="272" spans="1:34" ht="15.75" customHeight="1">
      <c r="A272" s="4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43"/>
      <c r="P272" s="43"/>
      <c r="Q272" s="42"/>
      <c r="R272" s="170"/>
      <c r="S272" s="43"/>
      <c r="T272" s="43"/>
      <c r="U272" s="43"/>
      <c r="V272" s="43"/>
      <c r="W272" s="43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</row>
    <row r="273" spans="1:34" ht="15.75" customHeight="1">
      <c r="A273" s="4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43"/>
      <c r="P273" s="43"/>
      <c r="Q273" s="42"/>
      <c r="R273" s="170"/>
      <c r="S273" s="43"/>
      <c r="T273" s="43"/>
      <c r="U273" s="43"/>
      <c r="V273" s="43"/>
      <c r="W273" s="43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</row>
    <row r="274" spans="1:34" ht="15.75" customHeight="1">
      <c r="A274" s="4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43"/>
      <c r="P274" s="43"/>
      <c r="Q274" s="42"/>
      <c r="R274" s="170"/>
      <c r="S274" s="43"/>
      <c r="T274" s="43"/>
      <c r="U274" s="43"/>
      <c r="V274" s="43"/>
      <c r="W274" s="43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</row>
    <row r="275" spans="1:34" ht="15.75" customHeight="1">
      <c r="A275" s="4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43"/>
      <c r="P275" s="43"/>
      <c r="Q275" s="42"/>
      <c r="R275" s="170"/>
      <c r="S275" s="43"/>
      <c r="T275" s="43"/>
      <c r="U275" s="43"/>
      <c r="V275" s="43"/>
      <c r="W275" s="43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</row>
    <row r="276" spans="1:34" ht="15.75" customHeight="1">
      <c r="A276" s="4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43"/>
      <c r="P276" s="43"/>
      <c r="Q276" s="42"/>
      <c r="R276" s="170"/>
      <c r="S276" s="43"/>
      <c r="T276" s="43"/>
      <c r="U276" s="43"/>
      <c r="V276" s="43"/>
      <c r="W276" s="43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</row>
    <row r="277" spans="1:34" ht="15.75" customHeight="1">
      <c r="A277" s="4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43"/>
      <c r="P277" s="43"/>
      <c r="Q277" s="42"/>
      <c r="R277" s="170"/>
      <c r="S277" s="43"/>
      <c r="T277" s="43"/>
      <c r="U277" s="43"/>
      <c r="V277" s="43"/>
      <c r="W277" s="43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</row>
    <row r="278" spans="1:34" ht="15.75" customHeight="1">
      <c r="A278" s="4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43"/>
      <c r="P278" s="43"/>
      <c r="Q278" s="42"/>
      <c r="R278" s="170"/>
      <c r="S278" s="43"/>
      <c r="T278" s="43"/>
      <c r="U278" s="43"/>
      <c r="V278" s="43"/>
      <c r="W278" s="43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</row>
    <row r="279" spans="1:34" ht="15.75" customHeight="1">
      <c r="A279" s="4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43"/>
      <c r="P279" s="43"/>
      <c r="Q279" s="42"/>
      <c r="R279" s="170"/>
      <c r="S279" s="43"/>
      <c r="T279" s="43"/>
      <c r="U279" s="43"/>
      <c r="V279" s="43"/>
      <c r="W279" s="43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</row>
    <row r="280" spans="1:34" ht="15.75" customHeight="1">
      <c r="A280" s="4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43"/>
      <c r="P280" s="43"/>
      <c r="Q280" s="42"/>
      <c r="R280" s="170"/>
      <c r="S280" s="43"/>
      <c r="T280" s="43"/>
      <c r="U280" s="43"/>
      <c r="V280" s="43"/>
      <c r="W280" s="43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</row>
    <row r="281" spans="1:34" ht="15.75" customHeight="1">
      <c r="A281" s="4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43"/>
      <c r="P281" s="43"/>
      <c r="Q281" s="42"/>
      <c r="R281" s="170"/>
      <c r="S281" s="43"/>
      <c r="T281" s="43"/>
      <c r="U281" s="43"/>
      <c r="V281" s="43"/>
      <c r="W281" s="43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</row>
    <row r="282" spans="1:34" ht="15.75" customHeight="1">
      <c r="A282" s="4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43"/>
      <c r="P282" s="43"/>
      <c r="Q282" s="42"/>
      <c r="R282" s="170"/>
      <c r="S282" s="43"/>
      <c r="T282" s="43"/>
      <c r="U282" s="43"/>
      <c r="V282" s="43"/>
      <c r="W282" s="43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</row>
    <row r="283" spans="1:34" ht="15.75" customHeight="1">
      <c r="A283" s="4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43"/>
      <c r="P283" s="43"/>
      <c r="Q283" s="42"/>
      <c r="R283" s="170"/>
      <c r="S283" s="43"/>
      <c r="T283" s="43"/>
      <c r="U283" s="43"/>
      <c r="V283" s="43"/>
      <c r="W283" s="43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</row>
    <row r="284" spans="1:34" ht="15.75" customHeight="1">
      <c r="A284" s="4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43"/>
      <c r="P284" s="43"/>
      <c r="Q284" s="42"/>
      <c r="R284" s="170"/>
      <c r="S284" s="43"/>
      <c r="T284" s="43"/>
      <c r="U284" s="43"/>
      <c r="V284" s="43"/>
      <c r="W284" s="43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</row>
    <row r="285" spans="1:34" ht="15.75" customHeight="1">
      <c r="A285" s="4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43"/>
      <c r="P285" s="43"/>
      <c r="Q285" s="42"/>
      <c r="R285" s="170"/>
      <c r="S285" s="43"/>
      <c r="T285" s="43"/>
      <c r="U285" s="43"/>
      <c r="V285" s="43"/>
      <c r="W285" s="43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</row>
    <row r="286" spans="1:34" ht="15.75" customHeight="1">
      <c r="A286" s="4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43"/>
      <c r="P286" s="43"/>
      <c r="Q286" s="42"/>
      <c r="R286" s="170"/>
      <c r="S286" s="43"/>
      <c r="T286" s="43"/>
      <c r="U286" s="43"/>
      <c r="V286" s="43"/>
      <c r="W286" s="43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</row>
    <row r="287" spans="1:34" ht="15.75" customHeight="1">
      <c r="A287" s="4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43"/>
      <c r="P287" s="43"/>
      <c r="Q287" s="42"/>
      <c r="R287" s="170"/>
      <c r="S287" s="43"/>
      <c r="T287" s="43"/>
      <c r="U287" s="43"/>
      <c r="V287" s="43"/>
      <c r="W287" s="43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</row>
    <row r="288" spans="1:34" ht="15.75" customHeight="1">
      <c r="A288" s="4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43"/>
      <c r="P288" s="43"/>
      <c r="Q288" s="42"/>
      <c r="R288" s="170"/>
      <c r="S288" s="43"/>
      <c r="T288" s="43"/>
      <c r="U288" s="43"/>
      <c r="V288" s="43"/>
      <c r="W288" s="43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</row>
    <row r="289" spans="1:34" ht="15.75" customHeight="1">
      <c r="A289" s="4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43"/>
      <c r="P289" s="43"/>
      <c r="Q289" s="42"/>
      <c r="R289" s="170"/>
      <c r="S289" s="43"/>
      <c r="T289" s="43"/>
      <c r="U289" s="43"/>
      <c r="V289" s="43"/>
      <c r="W289" s="43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</row>
    <row r="290" spans="1:34" ht="15.75" customHeight="1">
      <c r="A290" s="4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43"/>
      <c r="P290" s="43"/>
      <c r="Q290" s="42"/>
      <c r="R290" s="170"/>
      <c r="S290" s="43"/>
      <c r="T290" s="43"/>
      <c r="U290" s="43"/>
      <c r="V290" s="43"/>
      <c r="W290" s="43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</row>
    <row r="291" spans="1:34" ht="15.75" customHeight="1">
      <c r="A291" s="4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43"/>
      <c r="P291" s="43"/>
      <c r="Q291" s="42"/>
      <c r="R291" s="170"/>
      <c r="S291" s="43"/>
      <c r="T291" s="43"/>
      <c r="U291" s="43"/>
      <c r="V291" s="43"/>
      <c r="W291" s="43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</row>
    <row r="292" spans="1:34" ht="15.75" customHeight="1">
      <c r="A292" s="4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43"/>
      <c r="P292" s="43"/>
      <c r="Q292" s="42"/>
      <c r="R292" s="170"/>
      <c r="S292" s="43"/>
      <c r="T292" s="43"/>
      <c r="U292" s="43"/>
      <c r="V292" s="43"/>
      <c r="W292" s="43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</row>
    <row r="293" spans="1:34" ht="15.75" customHeight="1">
      <c r="A293" s="4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43"/>
      <c r="P293" s="43"/>
      <c r="Q293" s="42"/>
      <c r="R293" s="170"/>
      <c r="S293" s="43"/>
      <c r="T293" s="43"/>
      <c r="U293" s="43"/>
      <c r="V293" s="43"/>
      <c r="W293" s="43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</row>
    <row r="294" spans="1:34" ht="15.75" customHeight="1">
      <c r="A294" s="4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43"/>
      <c r="P294" s="43"/>
      <c r="Q294" s="42"/>
      <c r="R294" s="170"/>
      <c r="S294" s="43"/>
      <c r="T294" s="43"/>
      <c r="U294" s="43"/>
      <c r="V294" s="43"/>
      <c r="W294" s="43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</row>
    <row r="295" spans="1:34" ht="15.75" customHeight="1">
      <c r="A295" s="4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43"/>
      <c r="P295" s="43"/>
      <c r="Q295" s="42"/>
      <c r="R295" s="170"/>
      <c r="S295" s="43"/>
      <c r="T295" s="43"/>
      <c r="U295" s="43"/>
      <c r="V295" s="43"/>
      <c r="W295" s="43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</row>
    <row r="296" spans="1:34" ht="15.75" customHeight="1">
      <c r="A296" s="4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43"/>
      <c r="P296" s="43"/>
      <c r="Q296" s="42"/>
      <c r="R296" s="170"/>
      <c r="S296" s="43"/>
      <c r="T296" s="43"/>
      <c r="U296" s="43"/>
      <c r="V296" s="43"/>
      <c r="W296" s="43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</row>
    <row r="297" spans="1:34" ht="15.75" customHeight="1">
      <c r="A297" s="4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43"/>
      <c r="P297" s="43"/>
      <c r="Q297" s="42"/>
      <c r="R297" s="170"/>
      <c r="S297" s="43"/>
      <c r="T297" s="43"/>
      <c r="U297" s="43"/>
      <c r="V297" s="43"/>
      <c r="W297" s="43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</row>
    <row r="298" spans="1:34" ht="15.75" customHeight="1">
      <c r="A298" s="4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43"/>
      <c r="P298" s="43"/>
      <c r="Q298" s="42"/>
      <c r="R298" s="170"/>
      <c r="S298" s="43"/>
      <c r="T298" s="43"/>
      <c r="U298" s="43"/>
      <c r="V298" s="43"/>
      <c r="W298" s="43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</row>
    <row r="299" spans="1:34" ht="15.75" customHeight="1">
      <c r="A299" s="4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43"/>
      <c r="P299" s="43"/>
      <c r="Q299" s="42"/>
      <c r="R299" s="170"/>
      <c r="S299" s="43"/>
      <c r="T299" s="43"/>
      <c r="U299" s="43"/>
      <c r="V299" s="43"/>
      <c r="W299" s="43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</row>
    <row r="300" spans="1:34" ht="15.75" customHeight="1">
      <c r="A300" s="4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43"/>
      <c r="P300" s="43"/>
      <c r="Q300" s="42"/>
      <c r="R300" s="170"/>
      <c r="S300" s="43"/>
      <c r="T300" s="43"/>
      <c r="U300" s="43"/>
      <c r="V300" s="43"/>
      <c r="W300" s="43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</row>
    <row r="301" spans="1:34" ht="15.75" customHeight="1">
      <c r="A301" s="4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43"/>
      <c r="P301" s="43"/>
      <c r="Q301" s="42"/>
      <c r="R301" s="170"/>
      <c r="S301" s="43"/>
      <c r="T301" s="43"/>
      <c r="U301" s="43"/>
      <c r="V301" s="43"/>
      <c r="W301" s="43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</row>
    <row r="302" spans="1:34" ht="15.75" customHeight="1">
      <c r="A302" s="4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43"/>
      <c r="P302" s="43"/>
      <c r="Q302" s="42"/>
      <c r="R302" s="170"/>
      <c r="S302" s="43"/>
      <c r="T302" s="43"/>
      <c r="U302" s="43"/>
      <c r="V302" s="43"/>
      <c r="W302" s="43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</row>
    <row r="303" spans="1:34" ht="15.75" customHeight="1">
      <c r="A303" s="4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43"/>
      <c r="P303" s="43"/>
      <c r="Q303" s="42"/>
      <c r="R303" s="170"/>
      <c r="S303" s="43"/>
      <c r="T303" s="43"/>
      <c r="U303" s="43"/>
      <c r="V303" s="43"/>
      <c r="W303" s="43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</row>
    <row r="304" spans="1:34" ht="15.75" customHeight="1">
      <c r="A304" s="4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43"/>
      <c r="P304" s="43"/>
      <c r="Q304" s="42"/>
      <c r="R304" s="170"/>
      <c r="S304" s="43"/>
      <c r="T304" s="43"/>
      <c r="U304" s="43"/>
      <c r="V304" s="43"/>
      <c r="W304" s="43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</row>
    <row r="305" spans="1:34" ht="15.75" customHeight="1">
      <c r="A305" s="4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43"/>
      <c r="P305" s="43"/>
      <c r="Q305" s="42"/>
      <c r="R305" s="170"/>
      <c r="S305" s="43"/>
      <c r="T305" s="43"/>
      <c r="U305" s="43"/>
      <c r="V305" s="43"/>
      <c r="W305" s="43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</row>
    <row r="306" spans="1:34" ht="15.75" customHeight="1">
      <c r="A306" s="4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43"/>
      <c r="P306" s="43"/>
      <c r="Q306" s="42"/>
      <c r="R306" s="170"/>
      <c r="S306" s="43"/>
      <c r="T306" s="43"/>
      <c r="U306" s="43"/>
      <c r="V306" s="43"/>
      <c r="W306" s="43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</row>
    <row r="307" spans="1:34" ht="15.75" customHeight="1">
      <c r="A307" s="4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43"/>
      <c r="P307" s="43"/>
      <c r="Q307" s="42"/>
      <c r="R307" s="170"/>
      <c r="S307" s="43"/>
      <c r="T307" s="43"/>
      <c r="U307" s="43"/>
      <c r="V307" s="43"/>
      <c r="W307" s="43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</row>
    <row r="308" spans="1:34" ht="15.75" customHeight="1">
      <c r="A308" s="4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43"/>
      <c r="P308" s="43"/>
      <c r="Q308" s="42"/>
      <c r="R308" s="170"/>
      <c r="S308" s="43"/>
      <c r="T308" s="43"/>
      <c r="U308" s="43"/>
      <c r="V308" s="43"/>
      <c r="W308" s="43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</row>
    <row r="309" spans="1:34" ht="15.75" customHeight="1">
      <c r="A309" s="4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43"/>
      <c r="P309" s="43"/>
      <c r="Q309" s="42"/>
      <c r="R309" s="170"/>
      <c r="S309" s="43"/>
      <c r="T309" s="43"/>
      <c r="U309" s="43"/>
      <c r="V309" s="43"/>
      <c r="W309" s="43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</row>
    <row r="310" spans="1:34" ht="15.75" customHeight="1">
      <c r="A310" s="4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43"/>
      <c r="P310" s="43"/>
      <c r="Q310" s="42"/>
      <c r="R310" s="170"/>
      <c r="S310" s="43"/>
      <c r="T310" s="43"/>
      <c r="U310" s="43"/>
      <c r="V310" s="43"/>
      <c r="W310" s="43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</row>
    <row r="311" spans="1:34" ht="15.75" customHeight="1">
      <c r="A311" s="4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43"/>
      <c r="P311" s="43"/>
      <c r="Q311" s="42"/>
      <c r="R311" s="170"/>
      <c r="S311" s="43"/>
      <c r="T311" s="43"/>
      <c r="U311" s="43"/>
      <c r="V311" s="43"/>
      <c r="W311" s="43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</row>
    <row r="312" spans="1:34" ht="15.75" customHeight="1">
      <c r="A312" s="4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43"/>
      <c r="P312" s="43"/>
      <c r="Q312" s="42"/>
      <c r="R312" s="170"/>
      <c r="S312" s="43"/>
      <c r="T312" s="43"/>
      <c r="U312" s="43"/>
      <c r="V312" s="43"/>
      <c r="W312" s="43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</row>
    <row r="313" spans="1:34" ht="15.75" customHeight="1">
      <c r="A313" s="4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43"/>
      <c r="P313" s="43"/>
      <c r="Q313" s="42"/>
      <c r="R313" s="170"/>
      <c r="S313" s="43"/>
      <c r="T313" s="43"/>
      <c r="U313" s="43"/>
      <c r="V313" s="43"/>
      <c r="W313" s="43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</row>
    <row r="314" spans="1:34" ht="15.75" customHeight="1">
      <c r="A314" s="4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43"/>
      <c r="P314" s="43"/>
      <c r="Q314" s="42"/>
      <c r="R314" s="170"/>
      <c r="S314" s="43"/>
      <c r="T314" s="43"/>
      <c r="U314" s="43"/>
      <c r="V314" s="43"/>
      <c r="W314" s="43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</row>
    <row r="315" spans="1:34" ht="15.75" customHeight="1">
      <c r="A315" s="4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43"/>
      <c r="P315" s="43"/>
      <c r="Q315" s="42"/>
      <c r="R315" s="170"/>
      <c r="S315" s="43"/>
      <c r="T315" s="43"/>
      <c r="U315" s="43"/>
      <c r="V315" s="43"/>
      <c r="W315" s="43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</row>
    <row r="316" spans="1:34" ht="15.75" customHeight="1">
      <c r="A316" s="4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43"/>
      <c r="P316" s="43"/>
      <c r="Q316" s="42"/>
      <c r="R316" s="170"/>
      <c r="S316" s="43"/>
      <c r="T316" s="43"/>
      <c r="U316" s="43"/>
      <c r="V316" s="43"/>
      <c r="W316" s="43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</row>
    <row r="317" spans="1:34" ht="15.75" customHeight="1">
      <c r="A317" s="4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43"/>
      <c r="P317" s="43"/>
      <c r="Q317" s="42"/>
      <c r="R317" s="170"/>
      <c r="S317" s="43"/>
      <c r="T317" s="43"/>
      <c r="U317" s="43"/>
      <c r="V317" s="43"/>
      <c r="W317" s="43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</row>
    <row r="318" spans="1:34" ht="15.75" customHeight="1">
      <c r="A318" s="4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43"/>
      <c r="P318" s="43"/>
      <c r="Q318" s="42"/>
      <c r="R318" s="170"/>
      <c r="S318" s="43"/>
      <c r="T318" s="43"/>
      <c r="U318" s="43"/>
      <c r="V318" s="43"/>
      <c r="W318" s="43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</row>
    <row r="319" spans="1:34" ht="15.75" customHeight="1">
      <c r="A319" s="4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43"/>
      <c r="P319" s="43"/>
      <c r="Q319" s="42"/>
      <c r="R319" s="170"/>
      <c r="S319" s="43"/>
      <c r="T319" s="43"/>
      <c r="U319" s="43"/>
      <c r="V319" s="43"/>
      <c r="W319" s="43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</row>
    <row r="320" spans="1:34" ht="15.75" customHeight="1">
      <c r="A320" s="4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43"/>
      <c r="P320" s="43"/>
      <c r="Q320" s="42"/>
      <c r="R320" s="170"/>
      <c r="S320" s="43"/>
      <c r="T320" s="43"/>
      <c r="U320" s="43"/>
      <c r="V320" s="43"/>
      <c r="W320" s="43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</row>
    <row r="321" spans="1:34" ht="15.75" customHeight="1">
      <c r="A321" s="4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43"/>
      <c r="P321" s="43"/>
      <c r="Q321" s="42"/>
      <c r="R321" s="170"/>
      <c r="S321" s="43"/>
      <c r="T321" s="43"/>
      <c r="U321" s="43"/>
      <c r="V321" s="43"/>
      <c r="W321" s="43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</row>
    <row r="322" spans="1:34" ht="15.75" customHeight="1">
      <c r="A322" s="4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43"/>
      <c r="P322" s="43"/>
      <c r="Q322" s="42"/>
      <c r="R322" s="170"/>
      <c r="S322" s="43"/>
      <c r="T322" s="43"/>
      <c r="U322" s="43"/>
      <c r="V322" s="43"/>
      <c r="W322" s="43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</row>
    <row r="323" spans="1:34" ht="15.75" customHeight="1">
      <c r="A323" s="4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43"/>
      <c r="P323" s="43"/>
      <c r="Q323" s="42"/>
      <c r="R323" s="170"/>
      <c r="S323" s="43"/>
      <c r="T323" s="43"/>
      <c r="U323" s="43"/>
      <c r="V323" s="43"/>
      <c r="W323" s="43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</row>
    <row r="324" spans="1:34" ht="15.75" customHeight="1">
      <c r="A324" s="4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43"/>
      <c r="P324" s="43"/>
      <c r="Q324" s="42"/>
      <c r="R324" s="170"/>
      <c r="S324" s="43"/>
      <c r="T324" s="43"/>
      <c r="U324" s="43"/>
      <c r="V324" s="43"/>
      <c r="W324" s="43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</row>
    <row r="325" spans="1:34" ht="15.75" customHeight="1">
      <c r="A325" s="4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43"/>
      <c r="P325" s="43"/>
      <c r="Q325" s="42"/>
      <c r="R325" s="170"/>
      <c r="S325" s="43"/>
      <c r="T325" s="43"/>
      <c r="U325" s="43"/>
      <c r="V325" s="43"/>
      <c r="W325" s="43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</row>
    <row r="326" spans="1:34" ht="15.75" customHeight="1">
      <c r="A326" s="4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43"/>
      <c r="P326" s="43"/>
      <c r="Q326" s="42"/>
      <c r="R326" s="170"/>
      <c r="S326" s="43"/>
      <c r="T326" s="43"/>
      <c r="U326" s="43"/>
      <c r="V326" s="43"/>
      <c r="W326" s="43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</row>
    <row r="327" spans="1:34" ht="15.75" customHeight="1">
      <c r="A327" s="4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43"/>
      <c r="P327" s="43"/>
      <c r="Q327" s="42"/>
      <c r="R327" s="170"/>
      <c r="S327" s="43"/>
      <c r="T327" s="43"/>
      <c r="U327" s="43"/>
      <c r="V327" s="43"/>
      <c r="W327" s="43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</row>
    <row r="328" spans="1:34" ht="15.75" customHeight="1">
      <c r="A328" s="4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43"/>
      <c r="P328" s="43"/>
      <c r="Q328" s="42"/>
      <c r="R328" s="170"/>
      <c r="S328" s="43"/>
      <c r="T328" s="43"/>
      <c r="U328" s="43"/>
      <c r="V328" s="43"/>
      <c r="W328" s="43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</row>
    <row r="329" spans="1:34" ht="15.75" customHeight="1">
      <c r="A329" s="4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43"/>
      <c r="P329" s="43"/>
      <c r="Q329" s="42"/>
      <c r="R329" s="170"/>
      <c r="S329" s="43"/>
      <c r="T329" s="43"/>
      <c r="U329" s="43"/>
      <c r="V329" s="43"/>
      <c r="W329" s="43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</row>
    <row r="330" spans="1:34" ht="15.75" customHeight="1">
      <c r="A330" s="4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43"/>
      <c r="P330" s="43"/>
      <c r="Q330" s="42"/>
      <c r="R330" s="170"/>
      <c r="S330" s="43"/>
      <c r="T330" s="43"/>
      <c r="U330" s="43"/>
      <c r="V330" s="43"/>
      <c r="W330" s="43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</row>
    <row r="331" spans="1:34" ht="15.75" customHeight="1">
      <c r="A331" s="4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43"/>
      <c r="P331" s="43"/>
      <c r="Q331" s="42"/>
      <c r="R331" s="170"/>
      <c r="S331" s="43"/>
      <c r="T331" s="43"/>
      <c r="U331" s="43"/>
      <c r="V331" s="43"/>
      <c r="W331" s="43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</row>
    <row r="332" spans="1:34" ht="15.75" customHeight="1">
      <c r="A332" s="4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43"/>
      <c r="P332" s="43"/>
      <c r="Q332" s="42"/>
      <c r="R332" s="170"/>
      <c r="S332" s="43"/>
      <c r="T332" s="43"/>
      <c r="U332" s="43"/>
      <c r="V332" s="43"/>
      <c r="W332" s="43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</row>
    <row r="333" spans="1:34" ht="15.75" customHeight="1">
      <c r="A333" s="4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43"/>
      <c r="P333" s="43"/>
      <c r="Q333" s="42"/>
      <c r="R333" s="170"/>
      <c r="S333" s="43"/>
      <c r="T333" s="43"/>
      <c r="U333" s="43"/>
      <c r="V333" s="43"/>
      <c r="W333" s="43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</row>
    <row r="334" spans="1:34" ht="15.75" customHeight="1">
      <c r="A334" s="4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43"/>
      <c r="P334" s="43"/>
      <c r="Q334" s="42"/>
      <c r="R334" s="170"/>
      <c r="S334" s="43"/>
      <c r="T334" s="43"/>
      <c r="U334" s="43"/>
      <c r="V334" s="43"/>
      <c r="W334" s="43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</row>
    <row r="335" spans="1:34" ht="15.75" customHeight="1">
      <c r="A335" s="4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43"/>
      <c r="P335" s="43"/>
      <c r="Q335" s="42"/>
      <c r="R335" s="170"/>
      <c r="S335" s="43"/>
      <c r="T335" s="43"/>
      <c r="U335" s="43"/>
      <c r="V335" s="43"/>
      <c r="W335" s="43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</row>
    <row r="336" spans="1:34" ht="15.75" customHeight="1">
      <c r="A336" s="4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43"/>
      <c r="P336" s="43"/>
      <c r="Q336" s="42"/>
      <c r="R336" s="170"/>
      <c r="S336" s="43"/>
      <c r="T336" s="43"/>
      <c r="U336" s="43"/>
      <c r="V336" s="43"/>
      <c r="W336" s="43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</row>
    <row r="337" spans="1:34" ht="15.75" customHeight="1">
      <c r="A337" s="4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43"/>
      <c r="P337" s="43"/>
      <c r="Q337" s="42"/>
      <c r="R337" s="170"/>
      <c r="S337" s="43"/>
      <c r="T337" s="43"/>
      <c r="U337" s="43"/>
      <c r="V337" s="43"/>
      <c r="W337" s="43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</row>
    <row r="338" spans="1:34" ht="15.75" customHeight="1">
      <c r="A338" s="4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43"/>
      <c r="P338" s="43"/>
      <c r="Q338" s="42"/>
      <c r="R338" s="170"/>
      <c r="S338" s="43"/>
      <c r="T338" s="43"/>
      <c r="U338" s="43"/>
      <c r="V338" s="43"/>
      <c r="W338" s="43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</row>
    <row r="339" spans="1:34" ht="15.75" customHeight="1">
      <c r="A339" s="4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43"/>
      <c r="P339" s="43"/>
      <c r="Q339" s="42"/>
      <c r="R339" s="170"/>
      <c r="S339" s="43"/>
      <c r="T339" s="43"/>
      <c r="U339" s="43"/>
      <c r="V339" s="43"/>
      <c r="W339" s="43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</row>
    <row r="340" spans="1:34" ht="15.75" customHeight="1">
      <c r="A340" s="4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43"/>
      <c r="P340" s="43"/>
      <c r="Q340" s="42"/>
      <c r="R340" s="170"/>
      <c r="S340" s="43"/>
      <c r="T340" s="43"/>
      <c r="U340" s="43"/>
      <c r="V340" s="43"/>
      <c r="W340" s="43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</row>
    <row r="341" spans="1:34" ht="15.75" customHeight="1">
      <c r="A341" s="4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43"/>
      <c r="P341" s="43"/>
      <c r="Q341" s="42"/>
      <c r="R341" s="170"/>
      <c r="S341" s="43"/>
      <c r="T341" s="43"/>
      <c r="U341" s="43"/>
      <c r="V341" s="43"/>
      <c r="W341" s="43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</row>
    <row r="342" spans="1:34" ht="15.75" customHeight="1">
      <c r="A342" s="4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43"/>
      <c r="P342" s="43"/>
      <c r="Q342" s="42"/>
      <c r="R342" s="170"/>
      <c r="S342" s="43"/>
      <c r="T342" s="43"/>
      <c r="U342" s="43"/>
      <c r="V342" s="43"/>
      <c r="W342" s="43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</row>
    <row r="343" spans="1:34" ht="15.75" customHeight="1">
      <c r="A343" s="212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1"/>
      <c r="P343" s="31"/>
      <c r="Q343" s="212"/>
      <c r="R343" s="175"/>
      <c r="S343" s="31"/>
      <c r="T343" s="31"/>
      <c r="U343" s="31"/>
      <c r="V343" s="31"/>
      <c r="W343" s="31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</row>
    <row r="344" spans="1:34" ht="15.75" customHeight="1">
      <c r="A344" s="212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1"/>
      <c r="P344" s="31"/>
      <c r="Q344" s="212"/>
      <c r="R344" s="175"/>
      <c r="S344" s="31"/>
      <c r="T344" s="31"/>
      <c r="U344" s="31"/>
      <c r="V344" s="31"/>
      <c r="W344" s="31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</row>
    <row r="345" spans="1:34" ht="15.75" customHeight="1">
      <c r="A345" s="212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1"/>
      <c r="P345" s="31"/>
      <c r="Q345" s="212"/>
      <c r="R345" s="175"/>
      <c r="S345" s="31"/>
      <c r="T345" s="31"/>
      <c r="U345" s="31"/>
      <c r="V345" s="31"/>
      <c r="W345" s="31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</row>
    <row r="346" spans="1:34" ht="15.75" customHeight="1">
      <c r="A346" s="212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1"/>
      <c r="P346" s="31"/>
      <c r="Q346" s="212"/>
      <c r="R346" s="175"/>
      <c r="S346" s="31"/>
      <c r="T346" s="31"/>
      <c r="U346" s="31"/>
      <c r="V346" s="31"/>
      <c r="W346" s="31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</row>
    <row r="347" spans="1:34" ht="15.75" customHeight="1">
      <c r="A347" s="212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1"/>
      <c r="P347" s="31"/>
      <c r="Q347" s="212"/>
      <c r="R347" s="175"/>
      <c r="S347" s="31"/>
      <c r="T347" s="31"/>
      <c r="U347" s="31"/>
      <c r="V347" s="31"/>
      <c r="W347" s="31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</row>
    <row r="348" spans="1:34" ht="15.75" customHeight="1">
      <c r="A348" s="212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1"/>
      <c r="P348" s="31"/>
      <c r="Q348" s="212"/>
      <c r="R348" s="175"/>
      <c r="S348" s="31"/>
      <c r="T348" s="31"/>
      <c r="U348" s="31"/>
      <c r="V348" s="31"/>
      <c r="W348" s="31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</row>
    <row r="349" spans="1:34" ht="15.75" customHeight="1">
      <c r="A349" s="212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1"/>
      <c r="P349" s="31"/>
      <c r="Q349" s="212"/>
      <c r="R349" s="175"/>
      <c r="S349" s="31"/>
      <c r="T349" s="31"/>
      <c r="U349" s="31"/>
      <c r="V349" s="31"/>
      <c r="W349" s="31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</row>
    <row r="350" spans="1:34" ht="15.75" customHeight="1">
      <c r="A350" s="212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1"/>
      <c r="P350" s="31"/>
      <c r="Q350" s="212"/>
      <c r="R350" s="175"/>
      <c r="S350" s="31"/>
      <c r="T350" s="31"/>
      <c r="U350" s="31"/>
      <c r="V350" s="31"/>
      <c r="W350" s="31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</row>
    <row r="351" spans="1:34" ht="15.75" customHeight="1">
      <c r="A351" s="212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1"/>
      <c r="P351" s="31"/>
      <c r="Q351" s="212"/>
      <c r="R351" s="175"/>
      <c r="S351" s="31"/>
      <c r="T351" s="31"/>
      <c r="U351" s="31"/>
      <c r="V351" s="31"/>
      <c r="W351" s="31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</row>
    <row r="352" spans="1:34" ht="15.75" customHeight="1">
      <c r="A352" s="212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1"/>
      <c r="P352" s="31"/>
      <c r="Q352" s="212"/>
      <c r="R352" s="175"/>
      <c r="S352" s="31"/>
      <c r="T352" s="31"/>
      <c r="U352" s="31"/>
      <c r="V352" s="31"/>
      <c r="W352" s="31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</row>
    <row r="353" spans="2:23" ht="15.75" customHeight="1"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1"/>
      <c r="P353" s="31"/>
      <c r="Q353" s="212"/>
      <c r="R353" s="175"/>
      <c r="S353" s="31"/>
      <c r="T353" s="31"/>
      <c r="U353" s="31"/>
      <c r="V353" s="31"/>
      <c r="W353" s="31"/>
    </row>
    <row r="354" spans="2:23" ht="15.75" customHeight="1"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1"/>
      <c r="P354" s="31"/>
      <c r="Q354" s="212"/>
      <c r="R354" s="175"/>
      <c r="S354" s="31"/>
      <c r="T354" s="31"/>
      <c r="U354" s="31"/>
      <c r="V354" s="31"/>
      <c r="W354" s="31"/>
    </row>
    <row r="355" spans="2:23" ht="15.75" customHeight="1"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1"/>
      <c r="P355" s="31"/>
      <c r="Q355" s="212"/>
      <c r="R355" s="175"/>
      <c r="S355" s="31"/>
      <c r="T355" s="31"/>
      <c r="U355" s="31"/>
      <c r="V355" s="31"/>
      <c r="W355" s="31"/>
    </row>
    <row r="356" spans="2:23" ht="15.75" customHeight="1"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1"/>
      <c r="P356" s="31"/>
      <c r="Q356" s="212"/>
      <c r="R356" s="175"/>
      <c r="S356" s="31"/>
      <c r="T356" s="31"/>
      <c r="U356" s="31"/>
      <c r="V356" s="31"/>
      <c r="W356" s="31"/>
    </row>
    <row r="357" spans="2:23" ht="15.75" customHeight="1"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1"/>
      <c r="P357" s="31"/>
      <c r="Q357" s="212"/>
      <c r="R357" s="175"/>
      <c r="S357" s="31"/>
      <c r="T357" s="31"/>
      <c r="U357" s="31"/>
      <c r="V357" s="31"/>
      <c r="W357" s="31"/>
    </row>
    <row r="358" spans="2:23" ht="15.75" customHeight="1"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1"/>
      <c r="P358" s="31"/>
      <c r="Q358" s="212"/>
      <c r="R358" s="175"/>
      <c r="S358" s="31"/>
      <c r="T358" s="31"/>
      <c r="U358" s="31"/>
      <c r="V358" s="31"/>
      <c r="W358" s="31"/>
    </row>
    <row r="359" spans="2:23" ht="15.75" customHeight="1"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1"/>
      <c r="P359" s="31"/>
      <c r="Q359" s="212"/>
      <c r="R359" s="175"/>
      <c r="S359" s="31"/>
      <c r="T359" s="31"/>
      <c r="U359" s="31"/>
      <c r="V359" s="31"/>
      <c r="W359" s="31"/>
    </row>
    <row r="360" spans="2:23" ht="15.75" customHeight="1"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1"/>
      <c r="P360" s="31"/>
      <c r="Q360" s="212"/>
      <c r="R360" s="175"/>
      <c r="S360" s="31"/>
      <c r="T360" s="31"/>
      <c r="U360" s="31"/>
      <c r="V360" s="31"/>
      <c r="W360" s="31"/>
    </row>
    <row r="361" spans="2:23" ht="15.75" customHeight="1"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1"/>
      <c r="P361" s="31"/>
      <c r="Q361" s="212"/>
      <c r="R361" s="175"/>
      <c r="S361" s="31"/>
      <c r="T361" s="31"/>
      <c r="U361" s="31"/>
      <c r="V361" s="31"/>
      <c r="W361" s="31"/>
    </row>
    <row r="362" spans="2:23" ht="15.75" customHeight="1"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1"/>
      <c r="P362" s="31"/>
      <c r="Q362" s="212"/>
      <c r="R362" s="175"/>
      <c r="S362" s="31"/>
      <c r="T362" s="31"/>
      <c r="U362" s="31"/>
      <c r="V362" s="31"/>
      <c r="W362" s="31"/>
    </row>
    <row r="363" spans="2:23" ht="15.75" customHeight="1"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1"/>
      <c r="P363" s="31"/>
      <c r="Q363" s="212"/>
      <c r="R363" s="175"/>
      <c r="S363" s="31"/>
      <c r="T363" s="31"/>
      <c r="U363" s="31"/>
      <c r="V363" s="31"/>
      <c r="W363" s="31"/>
    </row>
    <row r="364" spans="2:23" ht="15.75" customHeight="1"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1"/>
      <c r="P364" s="31"/>
      <c r="Q364" s="212"/>
      <c r="R364" s="175"/>
      <c r="S364" s="31"/>
      <c r="T364" s="31"/>
      <c r="U364" s="31"/>
      <c r="V364" s="31"/>
      <c r="W364" s="31"/>
    </row>
    <row r="365" spans="2:23" ht="15.75" customHeight="1"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1"/>
      <c r="P365" s="31"/>
      <c r="Q365" s="212"/>
      <c r="R365" s="175"/>
      <c r="S365" s="31"/>
      <c r="T365" s="31"/>
      <c r="U365" s="31"/>
      <c r="V365" s="31"/>
      <c r="W365" s="31"/>
    </row>
    <row r="366" spans="2:23" ht="15.75" customHeight="1"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1"/>
      <c r="P366" s="31"/>
      <c r="Q366" s="212"/>
      <c r="R366" s="175"/>
      <c r="S366" s="31"/>
      <c r="T366" s="31"/>
      <c r="U366" s="31"/>
      <c r="V366" s="31"/>
      <c r="W366" s="31"/>
    </row>
    <row r="367" spans="2:23" ht="15.75" customHeight="1"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1"/>
      <c r="P367" s="31"/>
      <c r="Q367" s="212"/>
      <c r="R367" s="175"/>
      <c r="S367" s="31"/>
      <c r="T367" s="31"/>
      <c r="U367" s="31"/>
      <c r="V367" s="31"/>
      <c r="W367" s="31"/>
    </row>
    <row r="368" spans="2:23" ht="15.75" customHeight="1"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1"/>
      <c r="P368" s="31"/>
      <c r="Q368" s="212"/>
      <c r="R368" s="175"/>
      <c r="S368" s="31"/>
      <c r="T368" s="31"/>
      <c r="U368" s="31"/>
      <c r="V368" s="31"/>
      <c r="W368" s="31"/>
    </row>
    <row r="369" spans="2:23" ht="15.75" customHeight="1"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1"/>
      <c r="P369" s="31"/>
      <c r="Q369" s="212"/>
      <c r="R369" s="175"/>
      <c r="S369" s="31"/>
      <c r="T369" s="31"/>
      <c r="U369" s="31"/>
      <c r="V369" s="31"/>
      <c r="W369" s="31"/>
    </row>
    <row r="370" spans="2:23" ht="15.75" customHeight="1"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1"/>
      <c r="P370" s="31"/>
      <c r="Q370" s="212"/>
      <c r="R370" s="175"/>
      <c r="S370" s="31"/>
      <c r="T370" s="31"/>
      <c r="U370" s="31"/>
      <c r="V370" s="31"/>
      <c r="W370" s="31"/>
    </row>
    <row r="371" spans="2:23" ht="15.75" customHeight="1"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1"/>
      <c r="P371" s="31"/>
      <c r="Q371" s="212"/>
      <c r="R371" s="175"/>
      <c r="S371" s="31"/>
      <c r="T371" s="31"/>
      <c r="U371" s="31"/>
      <c r="V371" s="31"/>
      <c r="W371" s="31"/>
    </row>
    <row r="372" spans="2:23" ht="15.75" customHeight="1"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1"/>
      <c r="P372" s="31"/>
      <c r="Q372" s="212"/>
      <c r="R372" s="175"/>
      <c r="S372" s="31"/>
      <c r="T372" s="31"/>
      <c r="U372" s="31"/>
      <c r="V372" s="31"/>
      <c r="W372" s="31"/>
    </row>
    <row r="373" spans="2:23" ht="15.75" customHeight="1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1"/>
      <c r="P373" s="31"/>
      <c r="Q373" s="212"/>
      <c r="R373" s="175"/>
      <c r="S373" s="31"/>
      <c r="T373" s="31"/>
      <c r="U373" s="31"/>
      <c r="V373" s="31"/>
      <c r="W373" s="31"/>
    </row>
    <row r="374" spans="2:23" ht="15.75" customHeight="1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1"/>
      <c r="P374" s="31"/>
      <c r="Q374" s="212"/>
      <c r="R374" s="175"/>
      <c r="S374" s="31"/>
      <c r="T374" s="31"/>
      <c r="U374" s="31"/>
      <c r="V374" s="31"/>
      <c r="W374" s="31"/>
    </row>
    <row r="375" spans="2:23" ht="15.75" customHeight="1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1"/>
      <c r="P375" s="31"/>
      <c r="Q375" s="212"/>
      <c r="R375" s="175"/>
      <c r="S375" s="31"/>
      <c r="T375" s="31"/>
      <c r="U375" s="31"/>
      <c r="V375" s="31"/>
      <c r="W375" s="31"/>
    </row>
    <row r="376" spans="2:23" ht="15.75" customHeight="1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1"/>
      <c r="P376" s="31"/>
      <c r="Q376" s="212"/>
      <c r="R376" s="175"/>
      <c r="S376" s="31"/>
      <c r="T376" s="31"/>
      <c r="U376" s="31"/>
      <c r="V376" s="31"/>
      <c r="W376" s="31"/>
    </row>
    <row r="377" spans="2:23" ht="15.75" customHeight="1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1"/>
      <c r="P377" s="31"/>
      <c r="Q377" s="212"/>
      <c r="R377" s="175"/>
      <c r="S377" s="31"/>
      <c r="T377" s="31"/>
      <c r="U377" s="31"/>
      <c r="V377" s="31"/>
      <c r="W377" s="31"/>
    </row>
    <row r="378" spans="2:23" ht="15.75" customHeight="1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1"/>
      <c r="P378" s="31"/>
      <c r="Q378" s="212"/>
      <c r="R378" s="175"/>
      <c r="S378" s="31"/>
      <c r="T378" s="31"/>
      <c r="U378" s="31"/>
      <c r="V378" s="31"/>
      <c r="W378" s="31"/>
    </row>
    <row r="379" spans="2:23" ht="15.75" customHeight="1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1"/>
      <c r="P379" s="31"/>
      <c r="Q379" s="212"/>
      <c r="R379" s="175"/>
      <c r="S379" s="31"/>
      <c r="T379" s="31"/>
      <c r="U379" s="31"/>
      <c r="V379" s="31"/>
      <c r="W379" s="31"/>
    </row>
    <row r="380" spans="2:23" ht="15.75" customHeight="1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1"/>
      <c r="P380" s="31"/>
      <c r="Q380" s="212"/>
      <c r="R380" s="175"/>
      <c r="S380" s="31"/>
      <c r="T380" s="31"/>
      <c r="U380" s="31"/>
      <c r="V380" s="31"/>
      <c r="W380" s="31"/>
    </row>
    <row r="381" spans="2:23" ht="15.75" customHeight="1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1"/>
      <c r="P381" s="31"/>
      <c r="Q381" s="212"/>
      <c r="R381" s="175"/>
      <c r="S381" s="31"/>
      <c r="T381" s="31"/>
      <c r="U381" s="31"/>
      <c r="V381" s="31"/>
      <c r="W381" s="31"/>
    </row>
    <row r="382" spans="2:23" ht="15.75" customHeight="1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1"/>
      <c r="P382" s="31"/>
      <c r="Q382" s="212"/>
      <c r="R382" s="175"/>
      <c r="S382" s="31"/>
      <c r="T382" s="31"/>
      <c r="U382" s="31"/>
      <c r="V382" s="31"/>
      <c r="W382" s="31"/>
    </row>
    <row r="383" spans="2:23" ht="15.75" customHeight="1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1"/>
      <c r="P383" s="31"/>
      <c r="Q383" s="212"/>
      <c r="R383" s="175"/>
      <c r="S383" s="31"/>
      <c r="T383" s="31"/>
      <c r="U383" s="31"/>
      <c r="V383" s="31"/>
      <c r="W383" s="31"/>
    </row>
    <row r="384" spans="2:23" ht="15.75" customHeight="1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1"/>
      <c r="P384" s="31"/>
      <c r="Q384" s="212"/>
      <c r="R384" s="175"/>
      <c r="S384" s="31"/>
      <c r="T384" s="31"/>
      <c r="U384" s="31"/>
      <c r="V384" s="31"/>
      <c r="W384" s="31"/>
    </row>
    <row r="385" spans="2:23" ht="15.75" customHeight="1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1"/>
      <c r="P385" s="31"/>
      <c r="Q385" s="212"/>
      <c r="R385" s="175"/>
      <c r="S385" s="31"/>
      <c r="T385" s="31"/>
      <c r="U385" s="31"/>
      <c r="V385" s="31"/>
      <c r="W385" s="31"/>
    </row>
    <row r="386" spans="2:23" ht="15.75" customHeight="1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1"/>
      <c r="P386" s="31"/>
      <c r="Q386" s="212"/>
      <c r="R386" s="175"/>
      <c r="S386" s="31"/>
      <c r="T386" s="31"/>
      <c r="U386" s="31"/>
      <c r="V386" s="31"/>
      <c r="W386" s="31"/>
    </row>
    <row r="387" spans="2:23" ht="15.75" customHeight="1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1"/>
      <c r="P387" s="31"/>
      <c r="Q387" s="212"/>
      <c r="R387" s="175"/>
      <c r="S387" s="31"/>
      <c r="T387" s="31"/>
      <c r="U387" s="31"/>
      <c r="V387" s="31"/>
      <c r="W387" s="31"/>
    </row>
    <row r="388" spans="2:23" ht="15.75" customHeight="1"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</row>
    <row r="389" spans="2:23" ht="15.75" customHeight="1"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</row>
    <row r="390" spans="2:23" ht="15.75" customHeight="1"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</row>
    <row r="391" spans="2:23" ht="15.75" customHeight="1"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</row>
    <row r="392" spans="2:23" ht="15.75" customHeight="1"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</row>
    <row r="393" spans="2:23" ht="15.75" customHeight="1"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</row>
    <row r="394" spans="2:23" ht="15.75" customHeight="1"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</row>
    <row r="395" spans="2:23" ht="15.75" customHeight="1"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</row>
    <row r="396" spans="2:23" ht="15.75" customHeight="1"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</row>
    <row r="397" spans="2:23" ht="15.75" customHeight="1"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</row>
    <row r="398" spans="2:23" ht="15.75" customHeight="1"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</row>
    <row r="399" spans="2:23" ht="15.75" customHeight="1"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</row>
    <row r="400" spans="2:23" ht="15.75" customHeight="1"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3"/>
    <mergeCell ref="B5:E5"/>
  </mergeCells>
  <conditionalFormatting sqref="B1:K1 C2:J3">
    <cfRule type="cellIs" dxfId="5" priority="2" operator="lessThan">
      <formula>0</formula>
    </cfRule>
  </conditionalFormatting>
  <conditionalFormatting sqref="L1:AH3 A4:AH1000">
    <cfRule type="cellIs" dxfId="4" priority="1" operator="lessThan">
      <formula>0</formula>
    </cfRule>
  </conditionalFormatting>
  <hyperlinks>
    <hyperlink ref="B1" r:id="rId1" xr:uid="{00000000-0004-0000-0C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CAEA3"/>
    <outlinePr summaryBelow="0" summaryRight="0"/>
  </sheetPr>
  <dimension ref="A1:Y1000"/>
  <sheetViews>
    <sheetView showGridLines="0" workbookViewId="0">
      <pane ySplit="10" topLeftCell="A11" activePane="bottomLeft" state="frozen"/>
      <selection pane="bottomLeft" activeCell="A5" sqref="A5"/>
    </sheetView>
  </sheetViews>
  <sheetFormatPr defaultColWidth="12.7109375" defaultRowHeight="15" customHeight="1"/>
  <cols>
    <col min="2" max="9" width="13" customWidth="1"/>
    <col min="10" max="13" width="13.28515625" customWidth="1"/>
    <col min="14" max="14" width="14" customWidth="1"/>
  </cols>
  <sheetData>
    <row r="1" spans="1:2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30"/>
      <c r="M1" s="30"/>
      <c r="N1" s="31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25" ht="15.75" customHeight="1">
      <c r="A2" s="236"/>
      <c r="B2" s="2" t="s">
        <v>1</v>
      </c>
      <c r="C2" s="3"/>
      <c r="D2" s="3"/>
      <c r="E2" s="3"/>
      <c r="F2" s="3"/>
      <c r="G2" s="1"/>
      <c r="H2" s="1"/>
      <c r="I2" s="3"/>
      <c r="J2" s="1"/>
      <c r="K2" s="30"/>
      <c r="L2" s="30"/>
      <c r="M2" s="30"/>
      <c r="N2" s="31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5" ht="15.75" customHeight="1">
      <c r="A3" s="236"/>
      <c r="B3" s="4" t="s">
        <v>2</v>
      </c>
      <c r="C3" s="3"/>
      <c r="D3" s="3"/>
      <c r="E3" s="3"/>
      <c r="F3" s="3"/>
      <c r="G3" s="3"/>
      <c r="H3" s="3"/>
      <c r="I3" s="1"/>
      <c r="J3" s="1"/>
      <c r="K3" s="44"/>
      <c r="L3" s="30"/>
      <c r="M3" s="30"/>
      <c r="N3" s="31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</row>
    <row r="4" spans="1:25" ht="15.75" customHeight="1">
      <c r="A4" s="212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</row>
    <row r="5" spans="1:25" ht="15.75" customHeight="1">
      <c r="A5" s="212"/>
      <c r="B5" s="252" t="s">
        <v>42</v>
      </c>
      <c r="C5" s="30"/>
      <c r="D5" s="30"/>
      <c r="E5" s="6" t="s">
        <v>5</v>
      </c>
      <c r="F5" s="30"/>
      <c r="G5" s="6"/>
      <c r="H5" s="30"/>
      <c r="I5" s="30"/>
      <c r="J5" s="30"/>
      <c r="K5" s="30"/>
      <c r="L5" s="30"/>
      <c r="M5" s="30"/>
      <c r="N5" s="31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</row>
    <row r="6" spans="1:25" ht="15.75" customHeight="1">
      <c r="A6" s="212"/>
      <c r="B6" s="30"/>
      <c r="C6" s="30"/>
      <c r="D6" s="253" t="s">
        <v>43</v>
      </c>
      <c r="E6" s="254">
        <f>'11-Viabilidade'!C10</f>
        <v>300000</v>
      </c>
      <c r="F6" s="253" t="s">
        <v>44</v>
      </c>
      <c r="G6" s="256">
        <f>'11-Viabilidade'!C11</f>
        <v>0.8</v>
      </c>
      <c r="H6" s="30"/>
      <c r="I6" s="30"/>
      <c r="J6" s="30"/>
      <c r="K6" s="30"/>
      <c r="L6" s="31"/>
      <c r="M6" s="253" t="s">
        <v>45</v>
      </c>
      <c r="N6" s="254">
        <f>D431</f>
        <v>402853.57446821866</v>
      </c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</row>
    <row r="7" spans="1:25" ht="15.75" customHeight="1">
      <c r="A7" s="212"/>
      <c r="B7" s="32"/>
      <c r="C7" s="6"/>
      <c r="D7" s="30"/>
      <c r="E7" s="6"/>
      <c r="F7" s="30"/>
      <c r="G7" s="6"/>
      <c r="H7" s="30"/>
      <c r="I7" s="30"/>
      <c r="J7" s="30"/>
      <c r="K7" s="30"/>
      <c r="L7" s="30"/>
      <c r="M7" s="253" t="s">
        <v>46</v>
      </c>
      <c r="N7" s="254">
        <f>F431</f>
        <v>240000.00000000093</v>
      </c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</row>
    <row r="8" spans="1:25" ht="15.75" customHeight="1">
      <c r="A8" s="212"/>
      <c r="B8" s="255" t="s">
        <v>47</v>
      </c>
      <c r="C8" s="254">
        <f>'11-Viabilidade'!C14</f>
        <v>240000</v>
      </c>
      <c r="D8" s="253" t="s">
        <v>48</v>
      </c>
      <c r="E8" s="33">
        <v>420</v>
      </c>
      <c r="F8" s="255" t="s">
        <v>49</v>
      </c>
      <c r="G8" s="289">
        <f>'11-Viabilidade'!C12</f>
        <v>0.1</v>
      </c>
      <c r="H8" s="255" t="s">
        <v>50</v>
      </c>
      <c r="I8" s="256">
        <f>(1+G8)^(1/12)-1</f>
        <v>7.9741404289037643E-3</v>
      </c>
      <c r="J8" s="253" t="s">
        <v>51</v>
      </c>
      <c r="K8" s="254">
        <f>G11/0.3</f>
        <v>8284.074247884917</v>
      </c>
      <c r="L8" s="30"/>
      <c r="M8" s="257" t="s">
        <v>52</v>
      </c>
      <c r="N8" s="254">
        <f>G431</f>
        <v>642853.57446821884</v>
      </c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</row>
    <row r="9" spans="1:25" ht="15.75" customHeight="1">
      <c r="A9" s="212"/>
      <c r="B9" s="31"/>
      <c r="C9" s="31"/>
      <c r="D9" s="30"/>
      <c r="E9" s="32"/>
      <c r="F9" s="11"/>
      <c r="G9" s="11"/>
      <c r="H9" s="11"/>
      <c r="I9" s="11"/>
      <c r="J9" s="31"/>
      <c r="K9" s="30"/>
      <c r="L9" s="30"/>
      <c r="M9" s="30"/>
      <c r="N9" s="31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</row>
    <row r="10" spans="1:25" ht="15.75" customHeight="1">
      <c r="A10" s="35"/>
      <c r="B10" s="255" t="s">
        <v>53</v>
      </c>
      <c r="C10" s="255" t="s">
        <v>54</v>
      </c>
      <c r="D10" s="255" t="s">
        <v>55</v>
      </c>
      <c r="E10" s="255" t="s">
        <v>56</v>
      </c>
      <c r="F10" s="255" t="s">
        <v>57</v>
      </c>
      <c r="G10" s="255" t="s">
        <v>58</v>
      </c>
      <c r="H10" s="255" t="s">
        <v>59</v>
      </c>
      <c r="I10" s="11"/>
      <c r="J10" s="36"/>
      <c r="K10" s="30"/>
      <c r="L10" s="30"/>
      <c r="M10" s="30"/>
      <c r="N10" s="36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 ht="15.75" customHeight="1">
      <c r="A11" s="213">
        <f>IF(AND(E8&gt;0,E8&lt;421),1,0)</f>
        <v>1</v>
      </c>
      <c r="B11" s="258">
        <f>IF(A11&gt;0,1,0)</f>
        <v>1</v>
      </c>
      <c r="C11" s="11">
        <f>IF(B11&gt;0,C8,0)</f>
        <v>240000</v>
      </c>
      <c r="D11" s="11">
        <f t="shared" ref="D11:D265" si="0">IF(B11&gt;0,C11*$I$8,0)</f>
        <v>1913.7937029369034</v>
      </c>
      <c r="E11" s="11">
        <f t="shared" ref="E11:E265" si="1">IF(B11&gt;0,C11+D11,0)</f>
        <v>241913.79370293691</v>
      </c>
      <c r="F11" s="11">
        <f>IF($E$8&gt;0,$C$8/$E$8,0)</f>
        <v>571.42857142857144</v>
      </c>
      <c r="G11" s="11">
        <f t="shared" ref="G11:G265" si="2">IF(B11&gt;0,D11+F11,0)</f>
        <v>2485.2222743654747</v>
      </c>
      <c r="H11" s="11">
        <f t="shared" ref="H11:H265" si="3">IF(B11&gt;0,E11-G11,0)</f>
        <v>239428.57142857142</v>
      </c>
      <c r="I11" s="11"/>
      <c r="J11" s="13"/>
      <c r="K11" s="13"/>
      <c r="L11" s="13"/>
      <c r="M11" s="13"/>
      <c r="N11" s="13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/>
      <c r="B12" s="38">
        <f t="shared" ref="B12:B266" si="4">IF(AND(B11&gt;0,B11&lt;$E$8),B11+1,0)</f>
        <v>2</v>
      </c>
      <c r="C12" s="11">
        <f t="shared" ref="C12:C266" si="5">IF(B12&gt;0,H11,0)</f>
        <v>239428.57142857142</v>
      </c>
      <c r="D12" s="11">
        <f t="shared" si="0"/>
        <v>1909.237051263244</v>
      </c>
      <c r="E12" s="11">
        <f t="shared" si="1"/>
        <v>241337.80847983467</v>
      </c>
      <c r="F12" s="11">
        <f t="shared" ref="F12:F266" si="6">IF(B12&gt;0,$C$8/$E$8,0)</f>
        <v>571.42857142857144</v>
      </c>
      <c r="G12" s="11">
        <f t="shared" si="2"/>
        <v>2480.6656226918153</v>
      </c>
      <c r="H12" s="11">
        <f t="shared" si="3"/>
        <v>238857.14285714284</v>
      </c>
      <c r="I12" s="11"/>
      <c r="J12" s="13"/>
      <c r="K12" s="13"/>
      <c r="L12" s="13"/>
      <c r="M12" s="13"/>
      <c r="N12" s="13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/>
      <c r="B13" s="38">
        <f t="shared" si="4"/>
        <v>3</v>
      </c>
      <c r="C13" s="11">
        <f t="shared" si="5"/>
        <v>238857.14285714284</v>
      </c>
      <c r="D13" s="11">
        <f t="shared" si="0"/>
        <v>1904.6803995895848</v>
      </c>
      <c r="E13" s="11">
        <f t="shared" si="1"/>
        <v>240761.82325673243</v>
      </c>
      <c r="F13" s="11">
        <f t="shared" si="6"/>
        <v>571.42857142857144</v>
      </c>
      <c r="G13" s="11">
        <f t="shared" si="2"/>
        <v>2476.1089710181564</v>
      </c>
      <c r="H13" s="11">
        <f t="shared" si="3"/>
        <v>238285.71428571426</v>
      </c>
      <c r="I13" s="11"/>
      <c r="J13" s="13"/>
      <c r="K13" s="13"/>
      <c r="L13" s="13"/>
      <c r="M13" s="13"/>
      <c r="N13" s="13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/>
      <c r="B14" s="38">
        <f t="shared" si="4"/>
        <v>4</v>
      </c>
      <c r="C14" s="11">
        <f t="shared" si="5"/>
        <v>238285.71428571426</v>
      </c>
      <c r="D14" s="11">
        <f t="shared" si="0"/>
        <v>1900.1237479159254</v>
      </c>
      <c r="E14" s="11">
        <f t="shared" si="1"/>
        <v>240185.83803363019</v>
      </c>
      <c r="F14" s="11">
        <f t="shared" si="6"/>
        <v>571.42857142857144</v>
      </c>
      <c r="G14" s="11">
        <f t="shared" si="2"/>
        <v>2471.5523193444969</v>
      </c>
      <c r="H14" s="11">
        <f t="shared" si="3"/>
        <v>237714.28571428568</v>
      </c>
      <c r="I14" s="11"/>
      <c r="J14" s="13"/>
      <c r="K14" s="13"/>
      <c r="L14" s="13"/>
      <c r="M14" s="13"/>
      <c r="N14" s="13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/>
      <c r="B15" s="38">
        <f t="shared" si="4"/>
        <v>5</v>
      </c>
      <c r="C15" s="11">
        <f t="shared" si="5"/>
        <v>237714.28571428568</v>
      </c>
      <c r="D15" s="11">
        <f t="shared" si="0"/>
        <v>1895.567096242266</v>
      </c>
      <c r="E15" s="11">
        <f t="shared" si="1"/>
        <v>239609.85281052795</v>
      </c>
      <c r="F15" s="11">
        <f t="shared" si="6"/>
        <v>571.42857142857144</v>
      </c>
      <c r="G15" s="11">
        <f t="shared" si="2"/>
        <v>2466.9956676708375</v>
      </c>
      <c r="H15" s="11">
        <f t="shared" si="3"/>
        <v>237142.85714285713</v>
      </c>
      <c r="I15" s="11"/>
      <c r="J15" s="13"/>
      <c r="K15" s="13"/>
      <c r="L15" s="13"/>
      <c r="M15" s="13"/>
      <c r="N15" s="13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/>
      <c r="B16" s="38">
        <f t="shared" si="4"/>
        <v>6</v>
      </c>
      <c r="C16" s="11">
        <f t="shared" si="5"/>
        <v>237142.85714285713</v>
      </c>
      <c r="D16" s="11">
        <f t="shared" si="0"/>
        <v>1891.0104445686068</v>
      </c>
      <c r="E16" s="11">
        <f t="shared" si="1"/>
        <v>239033.86758742575</v>
      </c>
      <c r="F16" s="11">
        <f t="shared" si="6"/>
        <v>571.42857142857144</v>
      </c>
      <c r="G16" s="11">
        <f t="shared" si="2"/>
        <v>2462.4390159971781</v>
      </c>
      <c r="H16" s="11">
        <f t="shared" si="3"/>
        <v>236571.42857142858</v>
      </c>
      <c r="I16" s="13"/>
      <c r="J16" s="13"/>
      <c r="K16" s="13"/>
      <c r="L16" s="13"/>
      <c r="M16" s="13"/>
      <c r="N16" s="13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/>
      <c r="B17" s="38">
        <f t="shared" si="4"/>
        <v>7</v>
      </c>
      <c r="C17" s="11">
        <f t="shared" si="5"/>
        <v>236571.42857142858</v>
      </c>
      <c r="D17" s="11">
        <f t="shared" si="0"/>
        <v>1886.4537928949478</v>
      </c>
      <c r="E17" s="11">
        <f t="shared" si="1"/>
        <v>238457.88236432354</v>
      </c>
      <c r="F17" s="11">
        <f t="shared" si="6"/>
        <v>571.42857142857144</v>
      </c>
      <c r="G17" s="11">
        <f t="shared" si="2"/>
        <v>2457.8823643235191</v>
      </c>
      <c r="H17" s="11">
        <f t="shared" si="3"/>
        <v>236000.00000000003</v>
      </c>
      <c r="I17" s="13"/>
      <c r="J17" s="13"/>
      <c r="K17" s="13"/>
      <c r="L17" s="13"/>
      <c r="M17" s="13"/>
      <c r="N17" s="13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/>
      <c r="B18" s="38">
        <f t="shared" si="4"/>
        <v>8</v>
      </c>
      <c r="C18" s="11">
        <f t="shared" si="5"/>
        <v>236000.00000000003</v>
      </c>
      <c r="D18" s="11">
        <f t="shared" si="0"/>
        <v>1881.8971412212886</v>
      </c>
      <c r="E18" s="11">
        <f t="shared" si="1"/>
        <v>237881.89714122133</v>
      </c>
      <c r="F18" s="11">
        <f t="shared" si="6"/>
        <v>571.42857142857144</v>
      </c>
      <c r="G18" s="11">
        <f t="shared" si="2"/>
        <v>2453.3257126498602</v>
      </c>
      <c r="H18" s="11">
        <f t="shared" si="3"/>
        <v>235428.57142857148</v>
      </c>
      <c r="I18" s="13"/>
      <c r="J18" s="13"/>
      <c r="K18" s="13"/>
      <c r="L18" s="13"/>
      <c r="M18" s="13"/>
      <c r="N18" s="13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/>
      <c r="B19" s="38">
        <f t="shared" si="4"/>
        <v>9</v>
      </c>
      <c r="C19" s="11">
        <f t="shared" si="5"/>
        <v>235428.57142857148</v>
      </c>
      <c r="D19" s="11">
        <f t="shared" si="0"/>
        <v>1877.3404895476294</v>
      </c>
      <c r="E19" s="11">
        <f t="shared" si="1"/>
        <v>237305.91191811912</v>
      </c>
      <c r="F19" s="11">
        <f t="shared" si="6"/>
        <v>571.42857142857144</v>
      </c>
      <c r="G19" s="11">
        <f t="shared" si="2"/>
        <v>2448.7690609762008</v>
      </c>
      <c r="H19" s="11">
        <f t="shared" si="3"/>
        <v>234857.14285714293</v>
      </c>
      <c r="I19" s="13"/>
      <c r="J19" s="13"/>
      <c r="K19" s="13"/>
      <c r="L19" s="13"/>
      <c r="M19" s="13"/>
      <c r="N19" s="13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/>
      <c r="B20" s="38">
        <f t="shared" si="4"/>
        <v>10</v>
      </c>
      <c r="C20" s="11">
        <f t="shared" si="5"/>
        <v>234857.14285714293</v>
      </c>
      <c r="D20" s="11">
        <f t="shared" si="0"/>
        <v>1872.7838378739702</v>
      </c>
      <c r="E20" s="11">
        <f t="shared" si="1"/>
        <v>236729.92669501691</v>
      </c>
      <c r="F20" s="11">
        <f t="shared" si="6"/>
        <v>571.42857142857144</v>
      </c>
      <c r="G20" s="11">
        <f t="shared" si="2"/>
        <v>2444.2124093025418</v>
      </c>
      <c r="H20" s="11">
        <f t="shared" si="3"/>
        <v>234285.71428571438</v>
      </c>
      <c r="I20" s="13"/>
      <c r="J20" s="13"/>
      <c r="K20" s="13"/>
      <c r="L20" s="13"/>
      <c r="M20" s="13"/>
      <c r="N20" s="13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/>
      <c r="B21" s="38">
        <f t="shared" si="4"/>
        <v>11</v>
      </c>
      <c r="C21" s="11">
        <f t="shared" si="5"/>
        <v>234285.71428571438</v>
      </c>
      <c r="D21" s="11">
        <f t="shared" si="0"/>
        <v>1868.2271862003113</v>
      </c>
      <c r="E21" s="11">
        <f t="shared" si="1"/>
        <v>236153.9414719147</v>
      </c>
      <c r="F21" s="11">
        <f t="shared" si="6"/>
        <v>571.42857142857144</v>
      </c>
      <c r="G21" s="11">
        <f t="shared" si="2"/>
        <v>2439.6557576288828</v>
      </c>
      <c r="H21" s="11">
        <f t="shared" si="3"/>
        <v>233714.28571428583</v>
      </c>
      <c r="I21" s="14"/>
      <c r="J21" s="13"/>
      <c r="K21" s="13"/>
      <c r="L21" s="13"/>
      <c r="M21" s="13"/>
      <c r="N21" s="13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/>
      <c r="B22" s="38">
        <f t="shared" si="4"/>
        <v>12</v>
      </c>
      <c r="C22" s="11">
        <f t="shared" si="5"/>
        <v>233714.28571428583</v>
      </c>
      <c r="D22" s="11">
        <f t="shared" si="0"/>
        <v>1863.6705345266521</v>
      </c>
      <c r="E22" s="11">
        <f t="shared" si="1"/>
        <v>235577.95624881246</v>
      </c>
      <c r="F22" s="11">
        <f t="shared" si="6"/>
        <v>571.42857142857144</v>
      </c>
      <c r="G22" s="11">
        <f t="shared" si="2"/>
        <v>2435.0991059552234</v>
      </c>
      <c r="H22" s="11">
        <f t="shared" si="3"/>
        <v>233142.85714285725</v>
      </c>
      <c r="I22" s="14"/>
      <c r="J22" s="13"/>
      <c r="K22" s="13"/>
      <c r="L22" s="13"/>
      <c r="M22" s="13"/>
      <c r="N22" s="1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/>
      <c r="B23" s="38">
        <f t="shared" si="4"/>
        <v>13</v>
      </c>
      <c r="C23" s="11">
        <f t="shared" si="5"/>
        <v>233142.85714285725</v>
      </c>
      <c r="D23" s="11">
        <f t="shared" si="0"/>
        <v>1859.1138828529927</v>
      </c>
      <c r="E23" s="11">
        <f t="shared" si="1"/>
        <v>235001.97102571023</v>
      </c>
      <c r="F23" s="11">
        <f t="shared" si="6"/>
        <v>571.42857142857144</v>
      </c>
      <c r="G23" s="11">
        <f t="shared" si="2"/>
        <v>2430.542454281564</v>
      </c>
      <c r="H23" s="11">
        <f t="shared" si="3"/>
        <v>232571.42857142867</v>
      </c>
      <c r="I23" s="24"/>
      <c r="J23" s="13"/>
      <c r="K23" s="13"/>
      <c r="L23" s="13"/>
      <c r="M23" s="13"/>
      <c r="N23" s="1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75" customHeight="1">
      <c r="A24" s="37"/>
      <c r="B24" s="38">
        <f t="shared" si="4"/>
        <v>14</v>
      </c>
      <c r="C24" s="11">
        <f t="shared" si="5"/>
        <v>232571.42857142867</v>
      </c>
      <c r="D24" s="11">
        <f t="shared" si="0"/>
        <v>1854.5572311793335</v>
      </c>
      <c r="E24" s="11">
        <f t="shared" si="1"/>
        <v>234425.98580260799</v>
      </c>
      <c r="F24" s="11">
        <f t="shared" si="6"/>
        <v>571.42857142857144</v>
      </c>
      <c r="G24" s="11">
        <f t="shared" si="2"/>
        <v>2425.985802607905</v>
      </c>
      <c r="H24" s="11">
        <f t="shared" si="3"/>
        <v>232000.00000000009</v>
      </c>
      <c r="I24" s="13"/>
      <c r="J24" s="13"/>
      <c r="K24" s="13"/>
      <c r="L24" s="13"/>
      <c r="M24" s="13"/>
      <c r="N24" s="1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75" customHeight="1">
      <c r="A25" s="37"/>
      <c r="B25" s="38">
        <f t="shared" si="4"/>
        <v>15</v>
      </c>
      <c r="C25" s="11">
        <f t="shared" si="5"/>
        <v>232000.00000000009</v>
      </c>
      <c r="D25" s="11">
        <f t="shared" si="0"/>
        <v>1850.0005795056741</v>
      </c>
      <c r="E25" s="11">
        <f t="shared" si="1"/>
        <v>233850.00057950575</v>
      </c>
      <c r="F25" s="11">
        <f t="shared" si="6"/>
        <v>571.42857142857144</v>
      </c>
      <c r="G25" s="11">
        <f t="shared" si="2"/>
        <v>2421.4291509342456</v>
      </c>
      <c r="H25" s="11">
        <f t="shared" si="3"/>
        <v>231428.57142857151</v>
      </c>
      <c r="I25" s="13"/>
      <c r="J25" s="13"/>
      <c r="K25" s="13"/>
      <c r="L25" s="13"/>
      <c r="M25" s="13"/>
      <c r="N25" s="1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>
      <c r="A26" s="37"/>
      <c r="B26" s="38">
        <f t="shared" si="4"/>
        <v>16</v>
      </c>
      <c r="C26" s="11">
        <f t="shared" si="5"/>
        <v>231428.57142857151</v>
      </c>
      <c r="D26" s="11">
        <f t="shared" si="0"/>
        <v>1845.4439278320147</v>
      </c>
      <c r="E26" s="11">
        <f t="shared" si="1"/>
        <v>233274.01535640351</v>
      </c>
      <c r="F26" s="11">
        <f t="shared" si="6"/>
        <v>571.42857142857144</v>
      </c>
      <c r="G26" s="11">
        <f t="shared" si="2"/>
        <v>2416.8724992605862</v>
      </c>
      <c r="H26" s="11">
        <f t="shared" si="3"/>
        <v>230857.14285714293</v>
      </c>
      <c r="I26" s="13"/>
      <c r="J26" s="13"/>
      <c r="K26" s="13"/>
      <c r="L26" s="13"/>
      <c r="M26" s="13"/>
      <c r="N26" s="13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>
      <c r="A27" s="37"/>
      <c r="B27" s="38">
        <f t="shared" si="4"/>
        <v>17</v>
      </c>
      <c r="C27" s="11">
        <f t="shared" si="5"/>
        <v>230857.14285714293</v>
      </c>
      <c r="D27" s="11">
        <f t="shared" si="0"/>
        <v>1840.8872761583552</v>
      </c>
      <c r="E27" s="11">
        <f t="shared" si="1"/>
        <v>232698.03013330128</v>
      </c>
      <c r="F27" s="11">
        <f t="shared" si="6"/>
        <v>571.42857142857144</v>
      </c>
      <c r="G27" s="11">
        <f t="shared" si="2"/>
        <v>2412.3158475869268</v>
      </c>
      <c r="H27" s="11">
        <f t="shared" si="3"/>
        <v>230285.71428571435</v>
      </c>
      <c r="I27" s="13"/>
      <c r="J27" s="13"/>
      <c r="K27" s="13"/>
      <c r="L27" s="13"/>
      <c r="M27" s="13"/>
      <c r="N27" s="13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75" customHeight="1">
      <c r="A28" s="37"/>
      <c r="B28" s="38">
        <f t="shared" si="4"/>
        <v>18</v>
      </c>
      <c r="C28" s="11">
        <f t="shared" si="5"/>
        <v>230285.71428571435</v>
      </c>
      <c r="D28" s="11">
        <f t="shared" si="0"/>
        <v>1836.3306244846958</v>
      </c>
      <c r="E28" s="11">
        <f t="shared" si="1"/>
        <v>232122.04491019904</v>
      </c>
      <c r="F28" s="11">
        <f t="shared" si="6"/>
        <v>571.42857142857144</v>
      </c>
      <c r="G28" s="11">
        <f t="shared" si="2"/>
        <v>2407.7591959132674</v>
      </c>
      <c r="H28" s="11">
        <f t="shared" si="3"/>
        <v>229714.28571428577</v>
      </c>
      <c r="I28" s="13"/>
      <c r="J28" s="13"/>
      <c r="K28" s="13"/>
      <c r="L28" s="13"/>
      <c r="M28" s="13"/>
      <c r="N28" s="13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>
      <c r="A29" s="37"/>
      <c r="B29" s="38">
        <f t="shared" si="4"/>
        <v>19</v>
      </c>
      <c r="C29" s="11">
        <f t="shared" si="5"/>
        <v>229714.28571428577</v>
      </c>
      <c r="D29" s="11">
        <f t="shared" si="0"/>
        <v>1831.7739728110366</v>
      </c>
      <c r="E29" s="11">
        <f t="shared" si="1"/>
        <v>231546.0596870968</v>
      </c>
      <c r="F29" s="11">
        <f t="shared" si="6"/>
        <v>571.42857142857144</v>
      </c>
      <c r="G29" s="11">
        <f t="shared" si="2"/>
        <v>2403.202544239608</v>
      </c>
      <c r="H29" s="11">
        <f t="shared" si="3"/>
        <v>229142.85714285719</v>
      </c>
      <c r="I29" s="13"/>
      <c r="J29" s="13"/>
      <c r="K29" s="13"/>
      <c r="L29" s="13"/>
      <c r="M29" s="13"/>
      <c r="N29" s="13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75" customHeight="1">
      <c r="A30" s="37"/>
      <c r="B30" s="38">
        <f t="shared" si="4"/>
        <v>20</v>
      </c>
      <c r="C30" s="11">
        <f t="shared" si="5"/>
        <v>229142.85714285719</v>
      </c>
      <c r="D30" s="11">
        <f t="shared" si="0"/>
        <v>1827.2173211373772</v>
      </c>
      <c r="E30" s="11">
        <f t="shared" si="1"/>
        <v>230970.07446399456</v>
      </c>
      <c r="F30" s="11">
        <f t="shared" si="6"/>
        <v>571.42857142857144</v>
      </c>
      <c r="G30" s="11">
        <f t="shared" si="2"/>
        <v>2398.6458925659485</v>
      </c>
      <c r="H30" s="11">
        <f t="shared" si="3"/>
        <v>228571.42857142861</v>
      </c>
      <c r="I30" s="13"/>
      <c r="J30" s="13"/>
      <c r="K30" s="13"/>
      <c r="L30" s="13"/>
      <c r="M30" s="13"/>
      <c r="N30" s="13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75" customHeight="1">
      <c r="A31" s="37"/>
      <c r="B31" s="38">
        <f t="shared" si="4"/>
        <v>21</v>
      </c>
      <c r="C31" s="11">
        <f t="shared" si="5"/>
        <v>228571.42857142861</v>
      </c>
      <c r="D31" s="11">
        <f t="shared" si="0"/>
        <v>1822.6606694637178</v>
      </c>
      <c r="E31" s="11">
        <f t="shared" si="1"/>
        <v>230394.08924089232</v>
      </c>
      <c r="F31" s="11">
        <f t="shared" si="6"/>
        <v>571.42857142857144</v>
      </c>
      <c r="G31" s="11">
        <f t="shared" si="2"/>
        <v>2394.0892408922891</v>
      </c>
      <c r="H31" s="11">
        <f t="shared" si="3"/>
        <v>228000.00000000003</v>
      </c>
      <c r="I31" s="13"/>
      <c r="J31" s="13"/>
      <c r="K31" s="13"/>
      <c r="L31" s="13"/>
      <c r="M31" s="13"/>
      <c r="N31" s="13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75" customHeight="1">
      <c r="A32" s="37"/>
      <c r="B32" s="38">
        <f t="shared" si="4"/>
        <v>22</v>
      </c>
      <c r="C32" s="11">
        <f t="shared" si="5"/>
        <v>228000.00000000003</v>
      </c>
      <c r="D32" s="11">
        <f t="shared" si="0"/>
        <v>1818.1040177900584</v>
      </c>
      <c r="E32" s="11">
        <f t="shared" si="1"/>
        <v>229818.10401779009</v>
      </c>
      <c r="F32" s="11">
        <f t="shared" si="6"/>
        <v>571.42857142857144</v>
      </c>
      <c r="G32" s="11">
        <f t="shared" si="2"/>
        <v>2389.5325892186297</v>
      </c>
      <c r="H32" s="11">
        <f t="shared" si="3"/>
        <v>227428.57142857145</v>
      </c>
      <c r="I32" s="13"/>
      <c r="J32" s="13"/>
      <c r="K32" s="13"/>
      <c r="L32" s="13"/>
      <c r="M32" s="13"/>
      <c r="N32" s="13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75" customHeight="1">
      <c r="A33" s="37"/>
      <c r="B33" s="38">
        <f t="shared" si="4"/>
        <v>23</v>
      </c>
      <c r="C33" s="11">
        <f t="shared" si="5"/>
        <v>227428.57142857145</v>
      </c>
      <c r="D33" s="11">
        <f t="shared" si="0"/>
        <v>1813.5473661163992</v>
      </c>
      <c r="E33" s="11">
        <f t="shared" si="1"/>
        <v>229242.11879468785</v>
      </c>
      <c r="F33" s="11">
        <f t="shared" si="6"/>
        <v>571.42857142857144</v>
      </c>
      <c r="G33" s="11">
        <f t="shared" si="2"/>
        <v>2384.9759375449707</v>
      </c>
      <c r="H33" s="11">
        <f t="shared" si="3"/>
        <v>226857.14285714287</v>
      </c>
      <c r="I33" s="13"/>
      <c r="J33" s="13"/>
      <c r="K33" s="13"/>
      <c r="L33" s="13"/>
      <c r="M33" s="13"/>
      <c r="N33" s="13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75" customHeight="1">
      <c r="A34" s="37"/>
      <c r="B34" s="38">
        <f t="shared" si="4"/>
        <v>24</v>
      </c>
      <c r="C34" s="11">
        <f t="shared" si="5"/>
        <v>226857.14285714287</v>
      </c>
      <c r="D34" s="11">
        <f t="shared" si="0"/>
        <v>1808.9907144427398</v>
      </c>
      <c r="E34" s="11">
        <f t="shared" si="1"/>
        <v>228666.13357158561</v>
      </c>
      <c r="F34" s="11">
        <f t="shared" si="6"/>
        <v>571.42857142857144</v>
      </c>
      <c r="G34" s="11">
        <f t="shared" si="2"/>
        <v>2380.4192858713113</v>
      </c>
      <c r="H34" s="11">
        <f t="shared" si="3"/>
        <v>226285.71428571429</v>
      </c>
      <c r="I34" s="13"/>
      <c r="J34" s="13"/>
      <c r="K34" s="13"/>
      <c r="L34" s="13"/>
      <c r="M34" s="13"/>
      <c r="N34" s="13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75" customHeight="1">
      <c r="A35" s="37"/>
      <c r="B35" s="38">
        <f t="shared" si="4"/>
        <v>25</v>
      </c>
      <c r="C35" s="11">
        <f t="shared" si="5"/>
        <v>226285.71428571429</v>
      </c>
      <c r="D35" s="11">
        <f t="shared" si="0"/>
        <v>1804.4340627690804</v>
      </c>
      <c r="E35" s="11">
        <f t="shared" si="1"/>
        <v>228090.14834848337</v>
      </c>
      <c r="F35" s="11">
        <f t="shared" si="6"/>
        <v>571.42857142857144</v>
      </c>
      <c r="G35" s="11">
        <f t="shared" si="2"/>
        <v>2375.8626341976519</v>
      </c>
      <c r="H35" s="11">
        <f t="shared" si="3"/>
        <v>225714.28571428571</v>
      </c>
      <c r="I35" s="13"/>
      <c r="J35" s="13"/>
      <c r="K35" s="13"/>
      <c r="L35" s="13"/>
      <c r="M35" s="13"/>
      <c r="N35" s="13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75" customHeight="1">
      <c r="A36" s="37"/>
      <c r="B36" s="38">
        <f t="shared" si="4"/>
        <v>26</v>
      </c>
      <c r="C36" s="11">
        <f t="shared" si="5"/>
        <v>225714.28571428571</v>
      </c>
      <c r="D36" s="11">
        <f t="shared" si="0"/>
        <v>1799.8774110954209</v>
      </c>
      <c r="E36" s="11">
        <f t="shared" si="1"/>
        <v>227514.16312538114</v>
      </c>
      <c r="F36" s="11">
        <f t="shared" si="6"/>
        <v>571.42857142857144</v>
      </c>
      <c r="G36" s="11">
        <f t="shared" si="2"/>
        <v>2371.3059825239925</v>
      </c>
      <c r="H36" s="11">
        <f t="shared" si="3"/>
        <v>225142.85714285713</v>
      </c>
      <c r="I36" s="13"/>
      <c r="J36" s="13"/>
      <c r="K36" s="13"/>
      <c r="L36" s="13"/>
      <c r="M36" s="13"/>
      <c r="N36" s="13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customHeight="1">
      <c r="A37" s="37"/>
      <c r="B37" s="38">
        <f t="shared" si="4"/>
        <v>27</v>
      </c>
      <c r="C37" s="11">
        <f t="shared" si="5"/>
        <v>225142.85714285713</v>
      </c>
      <c r="D37" s="11">
        <f t="shared" si="0"/>
        <v>1795.3207594217617</v>
      </c>
      <c r="E37" s="11">
        <f t="shared" si="1"/>
        <v>226938.1779022789</v>
      </c>
      <c r="F37" s="11">
        <f t="shared" si="6"/>
        <v>571.42857142857144</v>
      </c>
      <c r="G37" s="11">
        <f t="shared" si="2"/>
        <v>2366.7493308503331</v>
      </c>
      <c r="H37" s="11">
        <f t="shared" si="3"/>
        <v>224571.42857142855</v>
      </c>
      <c r="I37" s="13"/>
      <c r="J37" s="13"/>
      <c r="K37" s="13"/>
      <c r="L37" s="13"/>
      <c r="M37" s="13"/>
      <c r="N37" s="13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75" customHeight="1">
      <c r="A38" s="37"/>
      <c r="B38" s="38">
        <f t="shared" si="4"/>
        <v>28</v>
      </c>
      <c r="C38" s="11">
        <f t="shared" si="5"/>
        <v>224571.42857142855</v>
      </c>
      <c r="D38" s="11">
        <f t="shared" si="0"/>
        <v>1790.7641077481023</v>
      </c>
      <c r="E38" s="11">
        <f t="shared" si="1"/>
        <v>226362.19267917666</v>
      </c>
      <c r="F38" s="11">
        <f t="shared" si="6"/>
        <v>571.42857142857144</v>
      </c>
      <c r="G38" s="11">
        <f t="shared" si="2"/>
        <v>2362.1926791766737</v>
      </c>
      <c r="H38" s="11">
        <f t="shared" si="3"/>
        <v>224000</v>
      </c>
      <c r="I38" s="13"/>
      <c r="J38" s="13"/>
      <c r="K38" s="13"/>
      <c r="L38" s="13"/>
      <c r="M38" s="13"/>
      <c r="N38" s="13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75" customHeight="1">
      <c r="A39" s="37"/>
      <c r="B39" s="38">
        <f t="shared" si="4"/>
        <v>29</v>
      </c>
      <c r="C39" s="11">
        <f t="shared" si="5"/>
        <v>224000</v>
      </c>
      <c r="D39" s="11">
        <f t="shared" si="0"/>
        <v>1786.2074560744431</v>
      </c>
      <c r="E39" s="11">
        <f t="shared" si="1"/>
        <v>225786.20745607445</v>
      </c>
      <c r="F39" s="11">
        <f t="shared" si="6"/>
        <v>571.42857142857144</v>
      </c>
      <c r="G39" s="11">
        <f t="shared" si="2"/>
        <v>2357.6360275030147</v>
      </c>
      <c r="H39" s="11">
        <f t="shared" si="3"/>
        <v>223428.57142857145</v>
      </c>
      <c r="I39" s="13"/>
      <c r="J39" s="13"/>
      <c r="K39" s="13"/>
      <c r="L39" s="13"/>
      <c r="M39" s="13"/>
      <c r="N39" s="13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75" customHeight="1">
      <c r="A40" s="37"/>
      <c r="B40" s="38">
        <f t="shared" si="4"/>
        <v>30</v>
      </c>
      <c r="C40" s="11">
        <f t="shared" si="5"/>
        <v>223428.57142857145</v>
      </c>
      <c r="D40" s="11">
        <f t="shared" si="0"/>
        <v>1781.6508044007842</v>
      </c>
      <c r="E40" s="11">
        <f t="shared" si="1"/>
        <v>225210.22223297224</v>
      </c>
      <c r="F40" s="11">
        <f t="shared" si="6"/>
        <v>571.42857142857144</v>
      </c>
      <c r="G40" s="11">
        <f t="shared" si="2"/>
        <v>2353.0793758293557</v>
      </c>
      <c r="H40" s="11">
        <f t="shared" si="3"/>
        <v>222857.1428571429</v>
      </c>
      <c r="I40" s="13"/>
      <c r="J40" s="13"/>
      <c r="K40" s="13"/>
      <c r="L40" s="13"/>
      <c r="M40" s="13"/>
      <c r="N40" s="13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75" customHeight="1">
      <c r="A41" s="37"/>
      <c r="B41" s="38">
        <f t="shared" si="4"/>
        <v>31</v>
      </c>
      <c r="C41" s="11">
        <f t="shared" si="5"/>
        <v>222857.1428571429</v>
      </c>
      <c r="D41" s="11">
        <f t="shared" si="0"/>
        <v>1777.094152727125</v>
      </c>
      <c r="E41" s="11">
        <f t="shared" si="1"/>
        <v>224634.23700987003</v>
      </c>
      <c r="F41" s="11">
        <f t="shared" si="6"/>
        <v>571.42857142857144</v>
      </c>
      <c r="G41" s="11">
        <f t="shared" si="2"/>
        <v>2348.5227241556963</v>
      </c>
      <c r="H41" s="11">
        <f t="shared" si="3"/>
        <v>222285.71428571435</v>
      </c>
      <c r="I41" s="13"/>
      <c r="J41" s="13"/>
      <c r="K41" s="13"/>
      <c r="L41" s="13"/>
      <c r="M41" s="13"/>
      <c r="N41" s="13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75" customHeight="1">
      <c r="A42" s="37"/>
      <c r="B42" s="38">
        <f t="shared" si="4"/>
        <v>32</v>
      </c>
      <c r="C42" s="11">
        <f t="shared" si="5"/>
        <v>222285.71428571435</v>
      </c>
      <c r="D42" s="11">
        <f t="shared" si="0"/>
        <v>1772.5375010534658</v>
      </c>
      <c r="E42" s="11">
        <f t="shared" si="1"/>
        <v>224058.25178676783</v>
      </c>
      <c r="F42" s="11">
        <f t="shared" si="6"/>
        <v>571.42857142857144</v>
      </c>
      <c r="G42" s="11">
        <f t="shared" si="2"/>
        <v>2343.9660724820374</v>
      </c>
      <c r="H42" s="11">
        <f t="shared" si="3"/>
        <v>221714.2857142858</v>
      </c>
      <c r="I42" s="13"/>
      <c r="J42" s="13"/>
      <c r="K42" s="13"/>
      <c r="L42" s="13"/>
      <c r="M42" s="13"/>
      <c r="N42" s="13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75" customHeight="1">
      <c r="A43" s="37"/>
      <c r="B43" s="38">
        <f t="shared" si="4"/>
        <v>33</v>
      </c>
      <c r="C43" s="11">
        <f t="shared" si="5"/>
        <v>221714.2857142858</v>
      </c>
      <c r="D43" s="11">
        <f t="shared" si="0"/>
        <v>1767.9808493798066</v>
      </c>
      <c r="E43" s="11">
        <f t="shared" si="1"/>
        <v>223482.26656366562</v>
      </c>
      <c r="F43" s="11">
        <f t="shared" si="6"/>
        <v>571.42857142857144</v>
      </c>
      <c r="G43" s="11">
        <f t="shared" si="2"/>
        <v>2339.4094208083779</v>
      </c>
      <c r="H43" s="11">
        <f t="shared" si="3"/>
        <v>221142.85714285725</v>
      </c>
      <c r="I43" s="13"/>
      <c r="J43" s="13"/>
      <c r="K43" s="13"/>
      <c r="L43" s="13"/>
      <c r="M43" s="13"/>
      <c r="N43" s="13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75" customHeight="1">
      <c r="A44" s="37"/>
      <c r="B44" s="38">
        <f t="shared" si="4"/>
        <v>34</v>
      </c>
      <c r="C44" s="11">
        <f t="shared" si="5"/>
        <v>221142.85714285725</v>
      </c>
      <c r="D44" s="11">
        <f t="shared" si="0"/>
        <v>1763.4241977061477</v>
      </c>
      <c r="E44" s="11">
        <f t="shared" si="1"/>
        <v>222906.28134056341</v>
      </c>
      <c r="F44" s="11">
        <f t="shared" si="6"/>
        <v>571.42857142857144</v>
      </c>
      <c r="G44" s="11">
        <f t="shared" si="2"/>
        <v>2334.852769134719</v>
      </c>
      <c r="H44" s="11">
        <f t="shared" si="3"/>
        <v>220571.4285714287</v>
      </c>
      <c r="I44" s="13"/>
      <c r="J44" s="13"/>
      <c r="K44" s="13"/>
      <c r="L44" s="13"/>
      <c r="M44" s="13"/>
      <c r="N44" s="13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>
      <c r="A45" s="37"/>
      <c r="B45" s="38">
        <f t="shared" si="4"/>
        <v>35</v>
      </c>
      <c r="C45" s="11">
        <f t="shared" si="5"/>
        <v>220571.4285714287</v>
      </c>
      <c r="D45" s="11">
        <f t="shared" si="0"/>
        <v>1758.8675460324885</v>
      </c>
      <c r="E45" s="11">
        <f t="shared" si="1"/>
        <v>222330.29611746117</v>
      </c>
      <c r="F45" s="11">
        <f t="shared" si="6"/>
        <v>571.42857142857144</v>
      </c>
      <c r="G45" s="11">
        <f t="shared" si="2"/>
        <v>2330.29611746106</v>
      </c>
      <c r="H45" s="11">
        <f t="shared" si="3"/>
        <v>220000.00000000012</v>
      </c>
      <c r="I45" s="13"/>
      <c r="J45" s="13"/>
      <c r="K45" s="13"/>
      <c r="L45" s="13"/>
      <c r="M45" s="13"/>
      <c r="N45" s="13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75" customHeight="1">
      <c r="A46" s="37"/>
      <c r="B46" s="38">
        <f t="shared" si="4"/>
        <v>36</v>
      </c>
      <c r="C46" s="11">
        <f t="shared" si="5"/>
        <v>220000.00000000012</v>
      </c>
      <c r="D46" s="11">
        <f t="shared" si="0"/>
        <v>1754.310894358829</v>
      </c>
      <c r="E46" s="11">
        <f t="shared" si="1"/>
        <v>221754.31089435893</v>
      </c>
      <c r="F46" s="11">
        <f t="shared" si="6"/>
        <v>571.42857142857144</v>
      </c>
      <c r="G46" s="11">
        <f t="shared" si="2"/>
        <v>2325.7394657874006</v>
      </c>
      <c r="H46" s="11">
        <f t="shared" si="3"/>
        <v>219428.57142857154</v>
      </c>
      <c r="I46" s="13"/>
      <c r="J46" s="13"/>
      <c r="K46" s="13"/>
      <c r="L46" s="13"/>
      <c r="M46" s="13"/>
      <c r="N46" s="13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>
      <c r="A47" s="37"/>
      <c r="B47" s="38">
        <f t="shared" si="4"/>
        <v>37</v>
      </c>
      <c r="C47" s="11">
        <f t="shared" si="5"/>
        <v>219428.57142857154</v>
      </c>
      <c r="D47" s="11">
        <f t="shared" si="0"/>
        <v>1749.7542426851696</v>
      </c>
      <c r="E47" s="11">
        <f t="shared" si="1"/>
        <v>221178.32567125669</v>
      </c>
      <c r="F47" s="11">
        <f t="shared" si="6"/>
        <v>571.42857142857144</v>
      </c>
      <c r="G47" s="11">
        <f t="shared" si="2"/>
        <v>2321.1828141137412</v>
      </c>
      <c r="H47" s="11">
        <f t="shared" si="3"/>
        <v>218857.14285714296</v>
      </c>
      <c r="I47" s="13"/>
      <c r="J47" s="13"/>
      <c r="K47" s="13"/>
      <c r="L47" s="13"/>
      <c r="M47" s="13"/>
      <c r="N47" s="13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>
      <c r="A48" s="37"/>
      <c r="B48" s="38">
        <f t="shared" si="4"/>
        <v>38</v>
      </c>
      <c r="C48" s="11">
        <f t="shared" si="5"/>
        <v>218857.14285714296</v>
      </c>
      <c r="D48" s="11">
        <f t="shared" si="0"/>
        <v>1745.1975910115104</v>
      </c>
      <c r="E48" s="11">
        <f t="shared" si="1"/>
        <v>220602.34044815446</v>
      </c>
      <c r="F48" s="11">
        <f t="shared" si="6"/>
        <v>571.42857142857144</v>
      </c>
      <c r="G48" s="11">
        <f t="shared" si="2"/>
        <v>2316.6261624400818</v>
      </c>
      <c r="H48" s="11">
        <f t="shared" si="3"/>
        <v>218285.71428571438</v>
      </c>
      <c r="I48" s="13"/>
      <c r="J48" s="13"/>
      <c r="K48" s="13"/>
      <c r="L48" s="13"/>
      <c r="M48" s="13"/>
      <c r="N48" s="13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75" customHeight="1">
      <c r="A49" s="37"/>
      <c r="B49" s="38">
        <f t="shared" si="4"/>
        <v>39</v>
      </c>
      <c r="C49" s="11">
        <f t="shared" si="5"/>
        <v>218285.71428571438</v>
      </c>
      <c r="D49" s="11">
        <f t="shared" si="0"/>
        <v>1740.640939337851</v>
      </c>
      <c r="E49" s="11">
        <f t="shared" si="1"/>
        <v>220026.35522505222</v>
      </c>
      <c r="F49" s="11">
        <f t="shared" si="6"/>
        <v>571.42857142857144</v>
      </c>
      <c r="G49" s="11">
        <f t="shared" si="2"/>
        <v>2312.0695107664224</v>
      </c>
      <c r="H49" s="11">
        <f t="shared" si="3"/>
        <v>217714.2857142858</v>
      </c>
      <c r="I49" s="13"/>
      <c r="J49" s="13"/>
      <c r="K49" s="13"/>
      <c r="L49" s="13"/>
      <c r="M49" s="13"/>
      <c r="N49" s="13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75" customHeight="1">
      <c r="A50" s="37"/>
      <c r="B50" s="38">
        <f t="shared" si="4"/>
        <v>40</v>
      </c>
      <c r="C50" s="11">
        <f t="shared" si="5"/>
        <v>217714.2857142858</v>
      </c>
      <c r="D50" s="11">
        <f t="shared" si="0"/>
        <v>1736.0842876641916</v>
      </c>
      <c r="E50" s="11">
        <f t="shared" si="1"/>
        <v>219450.37000194998</v>
      </c>
      <c r="F50" s="11">
        <f t="shared" si="6"/>
        <v>571.42857142857144</v>
      </c>
      <c r="G50" s="11">
        <f t="shared" si="2"/>
        <v>2307.5128590927629</v>
      </c>
      <c r="H50" s="11">
        <f t="shared" si="3"/>
        <v>217142.85714285722</v>
      </c>
      <c r="I50" s="13"/>
      <c r="J50" s="13"/>
      <c r="K50" s="13"/>
      <c r="L50" s="13"/>
      <c r="M50" s="13"/>
      <c r="N50" s="13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75" customHeight="1">
      <c r="A51" s="37"/>
      <c r="B51" s="38">
        <f t="shared" si="4"/>
        <v>41</v>
      </c>
      <c r="C51" s="11">
        <f t="shared" si="5"/>
        <v>217142.85714285722</v>
      </c>
      <c r="D51" s="11">
        <f t="shared" si="0"/>
        <v>1731.5276359905322</v>
      </c>
      <c r="E51" s="11">
        <f t="shared" si="1"/>
        <v>218874.38477884774</v>
      </c>
      <c r="F51" s="11">
        <f t="shared" si="6"/>
        <v>571.42857142857144</v>
      </c>
      <c r="G51" s="11">
        <f t="shared" si="2"/>
        <v>2302.9562074191035</v>
      </c>
      <c r="H51" s="11">
        <f t="shared" si="3"/>
        <v>216571.42857142864</v>
      </c>
      <c r="I51" s="13"/>
      <c r="J51" s="13"/>
      <c r="K51" s="13"/>
      <c r="L51" s="13"/>
      <c r="M51" s="13"/>
      <c r="N51" s="13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75" customHeight="1">
      <c r="A52" s="37"/>
      <c r="B52" s="38">
        <f t="shared" si="4"/>
        <v>42</v>
      </c>
      <c r="C52" s="11">
        <f t="shared" si="5"/>
        <v>216571.42857142864</v>
      </c>
      <c r="D52" s="11">
        <f t="shared" si="0"/>
        <v>1726.970984316873</v>
      </c>
      <c r="E52" s="11">
        <f t="shared" si="1"/>
        <v>218298.39955574551</v>
      </c>
      <c r="F52" s="11">
        <f t="shared" si="6"/>
        <v>571.42857142857144</v>
      </c>
      <c r="G52" s="11">
        <f t="shared" si="2"/>
        <v>2298.3995557454446</v>
      </c>
      <c r="H52" s="11">
        <f t="shared" si="3"/>
        <v>216000.00000000006</v>
      </c>
      <c r="I52" s="13"/>
      <c r="J52" s="13"/>
      <c r="K52" s="13"/>
      <c r="L52" s="13"/>
      <c r="M52" s="13"/>
      <c r="N52" s="13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75" customHeight="1">
      <c r="A53" s="37"/>
      <c r="B53" s="38">
        <f t="shared" si="4"/>
        <v>43</v>
      </c>
      <c r="C53" s="11">
        <f t="shared" si="5"/>
        <v>216000.00000000006</v>
      </c>
      <c r="D53" s="11">
        <f t="shared" si="0"/>
        <v>1722.4143326432136</v>
      </c>
      <c r="E53" s="11">
        <f t="shared" si="1"/>
        <v>217722.41433264327</v>
      </c>
      <c r="F53" s="11">
        <f t="shared" si="6"/>
        <v>571.42857142857144</v>
      </c>
      <c r="G53" s="11">
        <f t="shared" si="2"/>
        <v>2293.8429040717851</v>
      </c>
      <c r="H53" s="11">
        <f t="shared" si="3"/>
        <v>215428.57142857148</v>
      </c>
      <c r="I53" s="13"/>
      <c r="J53" s="13"/>
      <c r="K53" s="13"/>
      <c r="L53" s="13"/>
      <c r="M53" s="13"/>
      <c r="N53" s="13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75" customHeight="1">
      <c r="A54" s="37"/>
      <c r="B54" s="38">
        <f t="shared" si="4"/>
        <v>44</v>
      </c>
      <c r="C54" s="11">
        <f t="shared" si="5"/>
        <v>215428.57142857148</v>
      </c>
      <c r="D54" s="11">
        <f t="shared" si="0"/>
        <v>1717.8576809695542</v>
      </c>
      <c r="E54" s="11">
        <f t="shared" si="1"/>
        <v>217146.42910954103</v>
      </c>
      <c r="F54" s="11">
        <f t="shared" si="6"/>
        <v>571.42857142857144</v>
      </c>
      <c r="G54" s="11">
        <f t="shared" si="2"/>
        <v>2289.2862523981257</v>
      </c>
      <c r="H54" s="11">
        <f t="shared" si="3"/>
        <v>214857.1428571429</v>
      </c>
      <c r="I54" s="13"/>
      <c r="J54" s="13"/>
      <c r="K54" s="13"/>
      <c r="L54" s="13"/>
      <c r="M54" s="13"/>
      <c r="N54" s="13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75" customHeight="1">
      <c r="A55" s="37"/>
      <c r="B55" s="38">
        <f t="shared" si="4"/>
        <v>45</v>
      </c>
      <c r="C55" s="11">
        <f t="shared" si="5"/>
        <v>214857.1428571429</v>
      </c>
      <c r="D55" s="11">
        <f t="shared" si="0"/>
        <v>1713.3010292958948</v>
      </c>
      <c r="E55" s="11">
        <f t="shared" si="1"/>
        <v>216570.44388643879</v>
      </c>
      <c r="F55" s="11">
        <f t="shared" si="6"/>
        <v>571.42857142857144</v>
      </c>
      <c r="G55" s="11">
        <f t="shared" si="2"/>
        <v>2284.7296007244663</v>
      </c>
      <c r="H55" s="11">
        <f t="shared" si="3"/>
        <v>214285.71428571432</v>
      </c>
      <c r="I55" s="13"/>
      <c r="J55" s="13"/>
      <c r="K55" s="13"/>
      <c r="L55" s="13"/>
      <c r="M55" s="13"/>
      <c r="N55" s="13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75" customHeight="1">
      <c r="A56" s="37"/>
      <c r="B56" s="38">
        <f t="shared" si="4"/>
        <v>46</v>
      </c>
      <c r="C56" s="11">
        <f t="shared" si="5"/>
        <v>214285.71428571432</v>
      </c>
      <c r="D56" s="11">
        <f t="shared" si="0"/>
        <v>1708.7443776222356</v>
      </c>
      <c r="E56" s="11">
        <f t="shared" si="1"/>
        <v>215994.45866333655</v>
      </c>
      <c r="F56" s="11">
        <f t="shared" si="6"/>
        <v>571.42857142857144</v>
      </c>
      <c r="G56" s="11">
        <f t="shared" si="2"/>
        <v>2280.1729490508069</v>
      </c>
      <c r="H56" s="11">
        <f t="shared" si="3"/>
        <v>213714.28571428574</v>
      </c>
      <c r="I56" s="13"/>
      <c r="J56" s="13"/>
      <c r="K56" s="13"/>
      <c r="L56" s="13"/>
      <c r="M56" s="13"/>
      <c r="N56" s="13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75" customHeight="1">
      <c r="A57" s="37"/>
      <c r="B57" s="38">
        <f t="shared" si="4"/>
        <v>47</v>
      </c>
      <c r="C57" s="11">
        <f t="shared" si="5"/>
        <v>213714.28571428574</v>
      </c>
      <c r="D57" s="11">
        <f t="shared" si="0"/>
        <v>1704.1877259485761</v>
      </c>
      <c r="E57" s="11">
        <f t="shared" si="1"/>
        <v>215418.47344023432</v>
      </c>
      <c r="F57" s="11">
        <f t="shared" si="6"/>
        <v>571.42857142857144</v>
      </c>
      <c r="G57" s="11">
        <f t="shared" si="2"/>
        <v>2275.6162973771475</v>
      </c>
      <c r="H57" s="11">
        <f t="shared" si="3"/>
        <v>213142.85714285716</v>
      </c>
      <c r="I57" s="13"/>
      <c r="J57" s="13"/>
      <c r="K57" s="13"/>
      <c r="L57" s="13"/>
      <c r="M57" s="13"/>
      <c r="N57" s="13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75" customHeight="1">
      <c r="A58" s="37"/>
      <c r="B58" s="38">
        <f t="shared" si="4"/>
        <v>48</v>
      </c>
      <c r="C58" s="11">
        <f t="shared" si="5"/>
        <v>213142.85714285716</v>
      </c>
      <c r="D58" s="11">
        <f t="shared" si="0"/>
        <v>1699.6310742749167</v>
      </c>
      <c r="E58" s="11">
        <f t="shared" si="1"/>
        <v>214842.48821713208</v>
      </c>
      <c r="F58" s="11">
        <f t="shared" si="6"/>
        <v>571.42857142857144</v>
      </c>
      <c r="G58" s="11">
        <f t="shared" si="2"/>
        <v>2271.0596457034881</v>
      </c>
      <c r="H58" s="11">
        <f t="shared" si="3"/>
        <v>212571.42857142858</v>
      </c>
      <c r="I58" s="13"/>
      <c r="J58" s="13"/>
      <c r="K58" s="13"/>
      <c r="L58" s="13"/>
      <c r="M58" s="13"/>
      <c r="N58" s="13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75" customHeight="1">
      <c r="A59" s="37"/>
      <c r="B59" s="38">
        <f t="shared" si="4"/>
        <v>49</v>
      </c>
      <c r="C59" s="11">
        <f t="shared" si="5"/>
        <v>212571.42857142858</v>
      </c>
      <c r="D59" s="11">
        <f t="shared" si="0"/>
        <v>1695.0744226012573</v>
      </c>
      <c r="E59" s="11">
        <f t="shared" si="1"/>
        <v>214266.50299402984</v>
      </c>
      <c r="F59" s="11">
        <f t="shared" si="6"/>
        <v>571.42857142857144</v>
      </c>
      <c r="G59" s="11">
        <f t="shared" si="2"/>
        <v>2266.5029940298286</v>
      </c>
      <c r="H59" s="11">
        <f t="shared" si="3"/>
        <v>212000</v>
      </c>
      <c r="I59" s="13"/>
      <c r="J59" s="13"/>
      <c r="K59" s="13"/>
      <c r="L59" s="13"/>
      <c r="M59" s="13"/>
      <c r="N59" s="13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75" customHeight="1">
      <c r="A60" s="37"/>
      <c r="B60" s="38">
        <f t="shared" si="4"/>
        <v>50</v>
      </c>
      <c r="C60" s="11">
        <f t="shared" si="5"/>
        <v>212000</v>
      </c>
      <c r="D60" s="11">
        <f t="shared" si="0"/>
        <v>1690.5177709275981</v>
      </c>
      <c r="E60" s="11">
        <f t="shared" si="1"/>
        <v>213690.5177709276</v>
      </c>
      <c r="F60" s="11">
        <f t="shared" si="6"/>
        <v>571.42857142857144</v>
      </c>
      <c r="G60" s="11">
        <f t="shared" si="2"/>
        <v>2261.9463423561697</v>
      </c>
      <c r="H60" s="11">
        <f t="shared" si="3"/>
        <v>211428.57142857142</v>
      </c>
      <c r="I60" s="13"/>
      <c r="J60" s="13"/>
      <c r="K60" s="13"/>
      <c r="L60" s="13"/>
      <c r="M60" s="13"/>
      <c r="N60" s="13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75" customHeight="1">
      <c r="A61" s="37"/>
      <c r="B61" s="38">
        <f t="shared" si="4"/>
        <v>51</v>
      </c>
      <c r="C61" s="11">
        <f t="shared" si="5"/>
        <v>211428.57142857142</v>
      </c>
      <c r="D61" s="11">
        <f t="shared" si="0"/>
        <v>1685.9611192539387</v>
      </c>
      <c r="E61" s="11">
        <f t="shared" si="1"/>
        <v>213114.53254782537</v>
      </c>
      <c r="F61" s="11">
        <f t="shared" si="6"/>
        <v>571.42857142857144</v>
      </c>
      <c r="G61" s="11">
        <f t="shared" si="2"/>
        <v>2257.3896906825103</v>
      </c>
      <c r="H61" s="11">
        <f t="shared" si="3"/>
        <v>210857.14285714284</v>
      </c>
      <c r="I61" s="13"/>
      <c r="J61" s="13"/>
      <c r="K61" s="13"/>
      <c r="L61" s="13"/>
      <c r="M61" s="13"/>
      <c r="N61" s="13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75" customHeight="1">
      <c r="A62" s="37"/>
      <c r="B62" s="38">
        <f t="shared" si="4"/>
        <v>52</v>
      </c>
      <c r="C62" s="11">
        <f t="shared" si="5"/>
        <v>210857.14285714284</v>
      </c>
      <c r="D62" s="11">
        <f t="shared" si="0"/>
        <v>1681.4044675802793</v>
      </c>
      <c r="E62" s="11">
        <f t="shared" si="1"/>
        <v>212538.54732472313</v>
      </c>
      <c r="F62" s="11">
        <f t="shared" si="6"/>
        <v>571.42857142857144</v>
      </c>
      <c r="G62" s="11">
        <f t="shared" si="2"/>
        <v>2252.8330390088508</v>
      </c>
      <c r="H62" s="11">
        <f t="shared" si="3"/>
        <v>210285.71428571429</v>
      </c>
      <c r="I62" s="13"/>
      <c r="J62" s="13"/>
      <c r="K62" s="13"/>
      <c r="L62" s="13"/>
      <c r="M62" s="13"/>
      <c r="N62" s="13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75" customHeight="1">
      <c r="A63" s="37"/>
      <c r="B63" s="38">
        <f t="shared" si="4"/>
        <v>53</v>
      </c>
      <c r="C63" s="11">
        <f t="shared" si="5"/>
        <v>210285.71428571429</v>
      </c>
      <c r="D63" s="11">
        <f t="shared" si="0"/>
        <v>1676.8478159066201</v>
      </c>
      <c r="E63" s="11">
        <f t="shared" si="1"/>
        <v>211962.56210162092</v>
      </c>
      <c r="F63" s="11">
        <f t="shared" si="6"/>
        <v>571.42857142857144</v>
      </c>
      <c r="G63" s="11">
        <f t="shared" si="2"/>
        <v>2248.2763873351914</v>
      </c>
      <c r="H63" s="11">
        <f t="shared" si="3"/>
        <v>209714.28571428574</v>
      </c>
      <c r="I63" s="13"/>
      <c r="J63" s="13"/>
      <c r="K63" s="13"/>
      <c r="L63" s="13"/>
      <c r="M63" s="13"/>
      <c r="N63" s="13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75" customHeight="1">
      <c r="A64" s="37"/>
      <c r="B64" s="38">
        <f t="shared" si="4"/>
        <v>54</v>
      </c>
      <c r="C64" s="11">
        <f t="shared" si="5"/>
        <v>209714.28571428574</v>
      </c>
      <c r="D64" s="11">
        <f t="shared" si="0"/>
        <v>1672.2911642329611</v>
      </c>
      <c r="E64" s="11">
        <f t="shared" si="1"/>
        <v>211386.57687851871</v>
      </c>
      <c r="F64" s="11">
        <f t="shared" si="6"/>
        <v>571.42857142857144</v>
      </c>
      <c r="G64" s="11">
        <f t="shared" si="2"/>
        <v>2243.7197356615325</v>
      </c>
      <c r="H64" s="11">
        <f t="shared" si="3"/>
        <v>209142.85714285719</v>
      </c>
      <c r="I64" s="13"/>
      <c r="J64" s="13"/>
      <c r="K64" s="13"/>
      <c r="L64" s="13"/>
      <c r="M64" s="13"/>
      <c r="N64" s="13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75" customHeight="1">
      <c r="A65" s="37"/>
      <c r="B65" s="38">
        <f t="shared" si="4"/>
        <v>55</v>
      </c>
      <c r="C65" s="11">
        <f t="shared" si="5"/>
        <v>209142.85714285719</v>
      </c>
      <c r="D65" s="11">
        <f t="shared" si="0"/>
        <v>1667.7345125593019</v>
      </c>
      <c r="E65" s="11">
        <f t="shared" si="1"/>
        <v>210810.5916554165</v>
      </c>
      <c r="F65" s="11">
        <f t="shared" si="6"/>
        <v>571.42857142857144</v>
      </c>
      <c r="G65" s="11">
        <f t="shared" si="2"/>
        <v>2239.1630839878735</v>
      </c>
      <c r="H65" s="11">
        <f t="shared" si="3"/>
        <v>208571.42857142864</v>
      </c>
      <c r="I65" s="13"/>
      <c r="J65" s="13"/>
      <c r="K65" s="13"/>
      <c r="L65" s="13"/>
      <c r="M65" s="13"/>
      <c r="N65" s="13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75" customHeight="1">
      <c r="A66" s="37"/>
      <c r="B66" s="38">
        <f t="shared" si="4"/>
        <v>56</v>
      </c>
      <c r="C66" s="11">
        <f t="shared" si="5"/>
        <v>208571.42857142864</v>
      </c>
      <c r="D66" s="11">
        <f t="shared" si="0"/>
        <v>1663.1778608856428</v>
      </c>
      <c r="E66" s="11">
        <f t="shared" si="1"/>
        <v>210234.60643231429</v>
      </c>
      <c r="F66" s="11">
        <f t="shared" si="6"/>
        <v>571.42857142857144</v>
      </c>
      <c r="G66" s="11">
        <f t="shared" si="2"/>
        <v>2234.6064323142141</v>
      </c>
      <c r="H66" s="11">
        <f t="shared" si="3"/>
        <v>208000.00000000009</v>
      </c>
      <c r="I66" s="13"/>
      <c r="J66" s="13"/>
      <c r="K66" s="13"/>
      <c r="L66" s="13"/>
      <c r="M66" s="13"/>
      <c r="N66" s="13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75" customHeight="1">
      <c r="A67" s="37"/>
      <c r="B67" s="38">
        <f t="shared" si="4"/>
        <v>57</v>
      </c>
      <c r="C67" s="11">
        <f t="shared" si="5"/>
        <v>208000.00000000009</v>
      </c>
      <c r="D67" s="11">
        <f t="shared" si="0"/>
        <v>1658.6212092119836</v>
      </c>
      <c r="E67" s="11">
        <f t="shared" si="1"/>
        <v>209658.62120921208</v>
      </c>
      <c r="F67" s="11">
        <f t="shared" si="6"/>
        <v>571.42857142857144</v>
      </c>
      <c r="G67" s="11">
        <f t="shared" si="2"/>
        <v>2230.0497806405551</v>
      </c>
      <c r="H67" s="11">
        <f t="shared" si="3"/>
        <v>207428.57142857154</v>
      </c>
      <c r="I67" s="13"/>
      <c r="J67" s="13"/>
      <c r="K67" s="13"/>
      <c r="L67" s="13"/>
      <c r="M67" s="13"/>
      <c r="N67" s="13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75" customHeight="1">
      <c r="A68" s="37"/>
      <c r="B68" s="38">
        <f t="shared" si="4"/>
        <v>58</v>
      </c>
      <c r="C68" s="11">
        <f t="shared" si="5"/>
        <v>207428.57142857154</v>
      </c>
      <c r="D68" s="11">
        <f t="shared" si="0"/>
        <v>1654.0645575383246</v>
      </c>
      <c r="E68" s="11">
        <f t="shared" si="1"/>
        <v>209082.63598610988</v>
      </c>
      <c r="F68" s="11">
        <f t="shared" si="6"/>
        <v>571.42857142857144</v>
      </c>
      <c r="G68" s="11">
        <f t="shared" si="2"/>
        <v>2225.4931289668962</v>
      </c>
      <c r="H68" s="11">
        <f t="shared" si="3"/>
        <v>206857.14285714299</v>
      </c>
      <c r="I68" s="13"/>
      <c r="J68" s="13"/>
      <c r="K68" s="13"/>
      <c r="L68" s="13"/>
      <c r="M68" s="13"/>
      <c r="N68" s="13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75" customHeight="1">
      <c r="A69" s="37"/>
      <c r="B69" s="38">
        <f t="shared" si="4"/>
        <v>59</v>
      </c>
      <c r="C69" s="11">
        <f t="shared" si="5"/>
        <v>206857.14285714299</v>
      </c>
      <c r="D69" s="11">
        <f t="shared" si="0"/>
        <v>1649.5079058646654</v>
      </c>
      <c r="E69" s="11">
        <f t="shared" si="1"/>
        <v>208506.65076300764</v>
      </c>
      <c r="F69" s="11">
        <f t="shared" si="6"/>
        <v>571.42857142857144</v>
      </c>
      <c r="G69" s="11">
        <f t="shared" si="2"/>
        <v>2220.9364772932367</v>
      </c>
      <c r="H69" s="11">
        <f t="shared" si="3"/>
        <v>206285.71428571441</v>
      </c>
      <c r="I69" s="13"/>
      <c r="J69" s="13"/>
      <c r="K69" s="13"/>
      <c r="L69" s="13"/>
      <c r="M69" s="13"/>
      <c r="N69" s="13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75" customHeight="1">
      <c r="A70" s="37"/>
      <c r="B70" s="38">
        <f t="shared" si="4"/>
        <v>60</v>
      </c>
      <c r="C70" s="11">
        <f t="shared" si="5"/>
        <v>206285.71428571441</v>
      </c>
      <c r="D70" s="11">
        <f t="shared" si="0"/>
        <v>1644.951254191006</v>
      </c>
      <c r="E70" s="11">
        <f t="shared" si="1"/>
        <v>207930.6655399054</v>
      </c>
      <c r="F70" s="11">
        <f t="shared" si="6"/>
        <v>571.42857142857144</v>
      </c>
      <c r="G70" s="11">
        <f t="shared" si="2"/>
        <v>2216.3798256195773</v>
      </c>
      <c r="H70" s="11">
        <f t="shared" si="3"/>
        <v>205714.28571428583</v>
      </c>
      <c r="I70" s="13"/>
      <c r="J70" s="13"/>
      <c r="K70" s="13"/>
      <c r="L70" s="13"/>
      <c r="M70" s="13"/>
      <c r="N70" s="13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75" customHeight="1">
      <c r="A71" s="37"/>
      <c r="B71" s="38">
        <f t="shared" si="4"/>
        <v>61</v>
      </c>
      <c r="C71" s="11">
        <f t="shared" si="5"/>
        <v>205714.28571428583</v>
      </c>
      <c r="D71" s="11">
        <f t="shared" si="0"/>
        <v>1640.3946025173466</v>
      </c>
      <c r="E71" s="11">
        <f t="shared" si="1"/>
        <v>207354.68031680316</v>
      </c>
      <c r="F71" s="11">
        <f t="shared" si="6"/>
        <v>571.42857142857144</v>
      </c>
      <c r="G71" s="11">
        <f t="shared" si="2"/>
        <v>2211.8231739459179</v>
      </c>
      <c r="H71" s="11">
        <f t="shared" si="3"/>
        <v>205142.85714285725</v>
      </c>
      <c r="I71" s="13"/>
      <c r="J71" s="13"/>
      <c r="K71" s="13"/>
      <c r="L71" s="13"/>
      <c r="M71" s="13"/>
      <c r="N71" s="13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75" customHeight="1">
      <c r="A72" s="37"/>
      <c r="B72" s="38">
        <f t="shared" si="4"/>
        <v>62</v>
      </c>
      <c r="C72" s="11">
        <f t="shared" si="5"/>
        <v>205142.85714285725</v>
      </c>
      <c r="D72" s="11">
        <f t="shared" si="0"/>
        <v>1635.8379508436874</v>
      </c>
      <c r="E72" s="11">
        <f t="shared" si="1"/>
        <v>206778.69509370092</v>
      </c>
      <c r="F72" s="11">
        <f t="shared" si="6"/>
        <v>571.42857142857144</v>
      </c>
      <c r="G72" s="11">
        <f t="shared" si="2"/>
        <v>2207.266522272259</v>
      </c>
      <c r="H72" s="11">
        <f t="shared" si="3"/>
        <v>204571.42857142867</v>
      </c>
      <c r="I72" s="13"/>
      <c r="J72" s="13"/>
      <c r="K72" s="13"/>
      <c r="L72" s="13"/>
      <c r="M72" s="13"/>
      <c r="N72" s="13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75" customHeight="1">
      <c r="A73" s="37"/>
      <c r="B73" s="38">
        <f t="shared" si="4"/>
        <v>63</v>
      </c>
      <c r="C73" s="11">
        <f t="shared" si="5"/>
        <v>204571.42857142867</v>
      </c>
      <c r="D73" s="11">
        <f t="shared" si="0"/>
        <v>1631.281299170028</v>
      </c>
      <c r="E73" s="11">
        <f t="shared" si="1"/>
        <v>206202.70987059869</v>
      </c>
      <c r="F73" s="11">
        <f t="shared" si="6"/>
        <v>571.42857142857144</v>
      </c>
      <c r="G73" s="11">
        <f t="shared" si="2"/>
        <v>2202.7098705985995</v>
      </c>
      <c r="H73" s="11">
        <f t="shared" si="3"/>
        <v>204000.00000000009</v>
      </c>
      <c r="I73" s="13"/>
      <c r="J73" s="13"/>
      <c r="K73" s="13"/>
      <c r="L73" s="13"/>
      <c r="M73" s="13"/>
      <c r="N73" s="13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75" customHeight="1">
      <c r="A74" s="37"/>
      <c r="B74" s="38">
        <f t="shared" si="4"/>
        <v>64</v>
      </c>
      <c r="C74" s="11">
        <f t="shared" si="5"/>
        <v>204000.00000000009</v>
      </c>
      <c r="D74" s="11">
        <f t="shared" si="0"/>
        <v>1626.7246474963686</v>
      </c>
      <c r="E74" s="11">
        <f t="shared" si="1"/>
        <v>205626.72464749645</v>
      </c>
      <c r="F74" s="11">
        <f t="shared" si="6"/>
        <v>571.42857142857144</v>
      </c>
      <c r="G74" s="11">
        <f t="shared" si="2"/>
        <v>2198.1532189249401</v>
      </c>
      <c r="H74" s="11">
        <f t="shared" si="3"/>
        <v>203428.57142857151</v>
      </c>
      <c r="I74" s="13"/>
      <c r="J74" s="13"/>
      <c r="K74" s="13"/>
      <c r="L74" s="13"/>
      <c r="M74" s="13"/>
      <c r="N74" s="13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75" customHeight="1">
      <c r="A75" s="37"/>
      <c r="B75" s="38">
        <f t="shared" si="4"/>
        <v>65</v>
      </c>
      <c r="C75" s="11">
        <f t="shared" si="5"/>
        <v>203428.57142857151</v>
      </c>
      <c r="D75" s="11">
        <f t="shared" si="0"/>
        <v>1622.1679958227091</v>
      </c>
      <c r="E75" s="11">
        <f t="shared" si="1"/>
        <v>205050.73942439421</v>
      </c>
      <c r="F75" s="11">
        <f t="shared" si="6"/>
        <v>571.42857142857144</v>
      </c>
      <c r="G75" s="11">
        <f t="shared" si="2"/>
        <v>2193.5965672512807</v>
      </c>
      <c r="H75" s="11">
        <f t="shared" si="3"/>
        <v>202857.14285714293</v>
      </c>
      <c r="I75" s="13"/>
      <c r="J75" s="13"/>
      <c r="K75" s="13"/>
      <c r="L75" s="13"/>
      <c r="M75" s="13"/>
      <c r="N75" s="13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75" customHeight="1">
      <c r="A76" s="37"/>
      <c r="B76" s="38">
        <f t="shared" si="4"/>
        <v>66</v>
      </c>
      <c r="C76" s="11">
        <f t="shared" si="5"/>
        <v>202857.14285714293</v>
      </c>
      <c r="D76" s="11">
        <f t="shared" si="0"/>
        <v>1617.61134414905</v>
      </c>
      <c r="E76" s="11">
        <f t="shared" si="1"/>
        <v>204474.75420129197</v>
      </c>
      <c r="F76" s="11">
        <f t="shared" si="6"/>
        <v>571.42857142857144</v>
      </c>
      <c r="G76" s="11">
        <f t="shared" si="2"/>
        <v>2189.0399155776213</v>
      </c>
      <c r="H76" s="11">
        <f t="shared" si="3"/>
        <v>202285.71428571435</v>
      </c>
      <c r="I76" s="13"/>
      <c r="J76" s="13"/>
      <c r="K76" s="13"/>
      <c r="L76" s="13"/>
      <c r="M76" s="13"/>
      <c r="N76" s="13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75" customHeight="1">
      <c r="A77" s="37"/>
      <c r="B77" s="38">
        <f t="shared" si="4"/>
        <v>67</v>
      </c>
      <c r="C77" s="11">
        <f t="shared" si="5"/>
        <v>202285.71428571435</v>
      </c>
      <c r="D77" s="11">
        <f t="shared" si="0"/>
        <v>1613.0546924753905</v>
      </c>
      <c r="E77" s="11">
        <f t="shared" si="1"/>
        <v>203898.76897818974</v>
      </c>
      <c r="F77" s="11">
        <f t="shared" si="6"/>
        <v>571.42857142857144</v>
      </c>
      <c r="G77" s="11">
        <f t="shared" si="2"/>
        <v>2184.4832639039619</v>
      </c>
      <c r="H77" s="11">
        <f t="shared" si="3"/>
        <v>201714.28571428577</v>
      </c>
      <c r="I77" s="13"/>
      <c r="J77" s="13"/>
      <c r="K77" s="13"/>
      <c r="L77" s="13"/>
      <c r="M77" s="13"/>
      <c r="N77" s="13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75" customHeight="1">
      <c r="A78" s="37"/>
      <c r="B78" s="38">
        <f t="shared" si="4"/>
        <v>68</v>
      </c>
      <c r="C78" s="11">
        <f t="shared" si="5"/>
        <v>201714.28571428577</v>
      </c>
      <c r="D78" s="11">
        <f t="shared" si="0"/>
        <v>1608.4980408017311</v>
      </c>
      <c r="E78" s="11">
        <f t="shared" si="1"/>
        <v>203322.7837550875</v>
      </c>
      <c r="F78" s="11">
        <f t="shared" si="6"/>
        <v>571.42857142857144</v>
      </c>
      <c r="G78" s="11">
        <f t="shared" si="2"/>
        <v>2179.9266122303025</v>
      </c>
      <c r="H78" s="11">
        <f t="shared" si="3"/>
        <v>201142.85714285719</v>
      </c>
      <c r="I78" s="13"/>
      <c r="J78" s="13"/>
      <c r="K78" s="13"/>
      <c r="L78" s="13"/>
      <c r="M78" s="13"/>
      <c r="N78" s="13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75" customHeight="1">
      <c r="A79" s="37"/>
      <c r="B79" s="38">
        <f t="shared" si="4"/>
        <v>69</v>
      </c>
      <c r="C79" s="11">
        <f t="shared" si="5"/>
        <v>201142.85714285719</v>
      </c>
      <c r="D79" s="11">
        <f t="shared" si="0"/>
        <v>1603.9413891280717</v>
      </c>
      <c r="E79" s="11">
        <f t="shared" si="1"/>
        <v>202746.79853198526</v>
      </c>
      <c r="F79" s="11">
        <f t="shared" si="6"/>
        <v>571.42857142857144</v>
      </c>
      <c r="G79" s="11">
        <f t="shared" si="2"/>
        <v>2175.369960556643</v>
      </c>
      <c r="H79" s="11">
        <f t="shared" si="3"/>
        <v>200571.42857142861</v>
      </c>
      <c r="I79" s="13"/>
      <c r="J79" s="13"/>
      <c r="K79" s="13"/>
      <c r="L79" s="13"/>
      <c r="M79" s="13"/>
      <c r="N79" s="13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75" customHeight="1">
      <c r="A80" s="37"/>
      <c r="B80" s="38">
        <f t="shared" si="4"/>
        <v>70</v>
      </c>
      <c r="C80" s="11">
        <f t="shared" si="5"/>
        <v>200571.42857142861</v>
      </c>
      <c r="D80" s="11">
        <f t="shared" si="0"/>
        <v>1599.3847374544125</v>
      </c>
      <c r="E80" s="11">
        <f t="shared" si="1"/>
        <v>202170.81330888302</v>
      </c>
      <c r="F80" s="11">
        <f t="shared" si="6"/>
        <v>571.42857142857144</v>
      </c>
      <c r="G80" s="11">
        <f t="shared" si="2"/>
        <v>2170.8133088829841</v>
      </c>
      <c r="H80" s="11">
        <f t="shared" si="3"/>
        <v>200000.00000000003</v>
      </c>
      <c r="I80" s="13"/>
      <c r="J80" s="13"/>
      <c r="K80" s="13"/>
      <c r="L80" s="13"/>
      <c r="M80" s="13"/>
      <c r="N80" s="13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75" customHeight="1">
      <c r="A81" s="37"/>
      <c r="B81" s="38">
        <f t="shared" si="4"/>
        <v>71</v>
      </c>
      <c r="C81" s="11">
        <f t="shared" si="5"/>
        <v>200000.00000000003</v>
      </c>
      <c r="D81" s="11">
        <f t="shared" si="0"/>
        <v>1594.8280857807531</v>
      </c>
      <c r="E81" s="11">
        <f t="shared" si="1"/>
        <v>201594.82808578078</v>
      </c>
      <c r="F81" s="11">
        <f t="shared" si="6"/>
        <v>571.42857142857144</v>
      </c>
      <c r="G81" s="11">
        <f t="shared" si="2"/>
        <v>2166.2566572093247</v>
      </c>
      <c r="H81" s="11">
        <f t="shared" si="3"/>
        <v>199428.57142857145</v>
      </c>
      <c r="I81" s="13"/>
      <c r="J81" s="13"/>
      <c r="K81" s="13"/>
      <c r="L81" s="13"/>
      <c r="M81" s="13"/>
      <c r="N81" s="13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75" customHeight="1">
      <c r="A82" s="37"/>
      <c r="B82" s="38">
        <f t="shared" si="4"/>
        <v>72</v>
      </c>
      <c r="C82" s="11">
        <f t="shared" si="5"/>
        <v>199428.57142857145</v>
      </c>
      <c r="D82" s="11">
        <f t="shared" si="0"/>
        <v>1590.2714341070937</v>
      </c>
      <c r="E82" s="11">
        <f t="shared" si="1"/>
        <v>201018.84286267855</v>
      </c>
      <c r="F82" s="11">
        <f t="shared" si="6"/>
        <v>571.42857142857144</v>
      </c>
      <c r="G82" s="11">
        <f t="shared" si="2"/>
        <v>2161.7000055356652</v>
      </c>
      <c r="H82" s="11">
        <f t="shared" si="3"/>
        <v>198857.14285714287</v>
      </c>
      <c r="I82" s="13"/>
      <c r="J82" s="13"/>
      <c r="K82" s="13"/>
      <c r="L82" s="13"/>
      <c r="M82" s="13"/>
      <c r="N82" s="13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75" customHeight="1">
      <c r="A83" s="37"/>
      <c r="B83" s="38">
        <f t="shared" si="4"/>
        <v>73</v>
      </c>
      <c r="C83" s="11">
        <f t="shared" si="5"/>
        <v>198857.14285714287</v>
      </c>
      <c r="D83" s="11">
        <f t="shared" si="0"/>
        <v>1585.7147824334343</v>
      </c>
      <c r="E83" s="11">
        <f t="shared" si="1"/>
        <v>200442.85763957631</v>
      </c>
      <c r="F83" s="11">
        <f t="shared" si="6"/>
        <v>571.42857142857144</v>
      </c>
      <c r="G83" s="11">
        <f t="shared" si="2"/>
        <v>2157.1433538620058</v>
      </c>
      <c r="H83" s="11">
        <f t="shared" si="3"/>
        <v>198285.71428571429</v>
      </c>
      <c r="I83" s="13"/>
      <c r="J83" s="13"/>
      <c r="K83" s="13"/>
      <c r="L83" s="13"/>
      <c r="M83" s="13"/>
      <c r="N83" s="13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75" customHeight="1">
      <c r="A84" s="37"/>
      <c r="B84" s="38">
        <f t="shared" si="4"/>
        <v>74</v>
      </c>
      <c r="C84" s="11">
        <f t="shared" si="5"/>
        <v>198285.71428571429</v>
      </c>
      <c r="D84" s="11">
        <f t="shared" si="0"/>
        <v>1581.1581307597751</v>
      </c>
      <c r="E84" s="11">
        <f t="shared" si="1"/>
        <v>199866.87241647407</v>
      </c>
      <c r="F84" s="11">
        <f t="shared" si="6"/>
        <v>571.42857142857144</v>
      </c>
      <c r="G84" s="11">
        <f t="shared" si="2"/>
        <v>2152.5867021883464</v>
      </c>
      <c r="H84" s="11">
        <f t="shared" si="3"/>
        <v>197714.28571428571</v>
      </c>
      <c r="I84" s="13"/>
      <c r="J84" s="13"/>
      <c r="K84" s="13"/>
      <c r="L84" s="13"/>
      <c r="M84" s="13"/>
      <c r="N84" s="13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75" customHeight="1">
      <c r="A85" s="37"/>
      <c r="B85" s="38">
        <f t="shared" si="4"/>
        <v>75</v>
      </c>
      <c r="C85" s="11">
        <f t="shared" si="5"/>
        <v>197714.28571428571</v>
      </c>
      <c r="D85" s="11">
        <f t="shared" si="0"/>
        <v>1576.6014790861157</v>
      </c>
      <c r="E85" s="11">
        <f t="shared" si="1"/>
        <v>199290.88719337183</v>
      </c>
      <c r="F85" s="11">
        <f t="shared" si="6"/>
        <v>571.42857142857144</v>
      </c>
      <c r="G85" s="11">
        <f t="shared" si="2"/>
        <v>2148.030050514687</v>
      </c>
      <c r="H85" s="11">
        <f t="shared" si="3"/>
        <v>197142.85714285716</v>
      </c>
      <c r="I85" s="13"/>
      <c r="J85" s="13"/>
      <c r="K85" s="13"/>
      <c r="L85" s="13"/>
      <c r="M85" s="13"/>
      <c r="N85" s="13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75" customHeight="1">
      <c r="A86" s="37"/>
      <c r="B86" s="38">
        <f t="shared" si="4"/>
        <v>76</v>
      </c>
      <c r="C86" s="11">
        <f t="shared" si="5"/>
        <v>197142.85714285716</v>
      </c>
      <c r="D86" s="11">
        <f t="shared" si="0"/>
        <v>1572.0448274124565</v>
      </c>
      <c r="E86" s="11">
        <f t="shared" si="1"/>
        <v>198714.90197026962</v>
      </c>
      <c r="F86" s="11">
        <f t="shared" si="6"/>
        <v>571.42857142857144</v>
      </c>
      <c r="G86" s="11">
        <f t="shared" si="2"/>
        <v>2143.473398841028</v>
      </c>
      <c r="H86" s="11">
        <f t="shared" si="3"/>
        <v>196571.42857142861</v>
      </c>
      <c r="I86" s="13"/>
      <c r="J86" s="13"/>
      <c r="K86" s="13"/>
      <c r="L86" s="13"/>
      <c r="M86" s="13"/>
      <c r="N86" s="13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75" customHeight="1">
      <c r="A87" s="37"/>
      <c r="B87" s="38">
        <f t="shared" si="4"/>
        <v>77</v>
      </c>
      <c r="C87" s="11">
        <f t="shared" si="5"/>
        <v>196571.42857142861</v>
      </c>
      <c r="D87" s="11">
        <f t="shared" si="0"/>
        <v>1567.4881757387973</v>
      </c>
      <c r="E87" s="11">
        <f t="shared" si="1"/>
        <v>198138.91674716742</v>
      </c>
      <c r="F87" s="11">
        <f t="shared" si="6"/>
        <v>571.42857142857144</v>
      </c>
      <c r="G87" s="11">
        <f t="shared" si="2"/>
        <v>2138.9167471673686</v>
      </c>
      <c r="H87" s="11">
        <f t="shared" si="3"/>
        <v>196000.00000000006</v>
      </c>
      <c r="I87" s="13"/>
      <c r="J87" s="13"/>
      <c r="K87" s="13"/>
      <c r="L87" s="13"/>
      <c r="M87" s="13"/>
      <c r="N87" s="13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75" customHeight="1">
      <c r="A88" s="37"/>
      <c r="B88" s="38">
        <f t="shared" si="4"/>
        <v>78</v>
      </c>
      <c r="C88" s="11">
        <f t="shared" si="5"/>
        <v>196000.00000000006</v>
      </c>
      <c r="D88" s="11">
        <f t="shared" si="0"/>
        <v>1562.9315240651383</v>
      </c>
      <c r="E88" s="11">
        <f t="shared" si="1"/>
        <v>197562.93152406521</v>
      </c>
      <c r="F88" s="11">
        <f t="shared" si="6"/>
        <v>571.42857142857144</v>
      </c>
      <c r="G88" s="11">
        <f t="shared" si="2"/>
        <v>2134.3600954937097</v>
      </c>
      <c r="H88" s="11">
        <f t="shared" si="3"/>
        <v>195428.57142857151</v>
      </c>
      <c r="I88" s="13"/>
      <c r="J88" s="13"/>
      <c r="K88" s="13"/>
      <c r="L88" s="13"/>
      <c r="M88" s="13"/>
      <c r="N88" s="13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75" customHeight="1">
      <c r="A89" s="37"/>
      <c r="B89" s="38">
        <f t="shared" si="4"/>
        <v>79</v>
      </c>
      <c r="C89" s="11">
        <f t="shared" si="5"/>
        <v>195428.57142857151</v>
      </c>
      <c r="D89" s="11">
        <f t="shared" si="0"/>
        <v>1558.3748723914791</v>
      </c>
      <c r="E89" s="11">
        <f t="shared" si="1"/>
        <v>196986.946300963</v>
      </c>
      <c r="F89" s="11">
        <f t="shared" si="6"/>
        <v>571.42857142857144</v>
      </c>
      <c r="G89" s="11">
        <f t="shared" si="2"/>
        <v>2129.8034438200507</v>
      </c>
      <c r="H89" s="11">
        <f t="shared" si="3"/>
        <v>194857.14285714296</v>
      </c>
      <c r="I89" s="13"/>
      <c r="J89" s="13"/>
      <c r="K89" s="13"/>
      <c r="L89" s="13"/>
      <c r="M89" s="13"/>
      <c r="N89" s="13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75" customHeight="1">
      <c r="A90" s="37"/>
      <c r="B90" s="38">
        <f t="shared" si="4"/>
        <v>80</v>
      </c>
      <c r="C90" s="11">
        <f t="shared" si="5"/>
        <v>194857.14285714296</v>
      </c>
      <c r="D90" s="11">
        <f t="shared" si="0"/>
        <v>1553.8182207178199</v>
      </c>
      <c r="E90" s="11">
        <f t="shared" si="1"/>
        <v>196410.96107786079</v>
      </c>
      <c r="F90" s="11">
        <f t="shared" si="6"/>
        <v>571.42857142857144</v>
      </c>
      <c r="G90" s="11">
        <f t="shared" si="2"/>
        <v>2125.2467921463913</v>
      </c>
      <c r="H90" s="11">
        <f t="shared" si="3"/>
        <v>194285.71428571441</v>
      </c>
      <c r="I90" s="13"/>
      <c r="J90" s="13"/>
      <c r="K90" s="13"/>
      <c r="L90" s="13"/>
      <c r="M90" s="13"/>
      <c r="N90" s="13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75" customHeight="1">
      <c r="A91" s="37"/>
      <c r="B91" s="38">
        <f t="shared" si="4"/>
        <v>81</v>
      </c>
      <c r="C91" s="11">
        <f t="shared" si="5"/>
        <v>194285.71428571441</v>
      </c>
      <c r="D91" s="11">
        <f t="shared" si="0"/>
        <v>1549.261569044161</v>
      </c>
      <c r="E91" s="11">
        <f t="shared" si="1"/>
        <v>195834.97585475858</v>
      </c>
      <c r="F91" s="11">
        <f t="shared" si="6"/>
        <v>571.42857142857144</v>
      </c>
      <c r="G91" s="11">
        <f t="shared" si="2"/>
        <v>2120.6901404727323</v>
      </c>
      <c r="H91" s="11">
        <f t="shared" si="3"/>
        <v>193714.28571428586</v>
      </c>
      <c r="I91" s="13"/>
      <c r="J91" s="13"/>
      <c r="K91" s="13"/>
      <c r="L91" s="13"/>
      <c r="M91" s="13"/>
      <c r="N91" s="13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75" customHeight="1">
      <c r="A92" s="37"/>
      <c r="B92" s="38">
        <f t="shared" si="4"/>
        <v>82</v>
      </c>
      <c r="C92" s="11">
        <f t="shared" si="5"/>
        <v>193714.28571428586</v>
      </c>
      <c r="D92" s="11">
        <f t="shared" si="0"/>
        <v>1544.7049173705018</v>
      </c>
      <c r="E92" s="11">
        <f t="shared" si="1"/>
        <v>195258.99063165637</v>
      </c>
      <c r="F92" s="11">
        <f t="shared" si="6"/>
        <v>571.42857142857144</v>
      </c>
      <c r="G92" s="11">
        <f t="shared" si="2"/>
        <v>2116.1334887990733</v>
      </c>
      <c r="H92" s="11">
        <f t="shared" si="3"/>
        <v>193142.85714285731</v>
      </c>
      <c r="I92" s="13"/>
      <c r="J92" s="13"/>
      <c r="K92" s="13"/>
      <c r="L92" s="13"/>
      <c r="M92" s="13"/>
      <c r="N92" s="13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75" customHeight="1">
      <c r="A93" s="37"/>
      <c r="B93" s="38">
        <f t="shared" si="4"/>
        <v>83</v>
      </c>
      <c r="C93" s="11">
        <f t="shared" si="5"/>
        <v>193142.85714285731</v>
      </c>
      <c r="D93" s="11">
        <f t="shared" si="0"/>
        <v>1540.1482656968426</v>
      </c>
      <c r="E93" s="11">
        <f t="shared" si="1"/>
        <v>194683.00540855413</v>
      </c>
      <c r="F93" s="11">
        <f t="shared" si="6"/>
        <v>571.42857142857144</v>
      </c>
      <c r="G93" s="11">
        <f t="shared" si="2"/>
        <v>2111.5768371254139</v>
      </c>
      <c r="H93" s="11">
        <f t="shared" si="3"/>
        <v>192571.42857142873</v>
      </c>
      <c r="I93" s="13"/>
      <c r="J93" s="13"/>
      <c r="K93" s="13"/>
      <c r="L93" s="13"/>
      <c r="M93" s="13"/>
      <c r="N93" s="13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75" customHeight="1">
      <c r="A94" s="37"/>
      <c r="B94" s="38">
        <f t="shared" si="4"/>
        <v>84</v>
      </c>
      <c r="C94" s="11">
        <f t="shared" si="5"/>
        <v>192571.42857142873</v>
      </c>
      <c r="D94" s="11">
        <f t="shared" si="0"/>
        <v>1535.5916140231832</v>
      </c>
      <c r="E94" s="11">
        <f t="shared" si="1"/>
        <v>194107.0201854519</v>
      </c>
      <c r="F94" s="11">
        <f t="shared" si="6"/>
        <v>571.42857142857144</v>
      </c>
      <c r="G94" s="11">
        <f t="shared" si="2"/>
        <v>2107.0201854517545</v>
      </c>
      <c r="H94" s="11">
        <f t="shared" si="3"/>
        <v>192000.00000000015</v>
      </c>
      <c r="I94" s="13"/>
      <c r="J94" s="13"/>
      <c r="K94" s="13"/>
      <c r="L94" s="13"/>
      <c r="M94" s="13"/>
      <c r="N94" s="13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75" customHeight="1">
      <c r="A95" s="37"/>
      <c r="B95" s="38">
        <f t="shared" si="4"/>
        <v>85</v>
      </c>
      <c r="C95" s="11">
        <f t="shared" si="5"/>
        <v>192000.00000000015</v>
      </c>
      <c r="D95" s="11">
        <f t="shared" si="0"/>
        <v>1531.034962349524</v>
      </c>
      <c r="E95" s="11">
        <f t="shared" si="1"/>
        <v>193531.03496234966</v>
      </c>
      <c r="F95" s="11">
        <f t="shared" si="6"/>
        <v>571.42857142857144</v>
      </c>
      <c r="G95" s="11">
        <f t="shared" si="2"/>
        <v>2102.4635337780956</v>
      </c>
      <c r="H95" s="11">
        <f t="shared" si="3"/>
        <v>191428.57142857157</v>
      </c>
      <c r="I95" s="13"/>
      <c r="J95" s="13"/>
      <c r="K95" s="13"/>
      <c r="L95" s="13"/>
      <c r="M95" s="13"/>
      <c r="N95" s="13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75" customHeight="1">
      <c r="A96" s="37"/>
      <c r="B96" s="38">
        <f t="shared" si="4"/>
        <v>86</v>
      </c>
      <c r="C96" s="11">
        <f t="shared" si="5"/>
        <v>191428.57142857157</v>
      </c>
      <c r="D96" s="11">
        <f t="shared" si="0"/>
        <v>1526.4783106758646</v>
      </c>
      <c r="E96" s="11">
        <f t="shared" si="1"/>
        <v>192955.04973924742</v>
      </c>
      <c r="F96" s="11">
        <f t="shared" si="6"/>
        <v>571.42857142857144</v>
      </c>
      <c r="G96" s="11">
        <f t="shared" si="2"/>
        <v>2097.9068821044361</v>
      </c>
      <c r="H96" s="11">
        <f t="shared" si="3"/>
        <v>190857.14285714299</v>
      </c>
      <c r="I96" s="13"/>
      <c r="J96" s="13"/>
      <c r="K96" s="13"/>
      <c r="L96" s="13"/>
      <c r="M96" s="13"/>
      <c r="N96" s="13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75" customHeight="1">
      <c r="A97" s="37"/>
      <c r="B97" s="38">
        <f t="shared" si="4"/>
        <v>87</v>
      </c>
      <c r="C97" s="11">
        <f t="shared" si="5"/>
        <v>190857.14285714299</v>
      </c>
      <c r="D97" s="11">
        <f t="shared" si="0"/>
        <v>1521.9216590022052</v>
      </c>
      <c r="E97" s="11">
        <f t="shared" si="1"/>
        <v>192379.06451614518</v>
      </c>
      <c r="F97" s="11">
        <f t="shared" si="6"/>
        <v>571.42857142857144</v>
      </c>
      <c r="G97" s="11">
        <f t="shared" si="2"/>
        <v>2093.3502304307767</v>
      </c>
      <c r="H97" s="11">
        <f t="shared" si="3"/>
        <v>190285.71428571441</v>
      </c>
      <c r="I97" s="13"/>
      <c r="J97" s="13"/>
      <c r="K97" s="13"/>
      <c r="L97" s="13"/>
      <c r="M97" s="13"/>
      <c r="N97" s="13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75" customHeight="1">
      <c r="A98" s="37"/>
      <c r="B98" s="38">
        <f t="shared" si="4"/>
        <v>88</v>
      </c>
      <c r="C98" s="11">
        <f t="shared" si="5"/>
        <v>190285.71428571441</v>
      </c>
      <c r="D98" s="11">
        <f t="shared" si="0"/>
        <v>1517.3650073285457</v>
      </c>
      <c r="E98" s="11">
        <f t="shared" si="1"/>
        <v>191803.07929304295</v>
      </c>
      <c r="F98" s="11">
        <f t="shared" si="6"/>
        <v>571.42857142857144</v>
      </c>
      <c r="G98" s="11">
        <f t="shared" si="2"/>
        <v>2088.7935787571173</v>
      </c>
      <c r="H98" s="11">
        <f t="shared" si="3"/>
        <v>189714.28571428583</v>
      </c>
      <c r="I98" s="13"/>
      <c r="J98" s="13"/>
      <c r="K98" s="13"/>
      <c r="L98" s="13"/>
      <c r="M98" s="13"/>
      <c r="N98" s="13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75" customHeight="1">
      <c r="A99" s="37"/>
      <c r="B99" s="38">
        <f t="shared" si="4"/>
        <v>89</v>
      </c>
      <c r="C99" s="11">
        <f t="shared" si="5"/>
        <v>189714.28571428583</v>
      </c>
      <c r="D99" s="11">
        <f t="shared" si="0"/>
        <v>1512.8083556548866</v>
      </c>
      <c r="E99" s="11">
        <f t="shared" si="1"/>
        <v>191227.09406994071</v>
      </c>
      <c r="F99" s="11">
        <f t="shared" si="6"/>
        <v>571.42857142857144</v>
      </c>
      <c r="G99" s="11">
        <f t="shared" si="2"/>
        <v>2084.2369270834579</v>
      </c>
      <c r="H99" s="11">
        <f t="shared" si="3"/>
        <v>189142.85714285725</v>
      </c>
      <c r="I99" s="13"/>
      <c r="J99" s="13"/>
      <c r="K99" s="13"/>
      <c r="L99" s="13"/>
      <c r="M99" s="13"/>
      <c r="N99" s="13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75" customHeight="1">
      <c r="A100" s="37"/>
      <c r="B100" s="38">
        <f t="shared" si="4"/>
        <v>90</v>
      </c>
      <c r="C100" s="11">
        <f t="shared" si="5"/>
        <v>189142.85714285725</v>
      </c>
      <c r="D100" s="11">
        <f t="shared" si="0"/>
        <v>1508.2517039812271</v>
      </c>
      <c r="E100" s="11">
        <f t="shared" si="1"/>
        <v>190651.10884683847</v>
      </c>
      <c r="F100" s="11">
        <f t="shared" si="6"/>
        <v>571.42857142857144</v>
      </c>
      <c r="G100" s="11">
        <f t="shared" si="2"/>
        <v>2079.6802754097985</v>
      </c>
      <c r="H100" s="11">
        <f t="shared" si="3"/>
        <v>188571.42857142867</v>
      </c>
      <c r="I100" s="13"/>
      <c r="J100" s="13"/>
      <c r="K100" s="13"/>
      <c r="L100" s="13"/>
      <c r="M100" s="13"/>
      <c r="N100" s="13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75" customHeight="1">
      <c r="A101" s="37"/>
      <c r="B101" s="38">
        <f t="shared" si="4"/>
        <v>91</v>
      </c>
      <c r="C101" s="11">
        <f t="shared" si="5"/>
        <v>188571.42857142867</v>
      </c>
      <c r="D101" s="11">
        <f t="shared" si="0"/>
        <v>1503.6950523075677</v>
      </c>
      <c r="E101" s="11">
        <f t="shared" si="1"/>
        <v>190075.12362373623</v>
      </c>
      <c r="F101" s="11">
        <f t="shared" si="6"/>
        <v>571.42857142857144</v>
      </c>
      <c r="G101" s="11">
        <f t="shared" si="2"/>
        <v>2075.1236237361391</v>
      </c>
      <c r="H101" s="11">
        <f t="shared" si="3"/>
        <v>188000.00000000009</v>
      </c>
      <c r="I101" s="13"/>
      <c r="J101" s="13"/>
      <c r="K101" s="13"/>
      <c r="L101" s="13"/>
      <c r="M101" s="13"/>
      <c r="N101" s="13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75" customHeight="1">
      <c r="A102" s="37"/>
      <c r="B102" s="38">
        <f t="shared" si="4"/>
        <v>92</v>
      </c>
      <c r="C102" s="11">
        <f t="shared" si="5"/>
        <v>188000.00000000009</v>
      </c>
      <c r="D102" s="11">
        <f t="shared" si="0"/>
        <v>1499.1384006339083</v>
      </c>
      <c r="E102" s="11">
        <f t="shared" si="1"/>
        <v>189499.13840063399</v>
      </c>
      <c r="F102" s="11">
        <f t="shared" si="6"/>
        <v>571.42857142857144</v>
      </c>
      <c r="G102" s="11">
        <f t="shared" si="2"/>
        <v>2070.5669720624796</v>
      </c>
      <c r="H102" s="11">
        <f t="shared" si="3"/>
        <v>187428.57142857151</v>
      </c>
      <c r="I102" s="13"/>
      <c r="J102" s="13"/>
      <c r="K102" s="13"/>
      <c r="L102" s="13"/>
      <c r="M102" s="13"/>
      <c r="N102" s="13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75" customHeight="1">
      <c r="A103" s="37"/>
      <c r="B103" s="38">
        <f t="shared" si="4"/>
        <v>93</v>
      </c>
      <c r="C103" s="11">
        <f t="shared" si="5"/>
        <v>187428.57142857151</v>
      </c>
      <c r="D103" s="11">
        <f t="shared" si="0"/>
        <v>1494.5817489602491</v>
      </c>
      <c r="E103" s="11">
        <f t="shared" si="1"/>
        <v>188923.15317753176</v>
      </c>
      <c r="F103" s="11">
        <f t="shared" si="6"/>
        <v>571.42857142857144</v>
      </c>
      <c r="G103" s="11">
        <f t="shared" si="2"/>
        <v>2066.0103203888207</v>
      </c>
      <c r="H103" s="11">
        <f t="shared" si="3"/>
        <v>186857.14285714293</v>
      </c>
      <c r="I103" s="13"/>
      <c r="J103" s="13"/>
      <c r="K103" s="13"/>
      <c r="L103" s="13"/>
      <c r="M103" s="13"/>
      <c r="N103" s="13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75" customHeight="1">
      <c r="A104" s="37"/>
      <c r="B104" s="38">
        <f t="shared" si="4"/>
        <v>94</v>
      </c>
      <c r="C104" s="11">
        <f t="shared" si="5"/>
        <v>186857.14285714293</v>
      </c>
      <c r="D104" s="11">
        <f t="shared" si="0"/>
        <v>1490.0250972865897</v>
      </c>
      <c r="E104" s="11">
        <f t="shared" si="1"/>
        <v>188347.16795442952</v>
      </c>
      <c r="F104" s="11">
        <f t="shared" si="6"/>
        <v>571.42857142857144</v>
      </c>
      <c r="G104" s="11">
        <f t="shared" si="2"/>
        <v>2061.4536687151613</v>
      </c>
      <c r="H104" s="11">
        <f t="shared" si="3"/>
        <v>186285.71428571435</v>
      </c>
      <c r="I104" s="13"/>
      <c r="J104" s="13"/>
      <c r="K104" s="13"/>
      <c r="L104" s="13"/>
      <c r="M104" s="13"/>
      <c r="N104" s="13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75" customHeight="1">
      <c r="A105" s="37"/>
      <c r="B105" s="38">
        <f t="shared" si="4"/>
        <v>95</v>
      </c>
      <c r="C105" s="11">
        <f t="shared" si="5"/>
        <v>186285.71428571435</v>
      </c>
      <c r="D105" s="11">
        <f t="shared" si="0"/>
        <v>1485.4684456129303</v>
      </c>
      <c r="E105" s="11">
        <f t="shared" si="1"/>
        <v>187771.18273132728</v>
      </c>
      <c r="F105" s="11">
        <f t="shared" si="6"/>
        <v>571.42857142857144</v>
      </c>
      <c r="G105" s="11">
        <f t="shared" si="2"/>
        <v>2056.8970170415018</v>
      </c>
      <c r="H105" s="11">
        <f t="shared" si="3"/>
        <v>185714.28571428577</v>
      </c>
      <c r="I105" s="13"/>
      <c r="J105" s="13"/>
      <c r="K105" s="13"/>
      <c r="L105" s="13"/>
      <c r="M105" s="13"/>
      <c r="N105" s="13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75" customHeight="1">
      <c r="A106" s="37"/>
      <c r="B106" s="38">
        <f t="shared" si="4"/>
        <v>96</v>
      </c>
      <c r="C106" s="11">
        <f t="shared" si="5"/>
        <v>185714.28571428577</v>
      </c>
      <c r="D106" s="11">
        <f t="shared" si="0"/>
        <v>1480.9117939392709</v>
      </c>
      <c r="E106" s="11">
        <f t="shared" si="1"/>
        <v>187195.19750822504</v>
      </c>
      <c r="F106" s="11">
        <f t="shared" si="6"/>
        <v>571.42857142857144</v>
      </c>
      <c r="G106" s="11">
        <f t="shared" si="2"/>
        <v>2052.3403653678424</v>
      </c>
      <c r="H106" s="11">
        <f t="shared" si="3"/>
        <v>185142.85714285719</v>
      </c>
      <c r="I106" s="13"/>
      <c r="J106" s="13"/>
      <c r="K106" s="13"/>
      <c r="L106" s="13"/>
      <c r="M106" s="13"/>
      <c r="N106" s="13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75" customHeight="1">
      <c r="A107" s="37"/>
      <c r="B107" s="38">
        <f t="shared" si="4"/>
        <v>97</v>
      </c>
      <c r="C107" s="11">
        <f t="shared" si="5"/>
        <v>185142.85714285719</v>
      </c>
      <c r="D107" s="11">
        <f t="shared" si="0"/>
        <v>1476.3551422656117</v>
      </c>
      <c r="E107" s="11">
        <f t="shared" si="1"/>
        <v>186619.21228512281</v>
      </c>
      <c r="F107" s="11">
        <f t="shared" si="6"/>
        <v>571.42857142857144</v>
      </c>
      <c r="G107" s="11">
        <f t="shared" si="2"/>
        <v>2047.783713694183</v>
      </c>
      <c r="H107" s="11">
        <f t="shared" si="3"/>
        <v>184571.42857142861</v>
      </c>
      <c r="I107" s="13"/>
      <c r="J107" s="13"/>
      <c r="K107" s="13"/>
      <c r="L107" s="13"/>
      <c r="M107" s="13"/>
      <c r="N107" s="13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75" customHeight="1">
      <c r="A108" s="37"/>
      <c r="B108" s="38">
        <f t="shared" si="4"/>
        <v>98</v>
      </c>
      <c r="C108" s="11">
        <f t="shared" si="5"/>
        <v>184571.42857142861</v>
      </c>
      <c r="D108" s="11">
        <f t="shared" si="0"/>
        <v>1471.7984905919523</v>
      </c>
      <c r="E108" s="11">
        <f t="shared" si="1"/>
        <v>186043.22706202057</v>
      </c>
      <c r="F108" s="11">
        <f t="shared" si="6"/>
        <v>571.42857142857144</v>
      </c>
      <c r="G108" s="11">
        <f t="shared" si="2"/>
        <v>2043.2270620205236</v>
      </c>
      <c r="H108" s="11">
        <f t="shared" si="3"/>
        <v>184000.00000000006</v>
      </c>
      <c r="I108" s="13"/>
      <c r="J108" s="13"/>
      <c r="K108" s="13"/>
      <c r="L108" s="13"/>
      <c r="M108" s="13"/>
      <c r="N108" s="13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75" customHeight="1">
      <c r="A109" s="37"/>
      <c r="B109" s="38">
        <f t="shared" si="4"/>
        <v>99</v>
      </c>
      <c r="C109" s="11">
        <f t="shared" si="5"/>
        <v>184000.00000000006</v>
      </c>
      <c r="D109" s="11">
        <f t="shared" si="0"/>
        <v>1467.2418389182931</v>
      </c>
      <c r="E109" s="11">
        <f t="shared" si="1"/>
        <v>185467.24183891836</v>
      </c>
      <c r="F109" s="11">
        <f t="shared" si="6"/>
        <v>571.42857142857144</v>
      </c>
      <c r="G109" s="11">
        <f t="shared" si="2"/>
        <v>2038.6704103468646</v>
      </c>
      <c r="H109" s="11">
        <f t="shared" si="3"/>
        <v>183428.57142857151</v>
      </c>
      <c r="I109" s="13"/>
      <c r="J109" s="13"/>
      <c r="K109" s="13"/>
      <c r="L109" s="13"/>
      <c r="M109" s="13"/>
      <c r="N109" s="13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75" customHeight="1">
      <c r="A110" s="37"/>
      <c r="B110" s="38">
        <f t="shared" si="4"/>
        <v>100</v>
      </c>
      <c r="C110" s="11">
        <f t="shared" si="5"/>
        <v>183428.57142857151</v>
      </c>
      <c r="D110" s="11">
        <f t="shared" si="0"/>
        <v>1462.6851872446339</v>
      </c>
      <c r="E110" s="11">
        <f t="shared" si="1"/>
        <v>184891.25661581615</v>
      </c>
      <c r="F110" s="11">
        <f t="shared" si="6"/>
        <v>571.42857142857144</v>
      </c>
      <c r="G110" s="11">
        <f t="shared" si="2"/>
        <v>2034.1137586732052</v>
      </c>
      <c r="H110" s="11">
        <f t="shared" si="3"/>
        <v>182857.14285714296</v>
      </c>
      <c r="I110" s="13"/>
      <c r="J110" s="13"/>
      <c r="K110" s="13"/>
      <c r="L110" s="13"/>
      <c r="M110" s="13"/>
      <c r="N110" s="13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75" customHeight="1">
      <c r="A111" s="37"/>
      <c r="B111" s="38">
        <f t="shared" si="4"/>
        <v>101</v>
      </c>
      <c r="C111" s="11">
        <f t="shared" si="5"/>
        <v>182857.14285714296</v>
      </c>
      <c r="D111" s="11">
        <f t="shared" si="0"/>
        <v>1458.1285355709749</v>
      </c>
      <c r="E111" s="11">
        <f t="shared" si="1"/>
        <v>184315.27139271394</v>
      </c>
      <c r="F111" s="11">
        <f t="shared" si="6"/>
        <v>571.42857142857144</v>
      </c>
      <c r="G111" s="11">
        <f t="shared" si="2"/>
        <v>2029.5571069995462</v>
      </c>
      <c r="H111" s="11">
        <f t="shared" si="3"/>
        <v>182285.71428571441</v>
      </c>
      <c r="I111" s="13"/>
      <c r="J111" s="13"/>
      <c r="K111" s="13"/>
      <c r="L111" s="13"/>
      <c r="M111" s="13"/>
      <c r="N111" s="13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75" customHeight="1">
      <c r="A112" s="37"/>
      <c r="B112" s="38">
        <f t="shared" si="4"/>
        <v>102</v>
      </c>
      <c r="C112" s="11">
        <f t="shared" si="5"/>
        <v>182285.71428571441</v>
      </c>
      <c r="D112" s="11">
        <f t="shared" si="0"/>
        <v>1453.5718838973157</v>
      </c>
      <c r="E112" s="11">
        <f t="shared" si="1"/>
        <v>183739.28616961173</v>
      </c>
      <c r="F112" s="11">
        <f t="shared" si="6"/>
        <v>571.42857142857144</v>
      </c>
      <c r="G112" s="11">
        <f t="shared" si="2"/>
        <v>2025.0004553258873</v>
      </c>
      <c r="H112" s="11">
        <f t="shared" si="3"/>
        <v>181714.28571428586</v>
      </c>
      <c r="I112" s="13"/>
      <c r="J112" s="13"/>
      <c r="K112" s="13"/>
      <c r="L112" s="13"/>
      <c r="M112" s="13"/>
      <c r="N112" s="13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75" customHeight="1">
      <c r="A113" s="37"/>
      <c r="B113" s="38">
        <f t="shared" si="4"/>
        <v>103</v>
      </c>
      <c r="C113" s="11">
        <f t="shared" si="5"/>
        <v>181714.28571428586</v>
      </c>
      <c r="D113" s="11">
        <f t="shared" si="0"/>
        <v>1449.0152322236565</v>
      </c>
      <c r="E113" s="11">
        <f t="shared" si="1"/>
        <v>183163.30094650952</v>
      </c>
      <c r="F113" s="11">
        <f t="shared" si="6"/>
        <v>571.42857142857144</v>
      </c>
      <c r="G113" s="11">
        <f t="shared" si="2"/>
        <v>2020.4438036522279</v>
      </c>
      <c r="H113" s="11">
        <f t="shared" si="3"/>
        <v>181142.85714285731</v>
      </c>
      <c r="I113" s="13"/>
      <c r="J113" s="13"/>
      <c r="K113" s="13"/>
      <c r="L113" s="13"/>
      <c r="M113" s="13"/>
      <c r="N113" s="13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75" customHeight="1">
      <c r="A114" s="37"/>
      <c r="B114" s="38">
        <f t="shared" si="4"/>
        <v>104</v>
      </c>
      <c r="C114" s="11">
        <f t="shared" si="5"/>
        <v>181142.85714285731</v>
      </c>
      <c r="D114" s="11">
        <f t="shared" si="0"/>
        <v>1444.4585805499974</v>
      </c>
      <c r="E114" s="11">
        <f t="shared" si="1"/>
        <v>182587.31572340732</v>
      </c>
      <c r="F114" s="11">
        <f t="shared" si="6"/>
        <v>571.42857142857144</v>
      </c>
      <c r="G114" s="11">
        <f t="shared" si="2"/>
        <v>2015.8871519785689</v>
      </c>
      <c r="H114" s="11">
        <f t="shared" si="3"/>
        <v>180571.42857142875</v>
      </c>
      <c r="I114" s="13"/>
      <c r="J114" s="13"/>
      <c r="K114" s="13"/>
      <c r="L114" s="13"/>
      <c r="M114" s="13"/>
      <c r="N114" s="13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75" customHeight="1">
      <c r="A115" s="37"/>
      <c r="B115" s="38">
        <f t="shared" si="4"/>
        <v>105</v>
      </c>
      <c r="C115" s="11">
        <f t="shared" si="5"/>
        <v>180571.42857142875</v>
      </c>
      <c r="D115" s="11">
        <f t="shared" si="0"/>
        <v>1439.9019288763384</v>
      </c>
      <c r="E115" s="11">
        <f t="shared" si="1"/>
        <v>182011.33050030511</v>
      </c>
      <c r="F115" s="11">
        <f t="shared" si="6"/>
        <v>571.42857142857144</v>
      </c>
      <c r="G115" s="11">
        <f t="shared" si="2"/>
        <v>2011.3305003049099</v>
      </c>
      <c r="H115" s="11">
        <f t="shared" si="3"/>
        <v>180000.0000000002</v>
      </c>
      <c r="I115" s="13"/>
      <c r="J115" s="13"/>
      <c r="K115" s="13"/>
      <c r="L115" s="13"/>
      <c r="M115" s="13"/>
      <c r="N115" s="13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75" customHeight="1">
      <c r="A116" s="37"/>
      <c r="B116" s="38">
        <f t="shared" si="4"/>
        <v>106</v>
      </c>
      <c r="C116" s="11">
        <f t="shared" si="5"/>
        <v>180000.0000000002</v>
      </c>
      <c r="D116" s="11">
        <f t="shared" si="0"/>
        <v>1435.3452772026792</v>
      </c>
      <c r="E116" s="11">
        <f t="shared" si="1"/>
        <v>181435.34527720287</v>
      </c>
      <c r="F116" s="11">
        <f t="shared" si="6"/>
        <v>571.42857142857144</v>
      </c>
      <c r="G116" s="11">
        <f t="shared" si="2"/>
        <v>2006.7738486312505</v>
      </c>
      <c r="H116" s="11">
        <f t="shared" si="3"/>
        <v>179428.57142857162</v>
      </c>
      <c r="I116" s="13"/>
      <c r="J116" s="13"/>
      <c r="K116" s="13"/>
      <c r="L116" s="13"/>
      <c r="M116" s="13"/>
      <c r="N116" s="13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75" customHeight="1">
      <c r="A117" s="37"/>
      <c r="B117" s="38">
        <f t="shared" si="4"/>
        <v>107</v>
      </c>
      <c r="C117" s="11">
        <f t="shared" si="5"/>
        <v>179428.57142857162</v>
      </c>
      <c r="D117" s="11">
        <f t="shared" si="0"/>
        <v>1430.7886255290198</v>
      </c>
      <c r="E117" s="11">
        <f t="shared" si="1"/>
        <v>180859.36005410063</v>
      </c>
      <c r="F117" s="11">
        <f t="shared" si="6"/>
        <v>571.42857142857144</v>
      </c>
      <c r="G117" s="11">
        <f t="shared" si="2"/>
        <v>2002.2171969575911</v>
      </c>
      <c r="H117" s="11">
        <f t="shared" si="3"/>
        <v>178857.14285714304</v>
      </c>
      <c r="I117" s="13"/>
      <c r="J117" s="13"/>
      <c r="K117" s="13"/>
      <c r="L117" s="13"/>
      <c r="M117" s="13"/>
      <c r="N117" s="13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75" customHeight="1">
      <c r="A118" s="37"/>
      <c r="B118" s="38">
        <f t="shared" si="4"/>
        <v>108</v>
      </c>
      <c r="C118" s="11">
        <f t="shared" si="5"/>
        <v>178857.14285714304</v>
      </c>
      <c r="D118" s="11">
        <f t="shared" si="0"/>
        <v>1426.2319738553604</v>
      </c>
      <c r="E118" s="11">
        <f t="shared" si="1"/>
        <v>180283.37483099839</v>
      </c>
      <c r="F118" s="11">
        <f t="shared" si="6"/>
        <v>571.42857142857144</v>
      </c>
      <c r="G118" s="11">
        <f t="shared" si="2"/>
        <v>1997.6605452839317</v>
      </c>
      <c r="H118" s="11">
        <f t="shared" si="3"/>
        <v>178285.71428571446</v>
      </c>
      <c r="I118" s="13"/>
      <c r="J118" s="13"/>
      <c r="K118" s="13"/>
      <c r="L118" s="13"/>
      <c r="M118" s="13"/>
      <c r="N118" s="13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75" customHeight="1">
      <c r="A119" s="37"/>
      <c r="B119" s="38">
        <f t="shared" si="4"/>
        <v>109</v>
      </c>
      <c r="C119" s="11">
        <f t="shared" si="5"/>
        <v>178285.71428571446</v>
      </c>
      <c r="D119" s="11">
        <f t="shared" si="0"/>
        <v>1421.6753221817012</v>
      </c>
      <c r="E119" s="11">
        <f t="shared" si="1"/>
        <v>179707.38960789616</v>
      </c>
      <c r="F119" s="11">
        <f t="shared" si="6"/>
        <v>571.42857142857144</v>
      </c>
      <c r="G119" s="11">
        <f t="shared" si="2"/>
        <v>1993.1038936102727</v>
      </c>
      <c r="H119" s="11">
        <f t="shared" si="3"/>
        <v>177714.28571428588</v>
      </c>
      <c r="I119" s="13"/>
      <c r="J119" s="13"/>
      <c r="K119" s="13"/>
      <c r="L119" s="13"/>
      <c r="M119" s="13"/>
      <c r="N119" s="13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75" customHeight="1">
      <c r="A120" s="37"/>
      <c r="B120" s="38">
        <f t="shared" si="4"/>
        <v>110</v>
      </c>
      <c r="C120" s="11">
        <f t="shared" si="5"/>
        <v>177714.28571428588</v>
      </c>
      <c r="D120" s="11">
        <f t="shared" si="0"/>
        <v>1417.1186705080418</v>
      </c>
      <c r="E120" s="11">
        <f t="shared" si="1"/>
        <v>179131.40438479392</v>
      </c>
      <c r="F120" s="11">
        <f t="shared" si="6"/>
        <v>571.42857142857144</v>
      </c>
      <c r="G120" s="11">
        <f t="shared" si="2"/>
        <v>1988.5472419366133</v>
      </c>
      <c r="H120" s="11">
        <f t="shared" si="3"/>
        <v>177142.85714285731</v>
      </c>
      <c r="I120" s="13"/>
      <c r="J120" s="13"/>
      <c r="K120" s="13"/>
      <c r="L120" s="13"/>
      <c r="M120" s="13"/>
      <c r="N120" s="13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75" customHeight="1">
      <c r="A121" s="37"/>
      <c r="B121" s="38">
        <f t="shared" si="4"/>
        <v>111</v>
      </c>
      <c r="C121" s="11">
        <f t="shared" si="5"/>
        <v>177142.85714285731</v>
      </c>
      <c r="D121" s="11">
        <f t="shared" si="0"/>
        <v>1412.5620188343823</v>
      </c>
      <c r="E121" s="11">
        <f t="shared" si="1"/>
        <v>178555.41916169168</v>
      </c>
      <c r="F121" s="11">
        <f t="shared" si="6"/>
        <v>571.42857142857144</v>
      </c>
      <c r="G121" s="11">
        <f t="shared" si="2"/>
        <v>1983.9905902629539</v>
      </c>
      <c r="H121" s="11">
        <f t="shared" si="3"/>
        <v>176571.42857142873</v>
      </c>
      <c r="I121" s="13"/>
      <c r="J121" s="13"/>
      <c r="K121" s="13"/>
      <c r="L121" s="13"/>
      <c r="M121" s="13"/>
      <c r="N121" s="13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75" customHeight="1">
      <c r="A122" s="37"/>
      <c r="B122" s="38">
        <f t="shared" si="4"/>
        <v>112</v>
      </c>
      <c r="C122" s="11">
        <f t="shared" si="5"/>
        <v>176571.42857142873</v>
      </c>
      <c r="D122" s="11">
        <f t="shared" si="0"/>
        <v>1408.0053671607229</v>
      </c>
      <c r="E122" s="11">
        <f t="shared" si="1"/>
        <v>177979.43393858944</v>
      </c>
      <c r="F122" s="11">
        <f t="shared" si="6"/>
        <v>571.42857142857144</v>
      </c>
      <c r="G122" s="11">
        <f t="shared" si="2"/>
        <v>1979.4339385892945</v>
      </c>
      <c r="H122" s="11">
        <f t="shared" si="3"/>
        <v>176000.00000000015</v>
      </c>
      <c r="I122" s="13"/>
      <c r="J122" s="13"/>
      <c r="K122" s="13"/>
      <c r="L122" s="13"/>
      <c r="M122" s="13"/>
      <c r="N122" s="13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75" customHeight="1">
      <c r="A123" s="37"/>
      <c r="B123" s="38">
        <f t="shared" si="4"/>
        <v>113</v>
      </c>
      <c r="C123" s="11">
        <f t="shared" si="5"/>
        <v>176000.00000000015</v>
      </c>
      <c r="D123" s="11">
        <f t="shared" si="0"/>
        <v>1403.4487154870637</v>
      </c>
      <c r="E123" s="11">
        <f t="shared" si="1"/>
        <v>177403.4487154872</v>
      </c>
      <c r="F123" s="11">
        <f t="shared" si="6"/>
        <v>571.42857142857144</v>
      </c>
      <c r="G123" s="11">
        <f t="shared" si="2"/>
        <v>1974.8772869156351</v>
      </c>
      <c r="H123" s="11">
        <f t="shared" si="3"/>
        <v>175428.57142857157</v>
      </c>
      <c r="I123" s="13"/>
      <c r="J123" s="13"/>
      <c r="K123" s="13"/>
      <c r="L123" s="13"/>
      <c r="M123" s="13"/>
      <c r="N123" s="13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75" customHeight="1">
      <c r="A124" s="37"/>
      <c r="B124" s="38">
        <f t="shared" si="4"/>
        <v>114</v>
      </c>
      <c r="C124" s="11">
        <f t="shared" si="5"/>
        <v>175428.57142857157</v>
      </c>
      <c r="D124" s="11">
        <f t="shared" si="0"/>
        <v>1398.8920638134043</v>
      </c>
      <c r="E124" s="11">
        <f t="shared" si="1"/>
        <v>176827.46349238497</v>
      </c>
      <c r="F124" s="11">
        <f t="shared" si="6"/>
        <v>571.42857142857144</v>
      </c>
      <c r="G124" s="11">
        <f t="shared" si="2"/>
        <v>1970.3206352419757</v>
      </c>
      <c r="H124" s="11">
        <f t="shared" si="3"/>
        <v>174857.14285714299</v>
      </c>
      <c r="I124" s="13"/>
      <c r="J124" s="13"/>
      <c r="K124" s="13"/>
      <c r="L124" s="13"/>
      <c r="M124" s="13"/>
      <c r="N124" s="13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75" customHeight="1">
      <c r="A125" s="37"/>
      <c r="B125" s="38">
        <f t="shared" si="4"/>
        <v>115</v>
      </c>
      <c r="C125" s="11">
        <f t="shared" si="5"/>
        <v>174857.14285714299</v>
      </c>
      <c r="D125" s="11">
        <f t="shared" si="0"/>
        <v>1394.3354121397449</v>
      </c>
      <c r="E125" s="11">
        <f t="shared" si="1"/>
        <v>176251.47826928273</v>
      </c>
      <c r="F125" s="11">
        <f t="shared" si="6"/>
        <v>571.42857142857144</v>
      </c>
      <c r="G125" s="11">
        <f t="shared" si="2"/>
        <v>1965.7639835683162</v>
      </c>
      <c r="H125" s="11">
        <f t="shared" si="3"/>
        <v>174285.71428571441</v>
      </c>
      <c r="I125" s="13"/>
      <c r="J125" s="13"/>
      <c r="K125" s="13"/>
      <c r="L125" s="13"/>
      <c r="M125" s="13"/>
      <c r="N125" s="13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75" customHeight="1">
      <c r="A126" s="37"/>
      <c r="B126" s="38">
        <f t="shared" si="4"/>
        <v>116</v>
      </c>
      <c r="C126" s="11">
        <f t="shared" si="5"/>
        <v>174285.71428571441</v>
      </c>
      <c r="D126" s="11">
        <f t="shared" si="0"/>
        <v>1389.7787604660855</v>
      </c>
      <c r="E126" s="11">
        <f t="shared" si="1"/>
        <v>175675.49304618049</v>
      </c>
      <c r="F126" s="11">
        <f t="shared" si="6"/>
        <v>571.42857142857144</v>
      </c>
      <c r="G126" s="11">
        <f t="shared" si="2"/>
        <v>1961.2073318946568</v>
      </c>
      <c r="H126" s="11">
        <f t="shared" si="3"/>
        <v>173714.28571428583</v>
      </c>
      <c r="I126" s="13"/>
      <c r="J126" s="13"/>
      <c r="K126" s="13"/>
      <c r="L126" s="13"/>
      <c r="M126" s="13"/>
      <c r="N126" s="13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75" customHeight="1">
      <c r="A127" s="37"/>
      <c r="B127" s="38">
        <f t="shared" si="4"/>
        <v>117</v>
      </c>
      <c r="C127" s="11">
        <f t="shared" si="5"/>
        <v>173714.28571428583</v>
      </c>
      <c r="D127" s="11">
        <f t="shared" si="0"/>
        <v>1385.2221087924263</v>
      </c>
      <c r="E127" s="11">
        <f t="shared" si="1"/>
        <v>175099.50782307825</v>
      </c>
      <c r="F127" s="11">
        <f t="shared" si="6"/>
        <v>571.42857142857144</v>
      </c>
      <c r="G127" s="11">
        <f t="shared" si="2"/>
        <v>1956.6506802209979</v>
      </c>
      <c r="H127" s="11">
        <f t="shared" si="3"/>
        <v>173142.85714285725</v>
      </c>
      <c r="I127" s="13"/>
      <c r="J127" s="13"/>
      <c r="K127" s="13"/>
      <c r="L127" s="13"/>
      <c r="M127" s="13"/>
      <c r="N127" s="13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75" customHeight="1">
      <c r="A128" s="37"/>
      <c r="B128" s="38">
        <f t="shared" si="4"/>
        <v>118</v>
      </c>
      <c r="C128" s="11">
        <f t="shared" si="5"/>
        <v>173142.85714285725</v>
      </c>
      <c r="D128" s="11">
        <f t="shared" si="0"/>
        <v>1380.6654571187669</v>
      </c>
      <c r="E128" s="11">
        <f t="shared" si="1"/>
        <v>174523.52259997602</v>
      </c>
      <c r="F128" s="11">
        <f t="shared" si="6"/>
        <v>571.42857142857144</v>
      </c>
      <c r="G128" s="11">
        <f t="shared" si="2"/>
        <v>1952.0940285473384</v>
      </c>
      <c r="H128" s="11">
        <f t="shared" si="3"/>
        <v>172571.42857142867</v>
      </c>
      <c r="I128" s="13"/>
      <c r="J128" s="13"/>
      <c r="K128" s="13"/>
      <c r="L128" s="13"/>
      <c r="M128" s="13"/>
      <c r="N128" s="13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75" customHeight="1">
      <c r="A129" s="37"/>
      <c r="B129" s="38">
        <f t="shared" si="4"/>
        <v>119</v>
      </c>
      <c r="C129" s="11">
        <f t="shared" si="5"/>
        <v>172571.42857142867</v>
      </c>
      <c r="D129" s="11">
        <f t="shared" si="0"/>
        <v>1376.1088054451075</v>
      </c>
      <c r="E129" s="11">
        <f t="shared" si="1"/>
        <v>173947.53737687378</v>
      </c>
      <c r="F129" s="11">
        <f t="shared" si="6"/>
        <v>571.42857142857144</v>
      </c>
      <c r="G129" s="11">
        <f t="shared" si="2"/>
        <v>1947.537376873679</v>
      </c>
      <c r="H129" s="11">
        <f t="shared" si="3"/>
        <v>172000.00000000009</v>
      </c>
      <c r="I129" s="13"/>
      <c r="J129" s="13"/>
      <c r="K129" s="13"/>
      <c r="L129" s="13"/>
      <c r="M129" s="13"/>
      <c r="N129" s="13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75" customHeight="1">
      <c r="A130" s="37"/>
      <c r="B130" s="38">
        <f t="shared" si="4"/>
        <v>120</v>
      </c>
      <c r="C130" s="11">
        <f t="shared" si="5"/>
        <v>172000.00000000009</v>
      </c>
      <c r="D130" s="11">
        <f t="shared" si="0"/>
        <v>1371.552153771448</v>
      </c>
      <c r="E130" s="11">
        <f t="shared" si="1"/>
        <v>173371.55215377154</v>
      </c>
      <c r="F130" s="11">
        <f t="shared" si="6"/>
        <v>571.42857142857144</v>
      </c>
      <c r="G130" s="11">
        <f t="shared" si="2"/>
        <v>1942.9807252000196</v>
      </c>
      <c r="H130" s="11">
        <f t="shared" si="3"/>
        <v>171428.57142857151</v>
      </c>
      <c r="I130" s="13"/>
      <c r="J130" s="13"/>
      <c r="K130" s="13"/>
      <c r="L130" s="13"/>
      <c r="M130" s="13"/>
      <c r="N130" s="13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75" customHeight="1">
      <c r="A131" s="37"/>
      <c r="B131" s="38">
        <f t="shared" si="4"/>
        <v>121</v>
      </c>
      <c r="C131" s="11">
        <f t="shared" si="5"/>
        <v>171428.57142857151</v>
      </c>
      <c r="D131" s="11">
        <f t="shared" si="0"/>
        <v>1366.9955020977889</v>
      </c>
      <c r="E131" s="11">
        <f t="shared" si="1"/>
        <v>172795.5669306693</v>
      </c>
      <c r="F131" s="11">
        <f t="shared" si="6"/>
        <v>571.42857142857144</v>
      </c>
      <c r="G131" s="11">
        <f t="shared" si="2"/>
        <v>1938.4240735263602</v>
      </c>
      <c r="H131" s="11">
        <f t="shared" si="3"/>
        <v>170857.14285714293</v>
      </c>
      <c r="I131" s="13"/>
      <c r="J131" s="13"/>
      <c r="K131" s="13"/>
      <c r="L131" s="13"/>
      <c r="M131" s="13"/>
      <c r="N131" s="13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75" customHeight="1">
      <c r="A132" s="37"/>
      <c r="B132" s="38">
        <f t="shared" si="4"/>
        <v>122</v>
      </c>
      <c r="C132" s="11">
        <f t="shared" si="5"/>
        <v>170857.14285714293</v>
      </c>
      <c r="D132" s="11">
        <f t="shared" si="0"/>
        <v>1362.4388504241294</v>
      </c>
      <c r="E132" s="11">
        <f t="shared" si="1"/>
        <v>172219.58170756706</v>
      </c>
      <c r="F132" s="11">
        <f t="shared" si="6"/>
        <v>571.42857142857144</v>
      </c>
      <c r="G132" s="11">
        <f t="shared" si="2"/>
        <v>1933.8674218527008</v>
      </c>
      <c r="H132" s="11">
        <f t="shared" si="3"/>
        <v>170285.71428571438</v>
      </c>
      <c r="I132" s="13"/>
      <c r="J132" s="13"/>
      <c r="K132" s="13"/>
      <c r="L132" s="13"/>
      <c r="M132" s="13"/>
      <c r="N132" s="13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75" customHeight="1">
      <c r="A133" s="37"/>
      <c r="B133" s="38">
        <f t="shared" si="4"/>
        <v>123</v>
      </c>
      <c r="C133" s="11">
        <f t="shared" si="5"/>
        <v>170285.71428571438</v>
      </c>
      <c r="D133" s="11">
        <f t="shared" si="0"/>
        <v>1357.8821987504703</v>
      </c>
      <c r="E133" s="11">
        <f t="shared" si="1"/>
        <v>171643.59648446486</v>
      </c>
      <c r="F133" s="11">
        <f t="shared" si="6"/>
        <v>571.42857142857144</v>
      </c>
      <c r="G133" s="11">
        <f t="shared" si="2"/>
        <v>1929.3107701790418</v>
      </c>
      <c r="H133" s="11">
        <f t="shared" si="3"/>
        <v>169714.28571428583</v>
      </c>
      <c r="I133" s="13"/>
      <c r="J133" s="13"/>
      <c r="K133" s="13"/>
      <c r="L133" s="13"/>
      <c r="M133" s="13"/>
      <c r="N133" s="13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75" customHeight="1">
      <c r="A134" s="37"/>
      <c r="B134" s="38">
        <f t="shared" si="4"/>
        <v>124</v>
      </c>
      <c r="C134" s="11">
        <f t="shared" si="5"/>
        <v>169714.28571428583</v>
      </c>
      <c r="D134" s="11">
        <f t="shared" si="0"/>
        <v>1353.3255470768113</v>
      </c>
      <c r="E134" s="11">
        <f t="shared" si="1"/>
        <v>171067.61126136265</v>
      </c>
      <c r="F134" s="11">
        <f t="shared" si="6"/>
        <v>571.42857142857144</v>
      </c>
      <c r="G134" s="11">
        <f t="shared" si="2"/>
        <v>1924.7541185053828</v>
      </c>
      <c r="H134" s="11">
        <f t="shared" si="3"/>
        <v>169142.85714285728</v>
      </c>
      <c r="I134" s="13"/>
      <c r="J134" s="13"/>
      <c r="K134" s="13"/>
      <c r="L134" s="13"/>
      <c r="M134" s="13"/>
      <c r="N134" s="13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75" customHeight="1">
      <c r="A135" s="37"/>
      <c r="B135" s="38">
        <f t="shared" si="4"/>
        <v>125</v>
      </c>
      <c r="C135" s="11">
        <f t="shared" si="5"/>
        <v>169142.85714285728</v>
      </c>
      <c r="D135" s="11">
        <f t="shared" si="0"/>
        <v>1348.7688954031521</v>
      </c>
      <c r="E135" s="11">
        <f t="shared" si="1"/>
        <v>170491.62603826044</v>
      </c>
      <c r="F135" s="11">
        <f t="shared" si="6"/>
        <v>571.42857142857144</v>
      </c>
      <c r="G135" s="11">
        <f t="shared" si="2"/>
        <v>1920.1974668317234</v>
      </c>
      <c r="H135" s="11">
        <f t="shared" si="3"/>
        <v>168571.42857142873</v>
      </c>
      <c r="I135" s="13"/>
      <c r="J135" s="13"/>
      <c r="K135" s="13"/>
      <c r="L135" s="13"/>
      <c r="M135" s="13"/>
      <c r="N135" s="13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75" customHeight="1">
      <c r="A136" s="37"/>
      <c r="B136" s="38">
        <f t="shared" si="4"/>
        <v>126</v>
      </c>
      <c r="C136" s="11">
        <f t="shared" si="5"/>
        <v>168571.42857142873</v>
      </c>
      <c r="D136" s="11">
        <f t="shared" si="0"/>
        <v>1344.2122437294929</v>
      </c>
      <c r="E136" s="11">
        <f t="shared" si="1"/>
        <v>169915.64081515823</v>
      </c>
      <c r="F136" s="11">
        <f t="shared" si="6"/>
        <v>571.42857142857144</v>
      </c>
      <c r="G136" s="11">
        <f t="shared" si="2"/>
        <v>1915.6408151580645</v>
      </c>
      <c r="H136" s="11">
        <f t="shared" si="3"/>
        <v>168000.00000000017</v>
      </c>
      <c r="I136" s="13"/>
      <c r="J136" s="13"/>
      <c r="K136" s="13"/>
      <c r="L136" s="13"/>
      <c r="M136" s="13"/>
      <c r="N136" s="13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75" customHeight="1">
      <c r="A137" s="37"/>
      <c r="B137" s="38">
        <f t="shared" si="4"/>
        <v>127</v>
      </c>
      <c r="C137" s="11">
        <f t="shared" si="5"/>
        <v>168000.00000000017</v>
      </c>
      <c r="D137" s="11">
        <f t="shared" si="0"/>
        <v>1339.6555920558337</v>
      </c>
      <c r="E137" s="11">
        <f t="shared" si="1"/>
        <v>169339.65559205602</v>
      </c>
      <c r="F137" s="11">
        <f t="shared" si="6"/>
        <v>571.42857142857144</v>
      </c>
      <c r="G137" s="11">
        <f t="shared" si="2"/>
        <v>1911.0841634844051</v>
      </c>
      <c r="H137" s="11">
        <f t="shared" si="3"/>
        <v>167428.57142857162</v>
      </c>
      <c r="I137" s="13"/>
      <c r="J137" s="13"/>
      <c r="K137" s="13"/>
      <c r="L137" s="13"/>
      <c r="M137" s="13"/>
      <c r="N137" s="13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75" customHeight="1">
      <c r="A138" s="37"/>
      <c r="B138" s="38">
        <f t="shared" si="4"/>
        <v>128</v>
      </c>
      <c r="C138" s="11">
        <f t="shared" si="5"/>
        <v>167428.57142857162</v>
      </c>
      <c r="D138" s="11">
        <f t="shared" si="0"/>
        <v>1335.0989403821748</v>
      </c>
      <c r="E138" s="11">
        <f t="shared" si="1"/>
        <v>168763.67036895381</v>
      </c>
      <c r="F138" s="11">
        <f t="shared" si="6"/>
        <v>571.42857142857144</v>
      </c>
      <c r="G138" s="11">
        <f t="shared" si="2"/>
        <v>1906.5275118107461</v>
      </c>
      <c r="H138" s="11">
        <f t="shared" si="3"/>
        <v>166857.14285714307</v>
      </c>
      <c r="I138" s="13"/>
      <c r="J138" s="13"/>
      <c r="K138" s="13"/>
      <c r="L138" s="13"/>
      <c r="M138" s="13"/>
      <c r="N138" s="13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75" customHeight="1">
      <c r="A139" s="37"/>
      <c r="B139" s="38">
        <f t="shared" si="4"/>
        <v>129</v>
      </c>
      <c r="C139" s="11">
        <f t="shared" si="5"/>
        <v>166857.14285714307</v>
      </c>
      <c r="D139" s="11">
        <f t="shared" si="0"/>
        <v>1330.5422887085156</v>
      </c>
      <c r="E139" s="11">
        <f t="shared" si="1"/>
        <v>168187.6851458516</v>
      </c>
      <c r="F139" s="11">
        <f t="shared" si="6"/>
        <v>571.42857142857144</v>
      </c>
      <c r="G139" s="11">
        <f t="shared" si="2"/>
        <v>1901.9708601370871</v>
      </c>
      <c r="H139" s="11">
        <f t="shared" si="3"/>
        <v>166285.71428571452</v>
      </c>
      <c r="I139" s="13"/>
      <c r="J139" s="13"/>
      <c r="K139" s="13"/>
      <c r="L139" s="13"/>
      <c r="M139" s="13"/>
      <c r="N139" s="13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75" customHeight="1">
      <c r="A140" s="37"/>
      <c r="B140" s="38">
        <f t="shared" si="4"/>
        <v>130</v>
      </c>
      <c r="C140" s="11">
        <f t="shared" si="5"/>
        <v>166285.71428571452</v>
      </c>
      <c r="D140" s="11">
        <f t="shared" si="0"/>
        <v>1325.9856370348564</v>
      </c>
      <c r="E140" s="11">
        <f t="shared" si="1"/>
        <v>167611.69992274937</v>
      </c>
      <c r="F140" s="11">
        <f t="shared" si="6"/>
        <v>571.42857142857144</v>
      </c>
      <c r="G140" s="11">
        <f t="shared" si="2"/>
        <v>1897.4142084634277</v>
      </c>
      <c r="H140" s="11">
        <f t="shared" si="3"/>
        <v>165714.28571428594</v>
      </c>
      <c r="I140" s="13"/>
      <c r="J140" s="13"/>
      <c r="K140" s="13"/>
      <c r="L140" s="13"/>
      <c r="M140" s="13"/>
      <c r="N140" s="13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75" customHeight="1">
      <c r="A141" s="37"/>
      <c r="B141" s="38">
        <f t="shared" si="4"/>
        <v>131</v>
      </c>
      <c r="C141" s="11">
        <f t="shared" si="5"/>
        <v>165714.28571428594</v>
      </c>
      <c r="D141" s="11">
        <f t="shared" si="0"/>
        <v>1321.428985361197</v>
      </c>
      <c r="E141" s="11">
        <f t="shared" si="1"/>
        <v>167035.71469964713</v>
      </c>
      <c r="F141" s="11">
        <f t="shared" si="6"/>
        <v>571.42857142857144</v>
      </c>
      <c r="G141" s="11">
        <f t="shared" si="2"/>
        <v>1892.8575567897683</v>
      </c>
      <c r="H141" s="11">
        <f t="shared" si="3"/>
        <v>165142.85714285736</v>
      </c>
      <c r="I141" s="13"/>
      <c r="J141" s="13"/>
      <c r="K141" s="13"/>
      <c r="L141" s="13"/>
      <c r="M141" s="13"/>
      <c r="N141" s="13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75" customHeight="1">
      <c r="A142" s="37"/>
      <c r="B142" s="38">
        <f t="shared" si="4"/>
        <v>132</v>
      </c>
      <c r="C142" s="11">
        <f t="shared" si="5"/>
        <v>165142.85714285736</v>
      </c>
      <c r="D142" s="11">
        <f t="shared" si="0"/>
        <v>1316.8723336875378</v>
      </c>
      <c r="E142" s="11">
        <f t="shared" si="1"/>
        <v>166459.72947654489</v>
      </c>
      <c r="F142" s="11">
        <f t="shared" si="6"/>
        <v>571.42857142857144</v>
      </c>
      <c r="G142" s="11">
        <f t="shared" si="2"/>
        <v>1888.3009051161093</v>
      </c>
      <c r="H142" s="11">
        <f t="shared" si="3"/>
        <v>164571.42857142878</v>
      </c>
      <c r="I142" s="13"/>
      <c r="J142" s="13"/>
      <c r="K142" s="13"/>
      <c r="L142" s="13"/>
      <c r="M142" s="13"/>
      <c r="N142" s="13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75" customHeight="1">
      <c r="A143" s="37"/>
      <c r="B143" s="38">
        <f t="shared" si="4"/>
        <v>133</v>
      </c>
      <c r="C143" s="11">
        <f t="shared" si="5"/>
        <v>164571.42857142878</v>
      </c>
      <c r="D143" s="11">
        <f t="shared" si="0"/>
        <v>1312.3156820138784</v>
      </c>
      <c r="E143" s="11">
        <f t="shared" si="1"/>
        <v>165883.74425344265</v>
      </c>
      <c r="F143" s="11">
        <f t="shared" si="6"/>
        <v>571.42857142857144</v>
      </c>
      <c r="G143" s="11">
        <f t="shared" si="2"/>
        <v>1883.7442534424499</v>
      </c>
      <c r="H143" s="11">
        <f t="shared" si="3"/>
        <v>164000.0000000002</v>
      </c>
      <c r="I143" s="13"/>
      <c r="J143" s="13"/>
      <c r="K143" s="13"/>
      <c r="L143" s="13"/>
      <c r="M143" s="13"/>
      <c r="N143" s="13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75" customHeight="1">
      <c r="A144" s="37"/>
      <c r="B144" s="38">
        <f t="shared" si="4"/>
        <v>134</v>
      </c>
      <c r="C144" s="11">
        <f t="shared" si="5"/>
        <v>164000.0000000002</v>
      </c>
      <c r="D144" s="11">
        <f t="shared" si="0"/>
        <v>1307.7590303402189</v>
      </c>
      <c r="E144" s="11">
        <f t="shared" si="1"/>
        <v>165307.75903034041</v>
      </c>
      <c r="F144" s="11">
        <f t="shared" si="6"/>
        <v>571.42857142857144</v>
      </c>
      <c r="G144" s="11">
        <f t="shared" si="2"/>
        <v>1879.1876017687905</v>
      </c>
      <c r="H144" s="11">
        <f t="shared" si="3"/>
        <v>163428.57142857162</v>
      </c>
      <c r="I144" s="13"/>
      <c r="J144" s="13"/>
      <c r="K144" s="13"/>
      <c r="L144" s="13"/>
      <c r="M144" s="13"/>
      <c r="N144" s="13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75" customHeight="1">
      <c r="A145" s="37"/>
      <c r="B145" s="38">
        <f t="shared" si="4"/>
        <v>135</v>
      </c>
      <c r="C145" s="11">
        <f t="shared" si="5"/>
        <v>163428.57142857162</v>
      </c>
      <c r="D145" s="11">
        <f t="shared" si="0"/>
        <v>1303.2023786665595</v>
      </c>
      <c r="E145" s="11">
        <f t="shared" si="1"/>
        <v>164731.77380723818</v>
      </c>
      <c r="F145" s="11">
        <f t="shared" si="6"/>
        <v>571.42857142857144</v>
      </c>
      <c r="G145" s="11">
        <f t="shared" si="2"/>
        <v>1874.6309500951311</v>
      </c>
      <c r="H145" s="11">
        <f t="shared" si="3"/>
        <v>162857.14285714304</v>
      </c>
      <c r="I145" s="13"/>
      <c r="J145" s="13"/>
      <c r="K145" s="13"/>
      <c r="L145" s="13"/>
      <c r="M145" s="13"/>
      <c r="N145" s="13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75" customHeight="1">
      <c r="A146" s="37"/>
      <c r="B146" s="38">
        <f t="shared" si="4"/>
        <v>136</v>
      </c>
      <c r="C146" s="11">
        <f t="shared" si="5"/>
        <v>162857.14285714304</v>
      </c>
      <c r="D146" s="11">
        <f t="shared" si="0"/>
        <v>1298.6457269929003</v>
      </c>
      <c r="E146" s="11">
        <f t="shared" si="1"/>
        <v>164155.78858413594</v>
      </c>
      <c r="F146" s="11">
        <f t="shared" si="6"/>
        <v>571.42857142857144</v>
      </c>
      <c r="G146" s="11">
        <f t="shared" si="2"/>
        <v>1870.0742984214717</v>
      </c>
      <c r="H146" s="11">
        <f t="shared" si="3"/>
        <v>162285.71428571446</v>
      </c>
      <c r="I146" s="13"/>
      <c r="J146" s="13"/>
      <c r="K146" s="13"/>
      <c r="L146" s="13"/>
      <c r="M146" s="13"/>
      <c r="N146" s="13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75" customHeight="1">
      <c r="A147" s="37"/>
      <c r="B147" s="38">
        <f t="shared" si="4"/>
        <v>137</v>
      </c>
      <c r="C147" s="11">
        <f t="shared" si="5"/>
        <v>162285.71428571446</v>
      </c>
      <c r="D147" s="11">
        <f t="shared" si="0"/>
        <v>1294.0890753192409</v>
      </c>
      <c r="E147" s="11">
        <f t="shared" si="1"/>
        <v>163579.8033610337</v>
      </c>
      <c r="F147" s="11">
        <f t="shared" si="6"/>
        <v>571.42857142857144</v>
      </c>
      <c r="G147" s="11">
        <f t="shared" si="2"/>
        <v>1865.5176467478123</v>
      </c>
      <c r="H147" s="11">
        <f t="shared" si="3"/>
        <v>161714.28571428588</v>
      </c>
      <c r="I147" s="13"/>
      <c r="J147" s="13"/>
      <c r="K147" s="13"/>
      <c r="L147" s="13"/>
      <c r="M147" s="13"/>
      <c r="N147" s="13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75" customHeight="1">
      <c r="A148" s="37"/>
      <c r="B148" s="38">
        <f t="shared" si="4"/>
        <v>138</v>
      </c>
      <c r="C148" s="11">
        <f t="shared" si="5"/>
        <v>161714.28571428588</v>
      </c>
      <c r="D148" s="11">
        <f t="shared" si="0"/>
        <v>1289.5324236455815</v>
      </c>
      <c r="E148" s="11">
        <f t="shared" si="1"/>
        <v>163003.81813793146</v>
      </c>
      <c r="F148" s="11">
        <f t="shared" si="6"/>
        <v>571.42857142857144</v>
      </c>
      <c r="G148" s="11">
        <f t="shared" si="2"/>
        <v>1860.9609950741528</v>
      </c>
      <c r="H148" s="11">
        <f t="shared" si="3"/>
        <v>161142.85714285731</v>
      </c>
      <c r="I148" s="13"/>
      <c r="J148" s="13"/>
      <c r="K148" s="13"/>
      <c r="L148" s="13"/>
      <c r="M148" s="13"/>
      <c r="N148" s="13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75" customHeight="1">
      <c r="A149" s="37"/>
      <c r="B149" s="38">
        <f t="shared" si="4"/>
        <v>139</v>
      </c>
      <c r="C149" s="11">
        <f t="shared" si="5"/>
        <v>161142.85714285731</v>
      </c>
      <c r="D149" s="11">
        <f t="shared" si="0"/>
        <v>1284.9757719719221</v>
      </c>
      <c r="E149" s="11">
        <f t="shared" si="1"/>
        <v>162427.83291482923</v>
      </c>
      <c r="F149" s="11">
        <f t="shared" si="6"/>
        <v>571.42857142857144</v>
      </c>
      <c r="G149" s="11">
        <f t="shared" si="2"/>
        <v>1856.4043434004934</v>
      </c>
      <c r="H149" s="11">
        <f t="shared" si="3"/>
        <v>160571.42857142873</v>
      </c>
      <c r="I149" s="13"/>
      <c r="J149" s="13"/>
      <c r="K149" s="13"/>
      <c r="L149" s="13"/>
      <c r="M149" s="13"/>
      <c r="N149" s="13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75" customHeight="1">
      <c r="A150" s="37"/>
      <c r="B150" s="38">
        <f t="shared" si="4"/>
        <v>140</v>
      </c>
      <c r="C150" s="11">
        <f t="shared" si="5"/>
        <v>160571.42857142873</v>
      </c>
      <c r="D150" s="11">
        <f t="shared" si="0"/>
        <v>1280.4191202982629</v>
      </c>
      <c r="E150" s="11">
        <f t="shared" si="1"/>
        <v>161851.84769172699</v>
      </c>
      <c r="F150" s="11">
        <f t="shared" si="6"/>
        <v>571.42857142857144</v>
      </c>
      <c r="G150" s="11">
        <f t="shared" si="2"/>
        <v>1851.8476917268345</v>
      </c>
      <c r="H150" s="11">
        <f t="shared" si="3"/>
        <v>160000.00000000015</v>
      </c>
      <c r="I150" s="13"/>
      <c r="J150" s="13"/>
      <c r="K150" s="13"/>
      <c r="L150" s="13"/>
      <c r="M150" s="13"/>
      <c r="N150" s="13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75" customHeight="1">
      <c r="A151" s="37"/>
      <c r="B151" s="38">
        <f t="shared" si="4"/>
        <v>141</v>
      </c>
      <c r="C151" s="11">
        <f t="shared" si="5"/>
        <v>160000.00000000015</v>
      </c>
      <c r="D151" s="11">
        <f t="shared" si="0"/>
        <v>1275.8624686246035</v>
      </c>
      <c r="E151" s="11">
        <f t="shared" si="1"/>
        <v>161275.86246862475</v>
      </c>
      <c r="F151" s="11">
        <f t="shared" si="6"/>
        <v>571.42857142857144</v>
      </c>
      <c r="G151" s="11">
        <f t="shared" si="2"/>
        <v>1847.291040053175</v>
      </c>
      <c r="H151" s="11">
        <f t="shared" si="3"/>
        <v>159428.57142857157</v>
      </c>
      <c r="I151" s="13"/>
      <c r="J151" s="13"/>
      <c r="K151" s="13"/>
      <c r="L151" s="13"/>
      <c r="M151" s="13"/>
      <c r="N151" s="13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75" customHeight="1">
      <c r="A152" s="37"/>
      <c r="B152" s="38">
        <f t="shared" si="4"/>
        <v>142</v>
      </c>
      <c r="C152" s="11">
        <f t="shared" si="5"/>
        <v>159428.57142857157</v>
      </c>
      <c r="D152" s="11">
        <f t="shared" si="0"/>
        <v>1271.3058169509441</v>
      </c>
      <c r="E152" s="11">
        <f t="shared" si="1"/>
        <v>160699.87724552251</v>
      </c>
      <c r="F152" s="11">
        <f t="shared" si="6"/>
        <v>571.42857142857144</v>
      </c>
      <c r="G152" s="11">
        <f t="shared" si="2"/>
        <v>1842.7343883795156</v>
      </c>
      <c r="H152" s="11">
        <f t="shared" si="3"/>
        <v>158857.14285714299</v>
      </c>
      <c r="I152" s="13"/>
      <c r="J152" s="13"/>
      <c r="K152" s="13"/>
      <c r="L152" s="13"/>
      <c r="M152" s="13"/>
      <c r="N152" s="13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75" customHeight="1">
      <c r="A153" s="37"/>
      <c r="B153" s="38">
        <f t="shared" si="4"/>
        <v>143</v>
      </c>
      <c r="C153" s="11">
        <f t="shared" si="5"/>
        <v>158857.14285714299</v>
      </c>
      <c r="D153" s="11">
        <f t="shared" si="0"/>
        <v>1266.7491652772846</v>
      </c>
      <c r="E153" s="11">
        <f t="shared" si="1"/>
        <v>160123.89202242027</v>
      </c>
      <c r="F153" s="11">
        <f t="shared" si="6"/>
        <v>571.42857142857144</v>
      </c>
      <c r="G153" s="11">
        <f t="shared" si="2"/>
        <v>1838.1777367058562</v>
      </c>
      <c r="H153" s="11">
        <f t="shared" si="3"/>
        <v>158285.71428571441</v>
      </c>
      <c r="I153" s="13"/>
      <c r="J153" s="13"/>
      <c r="K153" s="13"/>
      <c r="L153" s="13"/>
      <c r="M153" s="13"/>
      <c r="N153" s="13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75" customHeight="1">
      <c r="A154" s="37"/>
      <c r="B154" s="38">
        <f t="shared" si="4"/>
        <v>144</v>
      </c>
      <c r="C154" s="11">
        <f t="shared" si="5"/>
        <v>158285.71428571441</v>
      </c>
      <c r="D154" s="11">
        <f t="shared" si="0"/>
        <v>1262.1925136036255</v>
      </c>
      <c r="E154" s="11">
        <f t="shared" si="1"/>
        <v>159547.90679931804</v>
      </c>
      <c r="F154" s="11">
        <f t="shared" si="6"/>
        <v>571.42857142857144</v>
      </c>
      <c r="G154" s="11">
        <f t="shared" si="2"/>
        <v>1833.6210850321968</v>
      </c>
      <c r="H154" s="11">
        <f t="shared" si="3"/>
        <v>157714.28571428583</v>
      </c>
      <c r="I154" s="13"/>
      <c r="J154" s="13"/>
      <c r="K154" s="13"/>
      <c r="L154" s="13"/>
      <c r="M154" s="13"/>
      <c r="N154" s="13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75" customHeight="1">
      <c r="A155" s="37"/>
      <c r="B155" s="38">
        <f t="shared" si="4"/>
        <v>145</v>
      </c>
      <c r="C155" s="11">
        <f t="shared" si="5"/>
        <v>157714.28571428583</v>
      </c>
      <c r="D155" s="11">
        <f t="shared" si="0"/>
        <v>1257.635861929966</v>
      </c>
      <c r="E155" s="11">
        <f t="shared" si="1"/>
        <v>158971.9215762158</v>
      </c>
      <c r="F155" s="11">
        <f t="shared" si="6"/>
        <v>571.42857142857144</v>
      </c>
      <c r="G155" s="11">
        <f t="shared" si="2"/>
        <v>1829.0644333585374</v>
      </c>
      <c r="H155" s="11">
        <f t="shared" si="3"/>
        <v>157142.85714285725</v>
      </c>
      <c r="I155" s="13"/>
      <c r="J155" s="13"/>
      <c r="K155" s="13"/>
      <c r="L155" s="13"/>
      <c r="M155" s="13"/>
      <c r="N155" s="13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75" customHeight="1">
      <c r="A156" s="37"/>
      <c r="B156" s="38">
        <f t="shared" si="4"/>
        <v>146</v>
      </c>
      <c r="C156" s="11">
        <f t="shared" si="5"/>
        <v>157142.85714285725</v>
      </c>
      <c r="D156" s="11">
        <f t="shared" si="0"/>
        <v>1253.0792102563066</v>
      </c>
      <c r="E156" s="11">
        <f t="shared" si="1"/>
        <v>158395.93635311356</v>
      </c>
      <c r="F156" s="11">
        <f t="shared" si="6"/>
        <v>571.42857142857144</v>
      </c>
      <c r="G156" s="11">
        <f t="shared" si="2"/>
        <v>1824.507781684878</v>
      </c>
      <c r="H156" s="11">
        <f t="shared" si="3"/>
        <v>156571.4285714287</v>
      </c>
      <c r="I156" s="13"/>
      <c r="J156" s="13"/>
      <c r="K156" s="13"/>
      <c r="L156" s="13"/>
      <c r="M156" s="13"/>
      <c r="N156" s="13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75" customHeight="1">
      <c r="A157" s="37"/>
      <c r="B157" s="38">
        <f t="shared" si="4"/>
        <v>147</v>
      </c>
      <c r="C157" s="11">
        <f t="shared" si="5"/>
        <v>156571.4285714287</v>
      </c>
      <c r="D157" s="11">
        <f t="shared" si="0"/>
        <v>1248.5225585826474</v>
      </c>
      <c r="E157" s="11">
        <f t="shared" si="1"/>
        <v>157819.95113001135</v>
      </c>
      <c r="F157" s="11">
        <f t="shared" si="6"/>
        <v>571.42857142857144</v>
      </c>
      <c r="G157" s="11">
        <f t="shared" si="2"/>
        <v>1819.951130011219</v>
      </c>
      <c r="H157" s="11">
        <f t="shared" si="3"/>
        <v>156000.00000000015</v>
      </c>
      <c r="I157" s="13"/>
      <c r="J157" s="13"/>
      <c r="K157" s="13"/>
      <c r="L157" s="13"/>
      <c r="M157" s="13"/>
      <c r="N157" s="13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75" customHeight="1">
      <c r="A158" s="37"/>
      <c r="B158" s="38">
        <f t="shared" si="4"/>
        <v>148</v>
      </c>
      <c r="C158" s="11">
        <f t="shared" si="5"/>
        <v>156000.00000000015</v>
      </c>
      <c r="D158" s="11">
        <f t="shared" si="0"/>
        <v>1243.9659069089885</v>
      </c>
      <c r="E158" s="11">
        <f t="shared" si="1"/>
        <v>157243.96590690914</v>
      </c>
      <c r="F158" s="11">
        <f t="shared" si="6"/>
        <v>571.42857142857144</v>
      </c>
      <c r="G158" s="11">
        <f t="shared" si="2"/>
        <v>1815.39447833756</v>
      </c>
      <c r="H158" s="11">
        <f t="shared" si="3"/>
        <v>155428.57142857159</v>
      </c>
      <c r="I158" s="13"/>
      <c r="J158" s="13"/>
      <c r="K158" s="13"/>
      <c r="L158" s="13"/>
      <c r="M158" s="13"/>
      <c r="N158" s="13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75" customHeight="1">
      <c r="A159" s="37"/>
      <c r="B159" s="38">
        <f t="shared" si="4"/>
        <v>149</v>
      </c>
      <c r="C159" s="11">
        <f t="shared" si="5"/>
        <v>155428.57142857159</v>
      </c>
      <c r="D159" s="11">
        <f t="shared" si="0"/>
        <v>1239.4092552353293</v>
      </c>
      <c r="E159" s="11">
        <f t="shared" si="1"/>
        <v>156667.98068380693</v>
      </c>
      <c r="F159" s="11">
        <f t="shared" si="6"/>
        <v>571.42857142857144</v>
      </c>
      <c r="G159" s="11">
        <f t="shared" si="2"/>
        <v>1810.8378266639006</v>
      </c>
      <c r="H159" s="11">
        <f t="shared" si="3"/>
        <v>154857.14285714304</v>
      </c>
      <c r="I159" s="13"/>
      <c r="J159" s="13"/>
      <c r="K159" s="13"/>
      <c r="L159" s="13"/>
      <c r="M159" s="13"/>
      <c r="N159" s="13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75" customHeight="1">
      <c r="A160" s="37"/>
      <c r="B160" s="38">
        <f t="shared" si="4"/>
        <v>150</v>
      </c>
      <c r="C160" s="11">
        <f t="shared" si="5"/>
        <v>154857.14285714304</v>
      </c>
      <c r="D160" s="11">
        <f t="shared" si="0"/>
        <v>1234.8526035616701</v>
      </c>
      <c r="E160" s="11">
        <f t="shared" si="1"/>
        <v>156091.99546070473</v>
      </c>
      <c r="F160" s="11">
        <f t="shared" si="6"/>
        <v>571.42857142857144</v>
      </c>
      <c r="G160" s="11">
        <f t="shared" si="2"/>
        <v>1806.2811749902417</v>
      </c>
      <c r="H160" s="11">
        <f t="shared" si="3"/>
        <v>154285.71428571449</v>
      </c>
      <c r="I160" s="13"/>
      <c r="J160" s="13"/>
      <c r="K160" s="13"/>
      <c r="L160" s="13"/>
      <c r="M160" s="13"/>
      <c r="N160" s="13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75" customHeight="1">
      <c r="A161" s="37"/>
      <c r="B161" s="38">
        <f t="shared" si="4"/>
        <v>151</v>
      </c>
      <c r="C161" s="11">
        <f t="shared" si="5"/>
        <v>154285.71428571449</v>
      </c>
      <c r="D161" s="11">
        <f t="shared" si="0"/>
        <v>1230.2959518880109</v>
      </c>
      <c r="E161" s="11">
        <f t="shared" si="1"/>
        <v>155516.01023760252</v>
      </c>
      <c r="F161" s="11">
        <f t="shared" si="6"/>
        <v>571.42857142857144</v>
      </c>
      <c r="G161" s="11">
        <f t="shared" si="2"/>
        <v>1801.7245233165822</v>
      </c>
      <c r="H161" s="11">
        <f t="shared" si="3"/>
        <v>153714.28571428594</v>
      </c>
      <c r="I161" s="13"/>
      <c r="J161" s="13"/>
      <c r="K161" s="13"/>
      <c r="L161" s="13"/>
      <c r="M161" s="13"/>
      <c r="N161" s="13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75" customHeight="1">
      <c r="A162" s="37"/>
      <c r="B162" s="38">
        <f t="shared" si="4"/>
        <v>152</v>
      </c>
      <c r="C162" s="11">
        <f t="shared" si="5"/>
        <v>153714.28571428594</v>
      </c>
      <c r="D162" s="11">
        <f t="shared" si="0"/>
        <v>1225.7393002143519</v>
      </c>
      <c r="E162" s="11">
        <f t="shared" si="1"/>
        <v>154940.02501450031</v>
      </c>
      <c r="F162" s="11">
        <f t="shared" si="6"/>
        <v>571.42857142857144</v>
      </c>
      <c r="G162" s="11">
        <f t="shared" si="2"/>
        <v>1797.1678716429233</v>
      </c>
      <c r="H162" s="11">
        <f t="shared" si="3"/>
        <v>153142.85714285739</v>
      </c>
      <c r="I162" s="13"/>
      <c r="J162" s="13"/>
      <c r="K162" s="13"/>
      <c r="L162" s="13"/>
      <c r="M162" s="13"/>
      <c r="N162" s="13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75" customHeight="1">
      <c r="A163" s="37"/>
      <c r="B163" s="38">
        <f t="shared" si="4"/>
        <v>153</v>
      </c>
      <c r="C163" s="11">
        <f t="shared" si="5"/>
        <v>153142.85714285739</v>
      </c>
      <c r="D163" s="11">
        <f t="shared" si="0"/>
        <v>1221.1826485406928</v>
      </c>
      <c r="E163" s="11">
        <f t="shared" si="1"/>
        <v>154364.0397913981</v>
      </c>
      <c r="F163" s="11">
        <f t="shared" si="6"/>
        <v>571.42857142857144</v>
      </c>
      <c r="G163" s="11">
        <f t="shared" si="2"/>
        <v>1792.6112199692643</v>
      </c>
      <c r="H163" s="11">
        <f t="shared" si="3"/>
        <v>152571.42857142884</v>
      </c>
      <c r="I163" s="13"/>
      <c r="J163" s="13"/>
      <c r="K163" s="13"/>
      <c r="L163" s="13"/>
      <c r="M163" s="13"/>
      <c r="N163" s="13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75" customHeight="1">
      <c r="A164" s="37"/>
      <c r="B164" s="38">
        <f t="shared" si="4"/>
        <v>154</v>
      </c>
      <c r="C164" s="11">
        <f t="shared" si="5"/>
        <v>152571.42857142884</v>
      </c>
      <c r="D164" s="11">
        <f t="shared" si="0"/>
        <v>1216.6259968670336</v>
      </c>
      <c r="E164" s="11">
        <f t="shared" si="1"/>
        <v>153788.05456829586</v>
      </c>
      <c r="F164" s="11">
        <f t="shared" si="6"/>
        <v>571.42857142857144</v>
      </c>
      <c r="G164" s="11">
        <f t="shared" si="2"/>
        <v>1788.0545682956049</v>
      </c>
      <c r="H164" s="11">
        <f t="shared" si="3"/>
        <v>152000.00000000026</v>
      </c>
      <c r="I164" s="13"/>
      <c r="J164" s="13"/>
      <c r="K164" s="13"/>
      <c r="L164" s="13"/>
      <c r="M164" s="13"/>
      <c r="N164" s="13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75" customHeight="1">
      <c r="A165" s="37"/>
      <c r="B165" s="38">
        <f t="shared" si="4"/>
        <v>155</v>
      </c>
      <c r="C165" s="11">
        <f t="shared" si="5"/>
        <v>152000.00000000026</v>
      </c>
      <c r="D165" s="11">
        <f t="shared" si="0"/>
        <v>1212.0693451933741</v>
      </c>
      <c r="E165" s="11">
        <f t="shared" si="1"/>
        <v>153212.06934519362</v>
      </c>
      <c r="F165" s="11">
        <f t="shared" si="6"/>
        <v>571.42857142857144</v>
      </c>
      <c r="G165" s="11">
        <f t="shared" si="2"/>
        <v>1783.4979166219455</v>
      </c>
      <c r="H165" s="11">
        <f t="shared" si="3"/>
        <v>151428.57142857168</v>
      </c>
      <c r="I165" s="13"/>
      <c r="J165" s="13"/>
      <c r="K165" s="13"/>
      <c r="L165" s="13"/>
      <c r="M165" s="13"/>
      <c r="N165" s="13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75" customHeight="1">
      <c r="A166" s="37"/>
      <c r="B166" s="38">
        <f t="shared" si="4"/>
        <v>156</v>
      </c>
      <c r="C166" s="11">
        <f t="shared" si="5"/>
        <v>151428.57142857168</v>
      </c>
      <c r="D166" s="11">
        <f t="shared" si="0"/>
        <v>1207.512693519715</v>
      </c>
      <c r="E166" s="11">
        <f t="shared" si="1"/>
        <v>152636.08412209139</v>
      </c>
      <c r="F166" s="11">
        <f t="shared" si="6"/>
        <v>571.42857142857144</v>
      </c>
      <c r="G166" s="11">
        <f t="shared" si="2"/>
        <v>1778.9412649482865</v>
      </c>
      <c r="H166" s="11">
        <f t="shared" si="3"/>
        <v>150857.1428571431</v>
      </c>
      <c r="I166" s="13"/>
      <c r="J166" s="13"/>
      <c r="K166" s="13"/>
      <c r="L166" s="13"/>
      <c r="M166" s="13"/>
      <c r="N166" s="13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75" customHeight="1">
      <c r="A167" s="37"/>
      <c r="B167" s="38">
        <f t="shared" si="4"/>
        <v>157</v>
      </c>
      <c r="C167" s="11">
        <f t="shared" si="5"/>
        <v>150857.1428571431</v>
      </c>
      <c r="D167" s="11">
        <f t="shared" si="0"/>
        <v>1202.9560418460555</v>
      </c>
      <c r="E167" s="11">
        <f t="shared" si="1"/>
        <v>152060.09889898915</v>
      </c>
      <c r="F167" s="11">
        <f t="shared" si="6"/>
        <v>571.42857142857144</v>
      </c>
      <c r="G167" s="11">
        <f t="shared" si="2"/>
        <v>1774.3846132746271</v>
      </c>
      <c r="H167" s="11">
        <f t="shared" si="3"/>
        <v>150285.71428571452</v>
      </c>
      <c r="I167" s="13"/>
      <c r="J167" s="13"/>
      <c r="K167" s="13"/>
      <c r="L167" s="13"/>
      <c r="M167" s="13"/>
      <c r="N167" s="13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75" customHeight="1">
      <c r="A168" s="37"/>
      <c r="B168" s="38">
        <f t="shared" si="4"/>
        <v>158</v>
      </c>
      <c r="C168" s="11">
        <f t="shared" si="5"/>
        <v>150285.71428571452</v>
      </c>
      <c r="D168" s="11">
        <f t="shared" si="0"/>
        <v>1198.3993901723961</v>
      </c>
      <c r="E168" s="11">
        <f t="shared" si="1"/>
        <v>151484.11367588691</v>
      </c>
      <c r="F168" s="11">
        <f t="shared" si="6"/>
        <v>571.42857142857144</v>
      </c>
      <c r="G168" s="11">
        <f t="shared" si="2"/>
        <v>1769.8279616009677</v>
      </c>
      <c r="H168" s="11">
        <f t="shared" si="3"/>
        <v>149714.28571428594</v>
      </c>
      <c r="I168" s="13"/>
      <c r="J168" s="13"/>
      <c r="K168" s="13"/>
      <c r="L168" s="13"/>
      <c r="M168" s="13"/>
      <c r="N168" s="13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75" customHeight="1">
      <c r="A169" s="37"/>
      <c r="B169" s="38">
        <f t="shared" si="4"/>
        <v>159</v>
      </c>
      <c r="C169" s="11">
        <f t="shared" si="5"/>
        <v>149714.28571428594</v>
      </c>
      <c r="D169" s="11">
        <f t="shared" si="0"/>
        <v>1193.8427384987367</v>
      </c>
      <c r="E169" s="11">
        <f t="shared" si="1"/>
        <v>150908.12845278467</v>
      </c>
      <c r="F169" s="11">
        <f t="shared" si="6"/>
        <v>571.42857142857144</v>
      </c>
      <c r="G169" s="11">
        <f t="shared" si="2"/>
        <v>1765.2713099273083</v>
      </c>
      <c r="H169" s="11">
        <f t="shared" si="3"/>
        <v>149142.85714285736</v>
      </c>
      <c r="I169" s="13"/>
      <c r="J169" s="13"/>
      <c r="K169" s="13"/>
      <c r="L169" s="13"/>
      <c r="M169" s="13"/>
      <c r="N169" s="13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75" customHeight="1">
      <c r="A170" s="37"/>
      <c r="B170" s="38">
        <f t="shared" si="4"/>
        <v>160</v>
      </c>
      <c r="C170" s="11">
        <f t="shared" si="5"/>
        <v>149142.85714285736</v>
      </c>
      <c r="D170" s="11">
        <f t="shared" si="0"/>
        <v>1189.2860868250775</v>
      </c>
      <c r="E170" s="11">
        <f t="shared" si="1"/>
        <v>150332.14322968244</v>
      </c>
      <c r="F170" s="11">
        <f t="shared" si="6"/>
        <v>571.42857142857144</v>
      </c>
      <c r="G170" s="11">
        <f t="shared" si="2"/>
        <v>1760.7146582536488</v>
      </c>
      <c r="H170" s="11">
        <f t="shared" si="3"/>
        <v>148571.42857142878</v>
      </c>
      <c r="I170" s="13"/>
      <c r="J170" s="13"/>
      <c r="K170" s="13"/>
      <c r="L170" s="13"/>
      <c r="M170" s="13"/>
      <c r="N170" s="13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75" customHeight="1">
      <c r="A171" s="37"/>
      <c r="B171" s="38">
        <f t="shared" si="4"/>
        <v>161</v>
      </c>
      <c r="C171" s="11">
        <f t="shared" si="5"/>
        <v>148571.42857142878</v>
      </c>
      <c r="D171" s="11">
        <f t="shared" si="0"/>
        <v>1184.7294351514181</v>
      </c>
      <c r="E171" s="11">
        <f t="shared" si="1"/>
        <v>149756.1580065802</v>
      </c>
      <c r="F171" s="11">
        <f t="shared" si="6"/>
        <v>571.42857142857144</v>
      </c>
      <c r="G171" s="11">
        <f t="shared" si="2"/>
        <v>1756.1580065799894</v>
      </c>
      <c r="H171" s="11">
        <f t="shared" si="3"/>
        <v>148000.0000000002</v>
      </c>
      <c r="I171" s="13"/>
      <c r="J171" s="13"/>
      <c r="K171" s="13"/>
      <c r="L171" s="13"/>
      <c r="M171" s="13"/>
      <c r="N171" s="13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75" customHeight="1">
      <c r="A172" s="37"/>
      <c r="B172" s="38">
        <f t="shared" si="4"/>
        <v>162</v>
      </c>
      <c r="C172" s="11">
        <f t="shared" si="5"/>
        <v>148000.0000000002</v>
      </c>
      <c r="D172" s="11">
        <f t="shared" si="0"/>
        <v>1180.1727834777587</v>
      </c>
      <c r="E172" s="11">
        <f t="shared" si="1"/>
        <v>149180.17278347796</v>
      </c>
      <c r="F172" s="11">
        <f t="shared" si="6"/>
        <v>571.42857142857144</v>
      </c>
      <c r="G172" s="11">
        <f t="shared" si="2"/>
        <v>1751.60135490633</v>
      </c>
      <c r="H172" s="11">
        <f t="shared" si="3"/>
        <v>147428.57142857162</v>
      </c>
      <c r="I172" s="13"/>
      <c r="J172" s="13"/>
      <c r="K172" s="13"/>
      <c r="L172" s="13"/>
      <c r="M172" s="13"/>
      <c r="N172" s="13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75" customHeight="1">
      <c r="A173" s="37"/>
      <c r="B173" s="38">
        <f t="shared" si="4"/>
        <v>163</v>
      </c>
      <c r="C173" s="11">
        <f t="shared" si="5"/>
        <v>147428.57142857162</v>
      </c>
      <c r="D173" s="11">
        <f t="shared" si="0"/>
        <v>1175.6161318040993</v>
      </c>
      <c r="E173" s="11">
        <f t="shared" si="1"/>
        <v>148604.18756037572</v>
      </c>
      <c r="F173" s="11">
        <f t="shared" si="6"/>
        <v>571.42857142857144</v>
      </c>
      <c r="G173" s="11">
        <f t="shared" si="2"/>
        <v>1747.0447032326706</v>
      </c>
      <c r="H173" s="11">
        <f t="shared" si="3"/>
        <v>146857.14285714304</v>
      </c>
      <c r="I173" s="13"/>
      <c r="J173" s="13"/>
      <c r="K173" s="13"/>
      <c r="L173" s="13"/>
      <c r="M173" s="13"/>
      <c r="N173" s="13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75" customHeight="1">
      <c r="A174" s="37"/>
      <c r="B174" s="38">
        <f t="shared" si="4"/>
        <v>164</v>
      </c>
      <c r="C174" s="11">
        <f t="shared" si="5"/>
        <v>146857.14285714304</v>
      </c>
      <c r="D174" s="11">
        <f t="shared" si="0"/>
        <v>1171.0594801304401</v>
      </c>
      <c r="E174" s="11">
        <f t="shared" si="1"/>
        <v>148028.20233727348</v>
      </c>
      <c r="F174" s="11">
        <f t="shared" si="6"/>
        <v>571.42857142857144</v>
      </c>
      <c r="G174" s="11">
        <f t="shared" si="2"/>
        <v>1742.4880515590116</v>
      </c>
      <c r="H174" s="11">
        <f t="shared" si="3"/>
        <v>146285.71428571446</v>
      </c>
      <c r="I174" s="13"/>
      <c r="J174" s="13"/>
      <c r="K174" s="13"/>
      <c r="L174" s="13"/>
      <c r="M174" s="13"/>
      <c r="N174" s="13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75" customHeight="1">
      <c r="A175" s="37"/>
      <c r="B175" s="38">
        <f t="shared" si="4"/>
        <v>165</v>
      </c>
      <c r="C175" s="11">
        <f t="shared" si="5"/>
        <v>146285.71428571446</v>
      </c>
      <c r="D175" s="11">
        <f t="shared" si="0"/>
        <v>1166.5028284567807</v>
      </c>
      <c r="E175" s="11">
        <f t="shared" si="1"/>
        <v>147452.21711417125</v>
      </c>
      <c r="F175" s="11">
        <f t="shared" si="6"/>
        <v>571.42857142857144</v>
      </c>
      <c r="G175" s="11">
        <f t="shared" si="2"/>
        <v>1737.9313998853522</v>
      </c>
      <c r="H175" s="11">
        <f t="shared" si="3"/>
        <v>145714.28571428588</v>
      </c>
      <c r="I175" s="13"/>
      <c r="J175" s="13"/>
      <c r="K175" s="13"/>
      <c r="L175" s="13"/>
      <c r="M175" s="13"/>
      <c r="N175" s="13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75" customHeight="1">
      <c r="A176" s="37"/>
      <c r="B176" s="38">
        <f t="shared" si="4"/>
        <v>166</v>
      </c>
      <c r="C176" s="11">
        <f t="shared" si="5"/>
        <v>145714.28571428588</v>
      </c>
      <c r="D176" s="11">
        <f t="shared" si="0"/>
        <v>1161.9461767831212</v>
      </c>
      <c r="E176" s="11">
        <f t="shared" si="1"/>
        <v>146876.23189106901</v>
      </c>
      <c r="F176" s="11">
        <f t="shared" si="6"/>
        <v>571.42857142857144</v>
      </c>
      <c r="G176" s="11">
        <f t="shared" si="2"/>
        <v>1733.3747482116928</v>
      </c>
      <c r="H176" s="11">
        <f t="shared" si="3"/>
        <v>145142.85714285731</v>
      </c>
      <c r="I176" s="13"/>
      <c r="J176" s="13"/>
      <c r="K176" s="13"/>
      <c r="L176" s="13"/>
      <c r="M176" s="13"/>
      <c r="N176" s="13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75" customHeight="1">
      <c r="A177" s="37"/>
      <c r="B177" s="38">
        <f t="shared" si="4"/>
        <v>167</v>
      </c>
      <c r="C177" s="11">
        <f t="shared" si="5"/>
        <v>145142.85714285731</v>
      </c>
      <c r="D177" s="11">
        <f t="shared" si="0"/>
        <v>1157.3895251094618</v>
      </c>
      <c r="E177" s="11">
        <f t="shared" si="1"/>
        <v>146300.24666796677</v>
      </c>
      <c r="F177" s="11">
        <f t="shared" si="6"/>
        <v>571.42857142857144</v>
      </c>
      <c r="G177" s="11">
        <f t="shared" si="2"/>
        <v>1728.8180965380334</v>
      </c>
      <c r="H177" s="11">
        <f t="shared" si="3"/>
        <v>144571.42857142873</v>
      </c>
      <c r="I177" s="13"/>
      <c r="J177" s="13"/>
      <c r="K177" s="13"/>
      <c r="L177" s="13"/>
      <c r="M177" s="13"/>
      <c r="N177" s="13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75" customHeight="1">
      <c r="A178" s="37"/>
      <c r="B178" s="38">
        <f t="shared" si="4"/>
        <v>168</v>
      </c>
      <c r="C178" s="11">
        <f t="shared" si="5"/>
        <v>144571.42857142873</v>
      </c>
      <c r="D178" s="11">
        <f t="shared" si="0"/>
        <v>1152.8328734358026</v>
      </c>
      <c r="E178" s="11">
        <f t="shared" si="1"/>
        <v>145724.26144486453</v>
      </c>
      <c r="F178" s="11">
        <f t="shared" si="6"/>
        <v>571.42857142857144</v>
      </c>
      <c r="G178" s="11">
        <f t="shared" si="2"/>
        <v>1724.261444864374</v>
      </c>
      <c r="H178" s="11">
        <f t="shared" si="3"/>
        <v>144000.00000000015</v>
      </c>
      <c r="I178" s="13"/>
      <c r="J178" s="13"/>
      <c r="K178" s="13"/>
      <c r="L178" s="13"/>
      <c r="M178" s="13"/>
      <c r="N178" s="13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75" customHeight="1">
      <c r="A179" s="37"/>
      <c r="B179" s="38">
        <f t="shared" si="4"/>
        <v>169</v>
      </c>
      <c r="C179" s="11">
        <f t="shared" si="5"/>
        <v>144000.00000000015</v>
      </c>
      <c r="D179" s="11">
        <f t="shared" si="0"/>
        <v>1148.2762217621432</v>
      </c>
      <c r="E179" s="11">
        <f t="shared" si="1"/>
        <v>145148.27622176229</v>
      </c>
      <c r="F179" s="11">
        <f t="shared" si="6"/>
        <v>571.42857142857144</v>
      </c>
      <c r="G179" s="11">
        <f t="shared" si="2"/>
        <v>1719.7047931907146</v>
      </c>
      <c r="H179" s="11">
        <f t="shared" si="3"/>
        <v>143428.57142857159</v>
      </c>
      <c r="I179" s="13"/>
      <c r="J179" s="13"/>
      <c r="K179" s="13"/>
      <c r="L179" s="13"/>
      <c r="M179" s="13"/>
      <c r="N179" s="13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75" customHeight="1">
      <c r="A180" s="37"/>
      <c r="B180" s="38">
        <f t="shared" si="4"/>
        <v>170</v>
      </c>
      <c r="C180" s="11">
        <f t="shared" si="5"/>
        <v>143428.57142857159</v>
      </c>
      <c r="D180" s="11">
        <f t="shared" si="0"/>
        <v>1143.719570088484</v>
      </c>
      <c r="E180" s="11">
        <f t="shared" si="1"/>
        <v>144572.29099866009</v>
      </c>
      <c r="F180" s="11">
        <f t="shared" si="6"/>
        <v>571.42857142857144</v>
      </c>
      <c r="G180" s="11">
        <f t="shared" si="2"/>
        <v>1715.1481415170556</v>
      </c>
      <c r="H180" s="11">
        <f t="shared" si="3"/>
        <v>142857.14285714304</v>
      </c>
      <c r="I180" s="13"/>
      <c r="J180" s="13"/>
      <c r="K180" s="13"/>
      <c r="L180" s="13"/>
      <c r="M180" s="13"/>
      <c r="N180" s="13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75" customHeight="1">
      <c r="A181" s="37"/>
      <c r="B181" s="38">
        <f t="shared" si="4"/>
        <v>171</v>
      </c>
      <c r="C181" s="11">
        <f t="shared" si="5"/>
        <v>142857.14285714304</v>
      </c>
      <c r="D181" s="11">
        <f t="shared" si="0"/>
        <v>1139.1629184148251</v>
      </c>
      <c r="E181" s="11">
        <f t="shared" si="1"/>
        <v>143996.30577555788</v>
      </c>
      <c r="F181" s="11">
        <f t="shared" si="6"/>
        <v>571.42857142857144</v>
      </c>
      <c r="G181" s="11">
        <f t="shared" si="2"/>
        <v>1710.5914898433966</v>
      </c>
      <c r="H181" s="11">
        <f t="shared" si="3"/>
        <v>142285.71428571449</v>
      </c>
      <c r="I181" s="13"/>
      <c r="J181" s="13"/>
      <c r="K181" s="13"/>
      <c r="L181" s="13"/>
      <c r="M181" s="13"/>
      <c r="N181" s="13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75" customHeight="1">
      <c r="A182" s="37"/>
      <c r="B182" s="38">
        <f t="shared" si="4"/>
        <v>172</v>
      </c>
      <c r="C182" s="11">
        <f t="shared" si="5"/>
        <v>142285.71428571449</v>
      </c>
      <c r="D182" s="11">
        <f t="shared" si="0"/>
        <v>1134.6062667411659</v>
      </c>
      <c r="E182" s="11">
        <f t="shared" si="1"/>
        <v>143420.32055245567</v>
      </c>
      <c r="F182" s="11">
        <f t="shared" si="6"/>
        <v>571.42857142857144</v>
      </c>
      <c r="G182" s="11">
        <f t="shared" si="2"/>
        <v>1706.0348381697372</v>
      </c>
      <c r="H182" s="11">
        <f t="shared" si="3"/>
        <v>141714.28571428594</v>
      </c>
      <c r="I182" s="13"/>
      <c r="J182" s="13"/>
      <c r="K182" s="13"/>
      <c r="L182" s="13"/>
      <c r="M182" s="13"/>
      <c r="N182" s="13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75" customHeight="1">
      <c r="A183" s="37"/>
      <c r="B183" s="38">
        <f t="shared" si="4"/>
        <v>173</v>
      </c>
      <c r="C183" s="11">
        <f t="shared" si="5"/>
        <v>141714.28571428594</v>
      </c>
      <c r="D183" s="11">
        <f t="shared" si="0"/>
        <v>1130.0496150675067</v>
      </c>
      <c r="E183" s="11">
        <f t="shared" si="1"/>
        <v>142844.33532935346</v>
      </c>
      <c r="F183" s="11">
        <f t="shared" si="6"/>
        <v>571.42857142857144</v>
      </c>
      <c r="G183" s="11">
        <f t="shared" si="2"/>
        <v>1701.4781864960783</v>
      </c>
      <c r="H183" s="11">
        <f t="shared" si="3"/>
        <v>141142.85714285739</v>
      </c>
      <c r="I183" s="13"/>
      <c r="J183" s="13"/>
      <c r="K183" s="13"/>
      <c r="L183" s="13"/>
      <c r="M183" s="13"/>
      <c r="N183" s="13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75" customHeight="1">
      <c r="A184" s="37"/>
      <c r="B184" s="38">
        <f t="shared" si="4"/>
        <v>174</v>
      </c>
      <c r="C184" s="11">
        <f t="shared" si="5"/>
        <v>141142.85714285739</v>
      </c>
      <c r="D184" s="11">
        <f t="shared" si="0"/>
        <v>1125.4929633938475</v>
      </c>
      <c r="E184" s="11">
        <f t="shared" si="1"/>
        <v>142268.35010625125</v>
      </c>
      <c r="F184" s="11">
        <f t="shared" si="6"/>
        <v>571.42857142857144</v>
      </c>
      <c r="G184" s="11">
        <f t="shared" si="2"/>
        <v>1696.9215348224188</v>
      </c>
      <c r="H184" s="11">
        <f t="shared" si="3"/>
        <v>140571.42857142884</v>
      </c>
      <c r="I184" s="13"/>
      <c r="J184" s="13"/>
      <c r="K184" s="13"/>
      <c r="L184" s="13"/>
      <c r="M184" s="13"/>
      <c r="N184" s="13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75" customHeight="1">
      <c r="A185" s="37"/>
      <c r="B185" s="38">
        <f t="shared" si="4"/>
        <v>175</v>
      </c>
      <c r="C185" s="11">
        <f t="shared" si="5"/>
        <v>140571.42857142884</v>
      </c>
      <c r="D185" s="11">
        <f t="shared" si="0"/>
        <v>1120.9363117201885</v>
      </c>
      <c r="E185" s="11">
        <f t="shared" si="1"/>
        <v>141692.36488314904</v>
      </c>
      <c r="F185" s="11">
        <f t="shared" si="6"/>
        <v>571.42857142857144</v>
      </c>
      <c r="G185" s="11">
        <f t="shared" si="2"/>
        <v>1692.3648831487599</v>
      </c>
      <c r="H185" s="11">
        <f t="shared" si="3"/>
        <v>140000.00000000029</v>
      </c>
      <c r="I185" s="13"/>
      <c r="J185" s="13"/>
      <c r="K185" s="13"/>
      <c r="L185" s="13"/>
      <c r="M185" s="13"/>
      <c r="N185" s="13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75" customHeight="1">
      <c r="A186" s="37"/>
      <c r="B186" s="38">
        <f t="shared" si="4"/>
        <v>176</v>
      </c>
      <c r="C186" s="11">
        <f t="shared" si="5"/>
        <v>140000.00000000029</v>
      </c>
      <c r="D186" s="11">
        <f t="shared" si="0"/>
        <v>1116.3796600465294</v>
      </c>
      <c r="E186" s="11">
        <f t="shared" si="1"/>
        <v>141116.37966004683</v>
      </c>
      <c r="F186" s="11">
        <f t="shared" si="6"/>
        <v>571.42857142857144</v>
      </c>
      <c r="G186" s="11">
        <f t="shared" si="2"/>
        <v>1687.8082314751009</v>
      </c>
      <c r="H186" s="11">
        <f t="shared" si="3"/>
        <v>139428.57142857174</v>
      </c>
      <c r="I186" s="13"/>
      <c r="J186" s="13"/>
      <c r="K186" s="13"/>
      <c r="L186" s="13"/>
      <c r="M186" s="13"/>
      <c r="N186" s="13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75" customHeight="1">
      <c r="A187" s="37"/>
      <c r="B187" s="38">
        <f t="shared" si="4"/>
        <v>177</v>
      </c>
      <c r="C187" s="11">
        <f t="shared" si="5"/>
        <v>139428.57142857174</v>
      </c>
      <c r="D187" s="11">
        <f t="shared" si="0"/>
        <v>1111.8230083728702</v>
      </c>
      <c r="E187" s="11">
        <f t="shared" si="1"/>
        <v>140540.3944369446</v>
      </c>
      <c r="F187" s="11">
        <f t="shared" si="6"/>
        <v>571.42857142857144</v>
      </c>
      <c r="G187" s="11">
        <f t="shared" si="2"/>
        <v>1683.2515798014415</v>
      </c>
      <c r="H187" s="11">
        <f t="shared" si="3"/>
        <v>138857.14285714316</v>
      </c>
      <c r="I187" s="13"/>
      <c r="J187" s="13"/>
      <c r="K187" s="13"/>
      <c r="L187" s="13"/>
      <c r="M187" s="13"/>
      <c r="N187" s="13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75" customHeight="1">
      <c r="A188" s="37"/>
      <c r="B188" s="38">
        <f t="shared" si="4"/>
        <v>178</v>
      </c>
      <c r="C188" s="11">
        <f t="shared" si="5"/>
        <v>138857.14285714316</v>
      </c>
      <c r="D188" s="11">
        <f t="shared" si="0"/>
        <v>1107.2663566992107</v>
      </c>
      <c r="E188" s="11">
        <f t="shared" si="1"/>
        <v>139964.40921384236</v>
      </c>
      <c r="F188" s="11">
        <f t="shared" si="6"/>
        <v>571.42857142857144</v>
      </c>
      <c r="G188" s="11">
        <f t="shared" si="2"/>
        <v>1678.6949281277821</v>
      </c>
      <c r="H188" s="11">
        <f t="shared" si="3"/>
        <v>138285.71428571458</v>
      </c>
      <c r="I188" s="13"/>
      <c r="J188" s="13"/>
      <c r="K188" s="13"/>
      <c r="L188" s="13"/>
      <c r="M188" s="13"/>
      <c r="N188" s="13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75" customHeight="1">
      <c r="A189" s="37"/>
      <c r="B189" s="38">
        <f t="shared" si="4"/>
        <v>179</v>
      </c>
      <c r="C189" s="11">
        <f t="shared" si="5"/>
        <v>138285.71428571458</v>
      </c>
      <c r="D189" s="11">
        <f t="shared" si="0"/>
        <v>1102.7097050255516</v>
      </c>
      <c r="E189" s="11">
        <f t="shared" si="1"/>
        <v>139388.42399074012</v>
      </c>
      <c r="F189" s="11">
        <f t="shared" si="6"/>
        <v>571.42857142857144</v>
      </c>
      <c r="G189" s="11">
        <f t="shared" si="2"/>
        <v>1674.1382764541231</v>
      </c>
      <c r="H189" s="11">
        <f t="shared" si="3"/>
        <v>137714.285714286</v>
      </c>
      <c r="I189" s="13"/>
      <c r="J189" s="13"/>
      <c r="K189" s="13"/>
      <c r="L189" s="13"/>
      <c r="M189" s="13"/>
      <c r="N189" s="13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75" customHeight="1">
      <c r="A190" s="37"/>
      <c r="B190" s="38">
        <f t="shared" si="4"/>
        <v>180</v>
      </c>
      <c r="C190" s="11">
        <f t="shared" si="5"/>
        <v>137714.285714286</v>
      </c>
      <c r="D190" s="11">
        <f t="shared" si="0"/>
        <v>1098.1530533518921</v>
      </c>
      <c r="E190" s="11">
        <f t="shared" si="1"/>
        <v>138812.43876763788</v>
      </c>
      <c r="F190" s="11">
        <f t="shared" si="6"/>
        <v>571.42857142857144</v>
      </c>
      <c r="G190" s="11">
        <f t="shared" si="2"/>
        <v>1669.5816247804637</v>
      </c>
      <c r="H190" s="11">
        <f t="shared" si="3"/>
        <v>137142.85714285742</v>
      </c>
      <c r="I190" s="13"/>
      <c r="J190" s="13"/>
      <c r="K190" s="13"/>
      <c r="L190" s="13"/>
      <c r="M190" s="13"/>
      <c r="N190" s="13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75" customHeight="1">
      <c r="A191" s="37"/>
      <c r="B191" s="38">
        <f t="shared" si="4"/>
        <v>181</v>
      </c>
      <c r="C191" s="11">
        <f t="shared" si="5"/>
        <v>137142.85714285742</v>
      </c>
      <c r="D191" s="11">
        <f t="shared" si="0"/>
        <v>1093.5964016782327</v>
      </c>
      <c r="E191" s="11">
        <f t="shared" si="1"/>
        <v>138236.45354453565</v>
      </c>
      <c r="F191" s="11">
        <f t="shared" si="6"/>
        <v>571.42857142857144</v>
      </c>
      <c r="G191" s="11">
        <f t="shared" si="2"/>
        <v>1665.0249731068043</v>
      </c>
      <c r="H191" s="11">
        <f t="shared" si="3"/>
        <v>136571.42857142884</v>
      </c>
      <c r="I191" s="13"/>
      <c r="J191" s="13"/>
      <c r="K191" s="13"/>
      <c r="L191" s="13"/>
      <c r="M191" s="13"/>
      <c r="N191" s="13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75" customHeight="1">
      <c r="A192" s="37"/>
      <c r="B192" s="38">
        <f t="shared" si="4"/>
        <v>182</v>
      </c>
      <c r="C192" s="11">
        <f t="shared" si="5"/>
        <v>136571.42857142884</v>
      </c>
      <c r="D192" s="11">
        <f t="shared" si="0"/>
        <v>1089.0397500045733</v>
      </c>
      <c r="E192" s="11">
        <f t="shared" si="1"/>
        <v>137660.46832143341</v>
      </c>
      <c r="F192" s="11">
        <f t="shared" si="6"/>
        <v>571.42857142857144</v>
      </c>
      <c r="G192" s="11">
        <f t="shared" si="2"/>
        <v>1660.4683214331449</v>
      </c>
      <c r="H192" s="11">
        <f t="shared" si="3"/>
        <v>136000.00000000026</v>
      </c>
      <c r="I192" s="13"/>
      <c r="J192" s="13"/>
      <c r="K192" s="13"/>
      <c r="L192" s="13"/>
      <c r="M192" s="13"/>
      <c r="N192" s="13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75" customHeight="1">
      <c r="A193" s="37"/>
      <c r="B193" s="38">
        <f t="shared" si="4"/>
        <v>183</v>
      </c>
      <c r="C193" s="11">
        <f t="shared" si="5"/>
        <v>136000.00000000026</v>
      </c>
      <c r="D193" s="11">
        <f t="shared" si="0"/>
        <v>1084.4830983309141</v>
      </c>
      <c r="E193" s="11">
        <f t="shared" si="1"/>
        <v>137084.48309833117</v>
      </c>
      <c r="F193" s="11">
        <f t="shared" si="6"/>
        <v>571.42857142857144</v>
      </c>
      <c r="G193" s="11">
        <f t="shared" si="2"/>
        <v>1655.9116697594854</v>
      </c>
      <c r="H193" s="11">
        <f t="shared" si="3"/>
        <v>135428.57142857168</v>
      </c>
      <c r="I193" s="13"/>
      <c r="J193" s="13"/>
      <c r="K193" s="13"/>
      <c r="L193" s="13"/>
      <c r="M193" s="13"/>
      <c r="N193" s="13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75" customHeight="1">
      <c r="A194" s="37"/>
      <c r="B194" s="38">
        <f t="shared" si="4"/>
        <v>184</v>
      </c>
      <c r="C194" s="11">
        <f t="shared" si="5"/>
        <v>135428.57142857168</v>
      </c>
      <c r="D194" s="11">
        <f t="shared" si="0"/>
        <v>1079.9264466572547</v>
      </c>
      <c r="E194" s="11">
        <f t="shared" si="1"/>
        <v>136508.49787522893</v>
      </c>
      <c r="F194" s="11">
        <f t="shared" si="6"/>
        <v>571.42857142857144</v>
      </c>
      <c r="G194" s="11">
        <f t="shared" si="2"/>
        <v>1651.355018085826</v>
      </c>
      <c r="H194" s="11">
        <f t="shared" si="3"/>
        <v>134857.1428571431</v>
      </c>
      <c r="I194" s="13"/>
      <c r="J194" s="13"/>
      <c r="K194" s="13"/>
      <c r="L194" s="13"/>
      <c r="M194" s="13"/>
      <c r="N194" s="13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75" customHeight="1">
      <c r="A195" s="37"/>
      <c r="B195" s="38">
        <f t="shared" si="4"/>
        <v>185</v>
      </c>
      <c r="C195" s="11">
        <f t="shared" si="5"/>
        <v>134857.1428571431</v>
      </c>
      <c r="D195" s="11">
        <f t="shared" si="0"/>
        <v>1075.3697949835953</v>
      </c>
      <c r="E195" s="11">
        <f t="shared" si="1"/>
        <v>135932.51265212669</v>
      </c>
      <c r="F195" s="11">
        <f t="shared" si="6"/>
        <v>571.42857142857144</v>
      </c>
      <c r="G195" s="11">
        <f t="shared" si="2"/>
        <v>1646.7983664121666</v>
      </c>
      <c r="H195" s="11">
        <f t="shared" si="3"/>
        <v>134285.71428571452</v>
      </c>
      <c r="I195" s="13"/>
      <c r="J195" s="13"/>
      <c r="K195" s="13"/>
      <c r="L195" s="13"/>
      <c r="M195" s="13"/>
      <c r="N195" s="13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75" customHeight="1">
      <c r="A196" s="37"/>
      <c r="B196" s="38">
        <f t="shared" si="4"/>
        <v>186</v>
      </c>
      <c r="C196" s="11">
        <f t="shared" si="5"/>
        <v>134285.71428571452</v>
      </c>
      <c r="D196" s="11">
        <f t="shared" si="0"/>
        <v>1070.8131433099359</v>
      </c>
      <c r="E196" s="11">
        <f t="shared" si="1"/>
        <v>135356.52742902446</v>
      </c>
      <c r="F196" s="11">
        <f t="shared" si="6"/>
        <v>571.42857142857144</v>
      </c>
      <c r="G196" s="11">
        <f t="shared" si="2"/>
        <v>1642.2417147385072</v>
      </c>
      <c r="H196" s="11">
        <f t="shared" si="3"/>
        <v>133714.28571428594</v>
      </c>
      <c r="I196" s="13"/>
      <c r="J196" s="13"/>
      <c r="K196" s="13"/>
      <c r="L196" s="13"/>
      <c r="M196" s="13"/>
      <c r="N196" s="13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75" customHeight="1">
      <c r="A197" s="37"/>
      <c r="B197" s="38">
        <f t="shared" si="4"/>
        <v>187</v>
      </c>
      <c r="C197" s="11">
        <f t="shared" si="5"/>
        <v>133714.28571428594</v>
      </c>
      <c r="D197" s="11">
        <f t="shared" si="0"/>
        <v>1066.2564916362767</v>
      </c>
      <c r="E197" s="11">
        <f t="shared" si="1"/>
        <v>134780.54220592222</v>
      </c>
      <c r="F197" s="11">
        <f t="shared" si="6"/>
        <v>571.42857142857144</v>
      </c>
      <c r="G197" s="11">
        <f t="shared" si="2"/>
        <v>1637.6850630648482</v>
      </c>
      <c r="H197" s="11">
        <f t="shared" si="3"/>
        <v>133142.85714285736</v>
      </c>
      <c r="I197" s="13"/>
      <c r="J197" s="13"/>
      <c r="K197" s="13"/>
      <c r="L197" s="13"/>
      <c r="M197" s="13"/>
      <c r="N197" s="13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75" customHeight="1">
      <c r="A198" s="37"/>
      <c r="B198" s="38">
        <f t="shared" si="4"/>
        <v>188</v>
      </c>
      <c r="C198" s="11">
        <f t="shared" si="5"/>
        <v>133142.85714285736</v>
      </c>
      <c r="D198" s="11">
        <f t="shared" si="0"/>
        <v>1061.6998399626173</v>
      </c>
      <c r="E198" s="11">
        <f t="shared" si="1"/>
        <v>134204.55698281998</v>
      </c>
      <c r="F198" s="11">
        <f t="shared" si="6"/>
        <v>571.42857142857144</v>
      </c>
      <c r="G198" s="11">
        <f t="shared" si="2"/>
        <v>1633.1284113911888</v>
      </c>
      <c r="H198" s="11">
        <f t="shared" si="3"/>
        <v>132571.42857142878</v>
      </c>
      <c r="I198" s="13"/>
      <c r="J198" s="13"/>
      <c r="K198" s="13"/>
      <c r="L198" s="13"/>
      <c r="M198" s="13"/>
      <c r="N198" s="13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75" customHeight="1">
      <c r="A199" s="37"/>
      <c r="B199" s="38">
        <f t="shared" si="4"/>
        <v>189</v>
      </c>
      <c r="C199" s="11">
        <f t="shared" si="5"/>
        <v>132571.42857142878</v>
      </c>
      <c r="D199" s="11">
        <f t="shared" si="0"/>
        <v>1057.1431882889578</v>
      </c>
      <c r="E199" s="11">
        <f t="shared" si="1"/>
        <v>133628.57175971774</v>
      </c>
      <c r="F199" s="11">
        <f t="shared" si="6"/>
        <v>571.42857142857144</v>
      </c>
      <c r="G199" s="11">
        <f t="shared" si="2"/>
        <v>1628.5717597175294</v>
      </c>
      <c r="H199" s="11">
        <f t="shared" si="3"/>
        <v>132000.0000000002</v>
      </c>
      <c r="I199" s="13"/>
      <c r="J199" s="13"/>
      <c r="K199" s="13"/>
      <c r="L199" s="13"/>
      <c r="M199" s="13"/>
      <c r="N199" s="13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75" customHeight="1">
      <c r="A200" s="37"/>
      <c r="B200" s="38">
        <f t="shared" si="4"/>
        <v>190</v>
      </c>
      <c r="C200" s="11">
        <f t="shared" si="5"/>
        <v>132000.0000000002</v>
      </c>
      <c r="D200" s="11">
        <f t="shared" si="0"/>
        <v>1052.5865366152984</v>
      </c>
      <c r="E200" s="11">
        <f t="shared" si="1"/>
        <v>133052.5865366155</v>
      </c>
      <c r="F200" s="11">
        <f t="shared" si="6"/>
        <v>571.42857142857144</v>
      </c>
      <c r="G200" s="11">
        <f t="shared" si="2"/>
        <v>1624.01510804387</v>
      </c>
      <c r="H200" s="11">
        <f t="shared" si="3"/>
        <v>131428.57142857162</v>
      </c>
      <c r="I200" s="13"/>
      <c r="J200" s="13"/>
      <c r="K200" s="13"/>
      <c r="L200" s="13"/>
      <c r="M200" s="13"/>
      <c r="N200" s="13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75" customHeight="1">
      <c r="A201" s="37"/>
      <c r="B201" s="38">
        <f t="shared" si="4"/>
        <v>191</v>
      </c>
      <c r="C201" s="11">
        <f t="shared" si="5"/>
        <v>131428.57142857162</v>
      </c>
      <c r="D201" s="11">
        <f t="shared" si="0"/>
        <v>1048.0298849416392</v>
      </c>
      <c r="E201" s="11">
        <f t="shared" si="1"/>
        <v>132476.60131351327</v>
      </c>
      <c r="F201" s="11">
        <f t="shared" si="6"/>
        <v>571.42857142857144</v>
      </c>
      <c r="G201" s="11">
        <f t="shared" si="2"/>
        <v>1619.4584563702106</v>
      </c>
      <c r="H201" s="11">
        <f t="shared" si="3"/>
        <v>130857.14285714306</v>
      </c>
      <c r="I201" s="13"/>
      <c r="J201" s="13"/>
      <c r="K201" s="13"/>
      <c r="L201" s="13"/>
      <c r="M201" s="13"/>
      <c r="N201" s="13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75" customHeight="1">
      <c r="A202" s="37"/>
      <c r="B202" s="38">
        <f t="shared" si="4"/>
        <v>192</v>
      </c>
      <c r="C202" s="11">
        <f t="shared" si="5"/>
        <v>130857.14285714306</v>
      </c>
      <c r="D202" s="11">
        <f t="shared" si="0"/>
        <v>1043.4732332679798</v>
      </c>
      <c r="E202" s="11">
        <f t="shared" si="1"/>
        <v>131900.61609041103</v>
      </c>
      <c r="F202" s="11">
        <f t="shared" si="6"/>
        <v>571.42857142857144</v>
      </c>
      <c r="G202" s="11">
        <f t="shared" si="2"/>
        <v>1614.9018046965512</v>
      </c>
      <c r="H202" s="11">
        <f t="shared" si="3"/>
        <v>130285.71428571448</v>
      </c>
      <c r="I202" s="13"/>
      <c r="J202" s="13"/>
      <c r="K202" s="13"/>
      <c r="L202" s="13"/>
      <c r="M202" s="13"/>
      <c r="N202" s="13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75" customHeight="1">
      <c r="A203" s="37"/>
      <c r="B203" s="38">
        <f t="shared" si="4"/>
        <v>193</v>
      </c>
      <c r="C203" s="11">
        <f t="shared" si="5"/>
        <v>130285.71428571448</v>
      </c>
      <c r="D203" s="11">
        <f t="shared" si="0"/>
        <v>1038.9165815943206</v>
      </c>
      <c r="E203" s="11">
        <f t="shared" si="1"/>
        <v>131324.63086730879</v>
      </c>
      <c r="F203" s="11">
        <f t="shared" si="6"/>
        <v>571.42857142857144</v>
      </c>
      <c r="G203" s="11">
        <f t="shared" si="2"/>
        <v>1610.3451530228922</v>
      </c>
      <c r="H203" s="11">
        <f t="shared" si="3"/>
        <v>129714.2857142859</v>
      </c>
      <c r="I203" s="13"/>
      <c r="J203" s="13"/>
      <c r="K203" s="13"/>
      <c r="L203" s="13"/>
      <c r="M203" s="13"/>
      <c r="N203" s="13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75" customHeight="1">
      <c r="A204" s="37"/>
      <c r="B204" s="38">
        <f t="shared" si="4"/>
        <v>194</v>
      </c>
      <c r="C204" s="11">
        <f t="shared" si="5"/>
        <v>129714.2857142859</v>
      </c>
      <c r="D204" s="11">
        <f t="shared" si="0"/>
        <v>1034.3599299206612</v>
      </c>
      <c r="E204" s="11">
        <f t="shared" si="1"/>
        <v>130748.64564420655</v>
      </c>
      <c r="F204" s="11">
        <f t="shared" si="6"/>
        <v>571.42857142857144</v>
      </c>
      <c r="G204" s="11">
        <f t="shared" si="2"/>
        <v>1605.7885013492328</v>
      </c>
      <c r="H204" s="11">
        <f t="shared" si="3"/>
        <v>129142.85714285732</v>
      </c>
      <c r="I204" s="13"/>
      <c r="J204" s="13"/>
      <c r="K204" s="13"/>
      <c r="L204" s="13"/>
      <c r="M204" s="13"/>
      <c r="N204" s="13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75" customHeight="1">
      <c r="A205" s="37"/>
      <c r="B205" s="38">
        <f t="shared" si="4"/>
        <v>195</v>
      </c>
      <c r="C205" s="11">
        <f t="shared" si="5"/>
        <v>129142.85714285732</v>
      </c>
      <c r="D205" s="11">
        <f t="shared" si="0"/>
        <v>1029.8032782470018</v>
      </c>
      <c r="E205" s="11">
        <f t="shared" si="1"/>
        <v>130172.66042110432</v>
      </c>
      <c r="F205" s="11">
        <f t="shared" si="6"/>
        <v>571.42857142857144</v>
      </c>
      <c r="G205" s="11">
        <f t="shared" si="2"/>
        <v>1601.2318496755734</v>
      </c>
      <c r="H205" s="11">
        <f t="shared" si="3"/>
        <v>128571.42857142874</v>
      </c>
      <c r="I205" s="13"/>
      <c r="J205" s="13"/>
      <c r="K205" s="13"/>
      <c r="L205" s="13"/>
      <c r="M205" s="13"/>
      <c r="N205" s="13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75" customHeight="1">
      <c r="A206" s="37"/>
      <c r="B206" s="38">
        <f t="shared" si="4"/>
        <v>196</v>
      </c>
      <c r="C206" s="11">
        <f t="shared" si="5"/>
        <v>128571.42857142874</v>
      </c>
      <c r="D206" s="11">
        <f t="shared" si="0"/>
        <v>1025.2466265733424</v>
      </c>
      <c r="E206" s="11">
        <f t="shared" si="1"/>
        <v>129596.67519800208</v>
      </c>
      <c r="F206" s="11">
        <f t="shared" si="6"/>
        <v>571.42857142857144</v>
      </c>
      <c r="G206" s="11">
        <f t="shared" si="2"/>
        <v>1596.6751980019139</v>
      </c>
      <c r="H206" s="11">
        <f t="shared" si="3"/>
        <v>128000.00000000016</v>
      </c>
      <c r="I206" s="13"/>
      <c r="J206" s="13"/>
      <c r="K206" s="13"/>
      <c r="L206" s="13"/>
      <c r="M206" s="13"/>
      <c r="N206" s="13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75" customHeight="1">
      <c r="A207" s="37"/>
      <c r="B207" s="38">
        <f t="shared" si="4"/>
        <v>197</v>
      </c>
      <c r="C207" s="11">
        <f t="shared" si="5"/>
        <v>128000.00000000016</v>
      </c>
      <c r="D207" s="11">
        <f t="shared" si="0"/>
        <v>1020.6899748996831</v>
      </c>
      <c r="E207" s="11">
        <f t="shared" si="1"/>
        <v>129020.68997489984</v>
      </c>
      <c r="F207" s="11">
        <f t="shared" si="6"/>
        <v>571.42857142857144</v>
      </c>
      <c r="G207" s="11">
        <f t="shared" si="2"/>
        <v>1592.1185463282545</v>
      </c>
      <c r="H207" s="11">
        <f t="shared" si="3"/>
        <v>127428.57142857158</v>
      </c>
      <c r="I207" s="13"/>
      <c r="J207" s="13"/>
      <c r="K207" s="13"/>
      <c r="L207" s="13"/>
      <c r="M207" s="13"/>
      <c r="N207" s="13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75" customHeight="1">
      <c r="A208" s="37"/>
      <c r="B208" s="38">
        <f t="shared" si="4"/>
        <v>198</v>
      </c>
      <c r="C208" s="11">
        <f t="shared" si="5"/>
        <v>127428.57142857158</v>
      </c>
      <c r="D208" s="11">
        <f t="shared" si="0"/>
        <v>1016.1333232260238</v>
      </c>
      <c r="E208" s="11">
        <f t="shared" si="1"/>
        <v>128444.7047517976</v>
      </c>
      <c r="F208" s="11">
        <f t="shared" si="6"/>
        <v>571.42857142857144</v>
      </c>
      <c r="G208" s="11">
        <f t="shared" si="2"/>
        <v>1587.5618946545951</v>
      </c>
      <c r="H208" s="11">
        <f t="shared" si="3"/>
        <v>126857.142857143</v>
      </c>
      <c r="I208" s="13"/>
      <c r="J208" s="13"/>
      <c r="K208" s="13"/>
      <c r="L208" s="13"/>
      <c r="M208" s="13"/>
      <c r="N208" s="13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75" customHeight="1">
      <c r="A209" s="37"/>
      <c r="B209" s="38">
        <f t="shared" si="4"/>
        <v>199</v>
      </c>
      <c r="C209" s="11">
        <f t="shared" si="5"/>
        <v>126857.142857143</v>
      </c>
      <c r="D209" s="11">
        <f t="shared" si="0"/>
        <v>1011.5766715523644</v>
      </c>
      <c r="E209" s="11">
        <f t="shared" si="1"/>
        <v>127868.71952869536</v>
      </c>
      <c r="F209" s="11">
        <f t="shared" si="6"/>
        <v>571.42857142857144</v>
      </c>
      <c r="G209" s="11">
        <f t="shared" si="2"/>
        <v>1583.0052429809357</v>
      </c>
      <c r="H209" s="11">
        <f t="shared" si="3"/>
        <v>126285.71428571444</v>
      </c>
      <c r="I209" s="13"/>
      <c r="J209" s="13"/>
      <c r="K209" s="13"/>
      <c r="L209" s="13"/>
      <c r="M209" s="13"/>
      <c r="N209" s="13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75" customHeight="1">
      <c r="A210" s="37"/>
      <c r="B210" s="38">
        <f t="shared" si="4"/>
        <v>200</v>
      </c>
      <c r="C210" s="11">
        <f t="shared" si="5"/>
        <v>126285.71428571444</v>
      </c>
      <c r="D210" s="11">
        <f t="shared" si="0"/>
        <v>1007.0200198787052</v>
      </c>
      <c r="E210" s="11">
        <f t="shared" si="1"/>
        <v>127292.73430559314</v>
      </c>
      <c r="F210" s="11">
        <f t="shared" si="6"/>
        <v>571.42857142857144</v>
      </c>
      <c r="G210" s="11">
        <f t="shared" si="2"/>
        <v>1578.4485913072767</v>
      </c>
      <c r="H210" s="11">
        <f t="shared" si="3"/>
        <v>125714.28571428587</v>
      </c>
      <c r="I210" s="13"/>
      <c r="J210" s="13"/>
      <c r="K210" s="13"/>
      <c r="L210" s="13"/>
      <c r="M210" s="13"/>
      <c r="N210" s="13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75" customHeight="1">
      <c r="A211" s="37"/>
      <c r="B211" s="38">
        <f t="shared" si="4"/>
        <v>201</v>
      </c>
      <c r="C211" s="11">
        <f t="shared" si="5"/>
        <v>125714.28571428587</v>
      </c>
      <c r="D211" s="11">
        <f t="shared" si="0"/>
        <v>1002.4633682050459</v>
      </c>
      <c r="E211" s="11">
        <f t="shared" si="1"/>
        <v>126716.74908249092</v>
      </c>
      <c r="F211" s="11">
        <f t="shared" si="6"/>
        <v>571.42857142857144</v>
      </c>
      <c r="G211" s="11">
        <f t="shared" si="2"/>
        <v>1573.8919396336173</v>
      </c>
      <c r="H211" s="11">
        <f t="shared" si="3"/>
        <v>125142.85714285731</v>
      </c>
      <c r="I211" s="13"/>
      <c r="J211" s="13"/>
      <c r="K211" s="13"/>
      <c r="L211" s="13"/>
      <c r="M211" s="13"/>
      <c r="N211" s="13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75" customHeight="1">
      <c r="A212" s="37"/>
      <c r="B212" s="38">
        <f t="shared" si="4"/>
        <v>202</v>
      </c>
      <c r="C212" s="11">
        <f t="shared" si="5"/>
        <v>125142.85714285731</v>
      </c>
      <c r="D212" s="11">
        <f t="shared" si="0"/>
        <v>997.90671653138668</v>
      </c>
      <c r="E212" s="11">
        <f t="shared" si="1"/>
        <v>126140.76385938869</v>
      </c>
      <c r="F212" s="11">
        <f t="shared" si="6"/>
        <v>571.42857142857144</v>
      </c>
      <c r="G212" s="11">
        <f t="shared" si="2"/>
        <v>1569.3352879599581</v>
      </c>
      <c r="H212" s="11">
        <f t="shared" si="3"/>
        <v>124571.42857142874</v>
      </c>
      <c r="I212" s="13"/>
      <c r="J212" s="13"/>
      <c r="K212" s="13"/>
      <c r="L212" s="13"/>
      <c r="M212" s="13"/>
      <c r="N212" s="13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75" customHeight="1">
      <c r="A213" s="37"/>
      <c r="B213" s="38">
        <f t="shared" si="4"/>
        <v>203</v>
      </c>
      <c r="C213" s="11">
        <f t="shared" si="5"/>
        <v>124571.42857142874</v>
      </c>
      <c r="D213" s="11">
        <f t="shared" si="0"/>
        <v>993.35006485772738</v>
      </c>
      <c r="E213" s="11">
        <f t="shared" si="1"/>
        <v>125564.77863628647</v>
      </c>
      <c r="F213" s="11">
        <f t="shared" si="6"/>
        <v>571.42857142857144</v>
      </c>
      <c r="G213" s="11">
        <f t="shared" si="2"/>
        <v>1564.7786362862989</v>
      </c>
      <c r="H213" s="11">
        <f t="shared" si="3"/>
        <v>124000.00000000017</v>
      </c>
      <c r="I213" s="13"/>
      <c r="J213" s="13"/>
      <c r="K213" s="13"/>
      <c r="L213" s="13"/>
      <c r="M213" s="13"/>
      <c r="N213" s="13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75" customHeight="1">
      <c r="A214" s="37"/>
      <c r="B214" s="38">
        <f t="shared" si="4"/>
        <v>204</v>
      </c>
      <c r="C214" s="11">
        <f t="shared" si="5"/>
        <v>124000.00000000017</v>
      </c>
      <c r="D214" s="11">
        <f t="shared" si="0"/>
        <v>988.79341318406819</v>
      </c>
      <c r="E214" s="11">
        <f t="shared" si="1"/>
        <v>124988.79341318425</v>
      </c>
      <c r="F214" s="11">
        <f t="shared" si="6"/>
        <v>571.42857142857144</v>
      </c>
      <c r="G214" s="11">
        <f t="shared" si="2"/>
        <v>1560.2219846126395</v>
      </c>
      <c r="H214" s="11">
        <f t="shared" si="3"/>
        <v>123428.57142857161</v>
      </c>
      <c r="I214" s="13"/>
      <c r="J214" s="13"/>
      <c r="K214" s="13"/>
      <c r="L214" s="13"/>
      <c r="M214" s="13"/>
      <c r="N214" s="13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75" customHeight="1">
      <c r="A215" s="37"/>
      <c r="B215" s="38">
        <f t="shared" si="4"/>
        <v>205</v>
      </c>
      <c r="C215" s="11">
        <f t="shared" si="5"/>
        <v>123428.57142857161</v>
      </c>
      <c r="D215" s="11">
        <f t="shared" si="0"/>
        <v>984.23676151040888</v>
      </c>
      <c r="E215" s="11">
        <f t="shared" si="1"/>
        <v>124412.80819008203</v>
      </c>
      <c r="F215" s="11">
        <f t="shared" si="6"/>
        <v>571.42857142857144</v>
      </c>
      <c r="G215" s="11">
        <f t="shared" si="2"/>
        <v>1555.6653329389803</v>
      </c>
      <c r="H215" s="11">
        <f t="shared" si="3"/>
        <v>122857.14285714304</v>
      </c>
      <c r="I215" s="13"/>
      <c r="J215" s="13"/>
      <c r="K215" s="13"/>
      <c r="L215" s="13"/>
      <c r="M215" s="13"/>
      <c r="N215" s="13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75" customHeight="1">
      <c r="A216" s="37"/>
      <c r="B216" s="38">
        <f t="shared" si="4"/>
        <v>206</v>
      </c>
      <c r="C216" s="11">
        <f t="shared" si="5"/>
        <v>122857.14285714304</v>
      </c>
      <c r="D216" s="11">
        <f t="shared" si="0"/>
        <v>979.68010983674969</v>
      </c>
      <c r="E216" s="11">
        <f t="shared" si="1"/>
        <v>123836.82296697979</v>
      </c>
      <c r="F216" s="11">
        <f t="shared" si="6"/>
        <v>571.42857142857144</v>
      </c>
      <c r="G216" s="11">
        <f t="shared" si="2"/>
        <v>1551.1086812653211</v>
      </c>
      <c r="H216" s="11">
        <f t="shared" si="3"/>
        <v>122285.71428571446</v>
      </c>
      <c r="I216" s="13"/>
      <c r="J216" s="13"/>
      <c r="K216" s="13"/>
      <c r="L216" s="13"/>
      <c r="M216" s="13"/>
      <c r="N216" s="13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75" customHeight="1">
      <c r="A217" s="37"/>
      <c r="B217" s="38">
        <f t="shared" si="4"/>
        <v>207</v>
      </c>
      <c r="C217" s="11">
        <f t="shared" si="5"/>
        <v>122285.71428571446</v>
      </c>
      <c r="D217" s="11">
        <f t="shared" si="0"/>
        <v>975.12345816309028</v>
      </c>
      <c r="E217" s="11">
        <f t="shared" si="1"/>
        <v>123260.83774387755</v>
      </c>
      <c r="F217" s="11">
        <f t="shared" si="6"/>
        <v>571.42857142857144</v>
      </c>
      <c r="G217" s="11">
        <f t="shared" si="2"/>
        <v>1546.5520295916617</v>
      </c>
      <c r="H217" s="11">
        <f t="shared" si="3"/>
        <v>121714.28571428588</v>
      </c>
      <c r="I217" s="13"/>
      <c r="J217" s="13"/>
      <c r="K217" s="13"/>
      <c r="L217" s="13"/>
      <c r="M217" s="13"/>
      <c r="N217" s="13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75" customHeight="1">
      <c r="A218" s="37"/>
      <c r="B218" s="38">
        <f t="shared" si="4"/>
        <v>208</v>
      </c>
      <c r="C218" s="11">
        <f t="shared" si="5"/>
        <v>121714.28571428588</v>
      </c>
      <c r="D218" s="11">
        <f t="shared" si="0"/>
        <v>970.56680648943097</v>
      </c>
      <c r="E218" s="11">
        <f t="shared" si="1"/>
        <v>122684.85252077531</v>
      </c>
      <c r="F218" s="11">
        <f t="shared" si="6"/>
        <v>571.42857142857144</v>
      </c>
      <c r="G218" s="11">
        <f t="shared" si="2"/>
        <v>1541.9953779180023</v>
      </c>
      <c r="H218" s="11">
        <f t="shared" si="3"/>
        <v>121142.85714285731</v>
      </c>
      <c r="I218" s="13"/>
      <c r="J218" s="13"/>
      <c r="K218" s="13"/>
      <c r="L218" s="13"/>
      <c r="M218" s="13"/>
      <c r="N218" s="13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75" customHeight="1">
      <c r="A219" s="37"/>
      <c r="B219" s="38">
        <f t="shared" si="4"/>
        <v>209</v>
      </c>
      <c r="C219" s="11">
        <f t="shared" si="5"/>
        <v>121142.85714285731</v>
      </c>
      <c r="D219" s="11">
        <f t="shared" si="0"/>
        <v>966.01015481577156</v>
      </c>
      <c r="E219" s="11">
        <f t="shared" si="1"/>
        <v>122108.86729767307</v>
      </c>
      <c r="F219" s="11">
        <f t="shared" si="6"/>
        <v>571.42857142857144</v>
      </c>
      <c r="G219" s="11">
        <f t="shared" si="2"/>
        <v>1537.4387262443429</v>
      </c>
      <c r="H219" s="11">
        <f t="shared" si="3"/>
        <v>120571.42857142873</v>
      </c>
      <c r="I219" s="13"/>
      <c r="J219" s="13"/>
      <c r="K219" s="13"/>
      <c r="L219" s="13"/>
      <c r="M219" s="13"/>
      <c r="N219" s="13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75" customHeight="1">
      <c r="A220" s="37"/>
      <c r="B220" s="38">
        <f t="shared" si="4"/>
        <v>210</v>
      </c>
      <c r="C220" s="11">
        <f t="shared" si="5"/>
        <v>120571.42857142873</v>
      </c>
      <c r="D220" s="11">
        <f t="shared" si="0"/>
        <v>961.45350314211225</v>
      </c>
      <c r="E220" s="11">
        <f t="shared" si="1"/>
        <v>121532.88207457084</v>
      </c>
      <c r="F220" s="11">
        <f t="shared" si="6"/>
        <v>571.42857142857144</v>
      </c>
      <c r="G220" s="11">
        <f t="shared" si="2"/>
        <v>1532.8820745706837</v>
      </c>
      <c r="H220" s="11">
        <f t="shared" si="3"/>
        <v>120000.00000000015</v>
      </c>
      <c r="I220" s="13"/>
      <c r="J220" s="13"/>
      <c r="K220" s="13"/>
      <c r="L220" s="13"/>
      <c r="M220" s="13"/>
      <c r="N220" s="13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75" customHeight="1">
      <c r="A221" s="37"/>
      <c r="B221" s="38">
        <f t="shared" si="4"/>
        <v>211</v>
      </c>
      <c r="C221" s="11">
        <f t="shared" si="5"/>
        <v>120000.00000000015</v>
      </c>
      <c r="D221" s="11">
        <f t="shared" si="0"/>
        <v>956.89685146845284</v>
      </c>
      <c r="E221" s="11">
        <f t="shared" si="1"/>
        <v>120956.8968514686</v>
      </c>
      <c r="F221" s="11">
        <f t="shared" si="6"/>
        <v>571.42857142857144</v>
      </c>
      <c r="G221" s="11">
        <f t="shared" si="2"/>
        <v>1528.3254228970243</v>
      </c>
      <c r="H221" s="11">
        <f t="shared" si="3"/>
        <v>119428.57142857158</v>
      </c>
      <c r="I221" s="13"/>
      <c r="J221" s="13"/>
      <c r="K221" s="13"/>
      <c r="L221" s="13"/>
      <c r="M221" s="13"/>
      <c r="N221" s="13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75" customHeight="1">
      <c r="A222" s="37"/>
      <c r="B222" s="38">
        <f t="shared" si="4"/>
        <v>212</v>
      </c>
      <c r="C222" s="11">
        <f t="shared" si="5"/>
        <v>119428.57142857158</v>
      </c>
      <c r="D222" s="11">
        <f t="shared" si="0"/>
        <v>952.34019979479365</v>
      </c>
      <c r="E222" s="11">
        <f t="shared" si="1"/>
        <v>120380.91162836638</v>
      </c>
      <c r="F222" s="11">
        <f t="shared" si="6"/>
        <v>571.42857142857144</v>
      </c>
      <c r="G222" s="11">
        <f t="shared" si="2"/>
        <v>1523.7687712233651</v>
      </c>
      <c r="H222" s="11">
        <f t="shared" si="3"/>
        <v>118857.14285714302</v>
      </c>
      <c r="I222" s="13"/>
      <c r="J222" s="13"/>
      <c r="K222" s="13"/>
      <c r="L222" s="13"/>
      <c r="M222" s="13"/>
      <c r="N222" s="13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75" customHeight="1">
      <c r="A223" s="37"/>
      <c r="B223" s="38">
        <f t="shared" si="4"/>
        <v>213</v>
      </c>
      <c r="C223" s="11">
        <f t="shared" si="5"/>
        <v>118857.14285714302</v>
      </c>
      <c r="D223" s="11">
        <f t="shared" si="0"/>
        <v>947.78354812113434</v>
      </c>
      <c r="E223" s="11">
        <f t="shared" si="1"/>
        <v>119804.92640526415</v>
      </c>
      <c r="F223" s="11">
        <f t="shared" si="6"/>
        <v>571.42857142857144</v>
      </c>
      <c r="G223" s="11">
        <f t="shared" si="2"/>
        <v>1519.2121195497057</v>
      </c>
      <c r="H223" s="11">
        <f t="shared" si="3"/>
        <v>118285.71428571445</v>
      </c>
      <c r="I223" s="13"/>
      <c r="J223" s="13"/>
      <c r="K223" s="13"/>
      <c r="L223" s="13"/>
      <c r="M223" s="13"/>
      <c r="N223" s="13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75" customHeight="1">
      <c r="A224" s="37"/>
      <c r="B224" s="38">
        <f t="shared" si="4"/>
        <v>214</v>
      </c>
      <c r="C224" s="11">
        <f t="shared" si="5"/>
        <v>118285.71428571445</v>
      </c>
      <c r="D224" s="11">
        <f t="shared" si="0"/>
        <v>943.22689644747516</v>
      </c>
      <c r="E224" s="11">
        <f t="shared" si="1"/>
        <v>119228.94118216193</v>
      </c>
      <c r="F224" s="11">
        <f t="shared" si="6"/>
        <v>571.42857142857144</v>
      </c>
      <c r="G224" s="11">
        <f t="shared" si="2"/>
        <v>1514.6554678760467</v>
      </c>
      <c r="H224" s="11">
        <f t="shared" si="3"/>
        <v>117714.28571428588</v>
      </c>
      <c r="I224" s="13"/>
      <c r="J224" s="13"/>
      <c r="K224" s="13"/>
      <c r="L224" s="13"/>
      <c r="M224" s="13"/>
      <c r="N224" s="13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75" customHeight="1">
      <c r="A225" s="37"/>
      <c r="B225" s="38">
        <f t="shared" si="4"/>
        <v>215</v>
      </c>
      <c r="C225" s="11">
        <f t="shared" si="5"/>
        <v>117714.28571428588</v>
      </c>
      <c r="D225" s="11">
        <f t="shared" si="0"/>
        <v>938.67024477381585</v>
      </c>
      <c r="E225" s="11">
        <f t="shared" si="1"/>
        <v>118652.95595905971</v>
      </c>
      <c r="F225" s="11">
        <f t="shared" si="6"/>
        <v>571.42857142857144</v>
      </c>
      <c r="G225" s="11">
        <f t="shared" si="2"/>
        <v>1510.0988162023873</v>
      </c>
      <c r="H225" s="11">
        <f t="shared" si="3"/>
        <v>117142.85714285732</v>
      </c>
      <c r="I225" s="13"/>
      <c r="J225" s="13"/>
      <c r="K225" s="13"/>
      <c r="L225" s="13"/>
      <c r="M225" s="13"/>
      <c r="N225" s="13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>
      <c r="A226" s="37"/>
      <c r="B226" s="38">
        <f t="shared" si="4"/>
        <v>216</v>
      </c>
      <c r="C226" s="11">
        <f t="shared" si="5"/>
        <v>117142.85714285732</v>
      </c>
      <c r="D226" s="11">
        <f t="shared" si="0"/>
        <v>934.11359310015666</v>
      </c>
      <c r="E226" s="11">
        <f t="shared" si="1"/>
        <v>118076.97073595748</v>
      </c>
      <c r="F226" s="11">
        <f t="shared" si="6"/>
        <v>571.42857142857144</v>
      </c>
      <c r="G226" s="11">
        <f t="shared" si="2"/>
        <v>1505.5421645287281</v>
      </c>
      <c r="H226" s="11">
        <f t="shared" si="3"/>
        <v>116571.42857142875</v>
      </c>
      <c r="I226" s="13"/>
      <c r="J226" s="13"/>
      <c r="K226" s="13"/>
      <c r="L226" s="13"/>
      <c r="M226" s="13"/>
      <c r="N226" s="13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75" customHeight="1">
      <c r="A227" s="37"/>
      <c r="B227" s="38">
        <f t="shared" si="4"/>
        <v>217</v>
      </c>
      <c r="C227" s="11">
        <f t="shared" si="5"/>
        <v>116571.42857142875</v>
      </c>
      <c r="D227" s="11">
        <f t="shared" si="0"/>
        <v>929.55694142649736</v>
      </c>
      <c r="E227" s="11">
        <f t="shared" si="1"/>
        <v>117500.98551285526</v>
      </c>
      <c r="F227" s="11">
        <f t="shared" si="6"/>
        <v>571.42857142857144</v>
      </c>
      <c r="G227" s="11">
        <f t="shared" si="2"/>
        <v>1500.9855128550689</v>
      </c>
      <c r="H227" s="11">
        <f t="shared" si="3"/>
        <v>116000.00000000019</v>
      </c>
      <c r="I227" s="13"/>
      <c r="J227" s="13"/>
      <c r="K227" s="13"/>
      <c r="L227" s="13"/>
      <c r="M227" s="13"/>
      <c r="N227" s="13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75" customHeight="1">
      <c r="A228" s="37"/>
      <c r="B228" s="38">
        <f t="shared" si="4"/>
        <v>218</v>
      </c>
      <c r="C228" s="11">
        <f t="shared" si="5"/>
        <v>116000.00000000019</v>
      </c>
      <c r="D228" s="11">
        <f t="shared" si="0"/>
        <v>925.00028975283817</v>
      </c>
      <c r="E228" s="11">
        <f t="shared" si="1"/>
        <v>116925.00028975302</v>
      </c>
      <c r="F228" s="11">
        <f t="shared" si="6"/>
        <v>571.42857142857144</v>
      </c>
      <c r="G228" s="11">
        <f t="shared" si="2"/>
        <v>1496.4288611814095</v>
      </c>
      <c r="H228" s="11">
        <f t="shared" si="3"/>
        <v>115428.57142857161</v>
      </c>
      <c r="I228" s="13"/>
      <c r="J228" s="13"/>
      <c r="K228" s="13"/>
      <c r="L228" s="13"/>
      <c r="M228" s="13"/>
      <c r="N228" s="13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75" customHeight="1">
      <c r="A229" s="37"/>
      <c r="B229" s="38">
        <f t="shared" si="4"/>
        <v>219</v>
      </c>
      <c r="C229" s="11">
        <f t="shared" si="5"/>
        <v>115428.57142857161</v>
      </c>
      <c r="D229" s="11">
        <f t="shared" si="0"/>
        <v>920.44363807917875</v>
      </c>
      <c r="E229" s="11">
        <f t="shared" si="1"/>
        <v>116349.01506665078</v>
      </c>
      <c r="F229" s="11">
        <f t="shared" si="6"/>
        <v>571.42857142857144</v>
      </c>
      <c r="G229" s="11">
        <f t="shared" si="2"/>
        <v>1491.8722095077501</v>
      </c>
      <c r="H229" s="11">
        <f t="shared" si="3"/>
        <v>114857.14285714303</v>
      </c>
      <c r="I229" s="13"/>
      <c r="J229" s="13"/>
      <c r="K229" s="13"/>
      <c r="L229" s="13"/>
      <c r="M229" s="13"/>
      <c r="N229" s="13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75" customHeight="1">
      <c r="A230" s="37"/>
      <c r="B230" s="38">
        <f t="shared" si="4"/>
        <v>220</v>
      </c>
      <c r="C230" s="11">
        <f t="shared" si="5"/>
        <v>114857.14285714303</v>
      </c>
      <c r="D230" s="11">
        <f t="shared" si="0"/>
        <v>915.88698640551945</v>
      </c>
      <c r="E230" s="11">
        <f t="shared" si="1"/>
        <v>115773.02984354855</v>
      </c>
      <c r="F230" s="11">
        <f t="shared" si="6"/>
        <v>571.42857142857144</v>
      </c>
      <c r="G230" s="11">
        <f t="shared" si="2"/>
        <v>1487.3155578340909</v>
      </c>
      <c r="H230" s="11">
        <f t="shared" si="3"/>
        <v>114285.71428571445</v>
      </c>
      <c r="I230" s="13"/>
      <c r="J230" s="13"/>
      <c r="K230" s="13"/>
      <c r="L230" s="13"/>
      <c r="M230" s="13"/>
      <c r="N230" s="13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75" customHeight="1">
      <c r="A231" s="37"/>
      <c r="B231" s="38">
        <f t="shared" si="4"/>
        <v>221</v>
      </c>
      <c r="C231" s="11">
        <f t="shared" si="5"/>
        <v>114285.71428571445</v>
      </c>
      <c r="D231" s="11">
        <f t="shared" si="0"/>
        <v>911.33033473186003</v>
      </c>
      <c r="E231" s="11">
        <f t="shared" si="1"/>
        <v>115197.04462044631</v>
      </c>
      <c r="F231" s="11">
        <f t="shared" si="6"/>
        <v>571.42857142857144</v>
      </c>
      <c r="G231" s="11">
        <f t="shared" si="2"/>
        <v>1482.7589061604315</v>
      </c>
      <c r="H231" s="11">
        <f t="shared" si="3"/>
        <v>113714.28571428587</v>
      </c>
      <c r="I231" s="13"/>
      <c r="J231" s="13"/>
      <c r="K231" s="13"/>
      <c r="L231" s="13"/>
      <c r="M231" s="13"/>
      <c r="N231" s="13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75" customHeight="1">
      <c r="A232" s="37"/>
      <c r="B232" s="38">
        <f t="shared" si="4"/>
        <v>222</v>
      </c>
      <c r="C232" s="11">
        <f t="shared" si="5"/>
        <v>113714.28571428587</v>
      </c>
      <c r="D232" s="11">
        <f t="shared" si="0"/>
        <v>906.77368305820073</v>
      </c>
      <c r="E232" s="11">
        <f t="shared" si="1"/>
        <v>114621.05939734407</v>
      </c>
      <c r="F232" s="11">
        <f t="shared" si="6"/>
        <v>571.42857142857144</v>
      </c>
      <c r="G232" s="11">
        <f t="shared" si="2"/>
        <v>1478.2022544867723</v>
      </c>
      <c r="H232" s="11">
        <f t="shared" si="3"/>
        <v>113142.85714285731</v>
      </c>
      <c r="I232" s="13"/>
      <c r="J232" s="13"/>
      <c r="K232" s="13"/>
      <c r="L232" s="13"/>
      <c r="M232" s="13"/>
      <c r="N232" s="13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75" customHeight="1">
      <c r="A233" s="37"/>
      <c r="B233" s="38">
        <f t="shared" si="4"/>
        <v>223</v>
      </c>
      <c r="C233" s="11">
        <f t="shared" si="5"/>
        <v>113142.85714285731</v>
      </c>
      <c r="D233" s="11">
        <f t="shared" si="0"/>
        <v>902.21703138454143</v>
      </c>
      <c r="E233" s="11">
        <f t="shared" si="1"/>
        <v>114045.07417424185</v>
      </c>
      <c r="F233" s="11">
        <f t="shared" si="6"/>
        <v>571.42857142857144</v>
      </c>
      <c r="G233" s="11">
        <f t="shared" si="2"/>
        <v>1473.6456028131129</v>
      </c>
      <c r="H233" s="11">
        <f t="shared" si="3"/>
        <v>112571.42857142874</v>
      </c>
      <c r="I233" s="13"/>
      <c r="J233" s="13"/>
      <c r="K233" s="13"/>
      <c r="L233" s="13"/>
      <c r="M233" s="13"/>
      <c r="N233" s="13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75" customHeight="1">
      <c r="A234" s="37"/>
      <c r="B234" s="38">
        <f t="shared" si="4"/>
        <v>224</v>
      </c>
      <c r="C234" s="11">
        <f t="shared" si="5"/>
        <v>112571.42857142874</v>
      </c>
      <c r="D234" s="11">
        <f t="shared" si="0"/>
        <v>897.66037971088224</v>
      </c>
      <c r="E234" s="11">
        <f t="shared" si="1"/>
        <v>113469.08895113962</v>
      </c>
      <c r="F234" s="11">
        <f t="shared" si="6"/>
        <v>571.42857142857144</v>
      </c>
      <c r="G234" s="11">
        <f t="shared" si="2"/>
        <v>1469.0889511394537</v>
      </c>
      <c r="H234" s="11">
        <f t="shared" si="3"/>
        <v>112000.00000000017</v>
      </c>
      <c r="I234" s="13"/>
      <c r="J234" s="13"/>
      <c r="K234" s="13"/>
      <c r="L234" s="13"/>
      <c r="M234" s="13"/>
      <c r="N234" s="13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75" customHeight="1">
      <c r="A235" s="37"/>
      <c r="B235" s="38">
        <f t="shared" si="4"/>
        <v>225</v>
      </c>
      <c r="C235" s="11">
        <f t="shared" si="5"/>
        <v>112000.00000000017</v>
      </c>
      <c r="D235" s="11">
        <f t="shared" si="0"/>
        <v>893.10372803722294</v>
      </c>
      <c r="E235" s="11">
        <f t="shared" si="1"/>
        <v>112893.1037280374</v>
      </c>
      <c r="F235" s="11">
        <f t="shared" si="6"/>
        <v>571.42857142857144</v>
      </c>
      <c r="G235" s="11">
        <f t="shared" si="2"/>
        <v>1464.5322994657945</v>
      </c>
      <c r="H235" s="11">
        <f t="shared" si="3"/>
        <v>111428.57142857161</v>
      </c>
      <c r="I235" s="13"/>
      <c r="J235" s="13"/>
      <c r="K235" s="13"/>
      <c r="L235" s="13"/>
      <c r="M235" s="13"/>
      <c r="N235" s="13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75" customHeight="1">
      <c r="A236" s="37"/>
      <c r="B236" s="38">
        <f t="shared" si="4"/>
        <v>226</v>
      </c>
      <c r="C236" s="11">
        <f t="shared" si="5"/>
        <v>111428.57142857161</v>
      </c>
      <c r="D236" s="11">
        <f t="shared" si="0"/>
        <v>888.54707636356375</v>
      </c>
      <c r="E236" s="11">
        <f t="shared" si="1"/>
        <v>112317.11850493518</v>
      </c>
      <c r="F236" s="11">
        <f t="shared" si="6"/>
        <v>571.42857142857144</v>
      </c>
      <c r="G236" s="11">
        <f t="shared" si="2"/>
        <v>1459.9756477921351</v>
      </c>
      <c r="H236" s="11">
        <f t="shared" si="3"/>
        <v>110857.14285714304</v>
      </c>
      <c r="I236" s="13"/>
      <c r="J236" s="13"/>
      <c r="K236" s="13"/>
      <c r="L236" s="13"/>
      <c r="M236" s="13"/>
      <c r="N236" s="13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75" customHeight="1">
      <c r="A237" s="37"/>
      <c r="B237" s="38">
        <f t="shared" si="4"/>
        <v>227</v>
      </c>
      <c r="C237" s="11">
        <f t="shared" si="5"/>
        <v>110857.14285714304</v>
      </c>
      <c r="D237" s="11">
        <f t="shared" si="0"/>
        <v>883.99042468990456</v>
      </c>
      <c r="E237" s="11">
        <f t="shared" si="1"/>
        <v>111741.13328183295</v>
      </c>
      <c r="F237" s="11">
        <f t="shared" si="6"/>
        <v>571.42857142857144</v>
      </c>
      <c r="G237" s="11">
        <f t="shared" si="2"/>
        <v>1455.4189961184761</v>
      </c>
      <c r="H237" s="11">
        <f t="shared" si="3"/>
        <v>110285.71428571448</v>
      </c>
      <c r="I237" s="13"/>
      <c r="J237" s="13"/>
      <c r="K237" s="13"/>
      <c r="L237" s="13"/>
      <c r="M237" s="13"/>
      <c r="N237" s="13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>
      <c r="A238" s="37"/>
      <c r="B238" s="38">
        <f t="shared" si="4"/>
        <v>228</v>
      </c>
      <c r="C238" s="11">
        <f t="shared" si="5"/>
        <v>110285.71428571448</v>
      </c>
      <c r="D238" s="11">
        <f t="shared" si="0"/>
        <v>879.43377301624525</v>
      </c>
      <c r="E238" s="11">
        <f t="shared" si="1"/>
        <v>111165.14805873073</v>
      </c>
      <c r="F238" s="11">
        <f t="shared" si="6"/>
        <v>571.42857142857144</v>
      </c>
      <c r="G238" s="11">
        <f t="shared" si="2"/>
        <v>1450.8623444448167</v>
      </c>
      <c r="H238" s="11">
        <f t="shared" si="3"/>
        <v>109714.28571428591</v>
      </c>
      <c r="I238" s="13"/>
      <c r="J238" s="13"/>
      <c r="K238" s="13"/>
      <c r="L238" s="13"/>
      <c r="M238" s="13"/>
      <c r="N238" s="13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>
      <c r="A239" s="37"/>
      <c r="B239" s="38">
        <f t="shared" si="4"/>
        <v>229</v>
      </c>
      <c r="C239" s="11">
        <f t="shared" si="5"/>
        <v>109714.28571428591</v>
      </c>
      <c r="D239" s="11">
        <f t="shared" si="0"/>
        <v>874.87712134258607</v>
      </c>
      <c r="E239" s="11">
        <f t="shared" si="1"/>
        <v>110589.16283562849</v>
      </c>
      <c r="F239" s="11">
        <f t="shared" si="6"/>
        <v>571.42857142857144</v>
      </c>
      <c r="G239" s="11">
        <f t="shared" si="2"/>
        <v>1446.3056927711575</v>
      </c>
      <c r="H239" s="11">
        <f t="shared" si="3"/>
        <v>109142.85714285733</v>
      </c>
      <c r="I239" s="13"/>
      <c r="J239" s="13"/>
      <c r="K239" s="13"/>
      <c r="L239" s="13"/>
      <c r="M239" s="13"/>
      <c r="N239" s="13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75" customHeight="1">
      <c r="A240" s="37"/>
      <c r="B240" s="38">
        <f t="shared" si="4"/>
        <v>230</v>
      </c>
      <c r="C240" s="11">
        <f t="shared" si="5"/>
        <v>109142.85714285733</v>
      </c>
      <c r="D240" s="11">
        <f t="shared" si="0"/>
        <v>870.32046966892665</v>
      </c>
      <c r="E240" s="11">
        <f t="shared" si="1"/>
        <v>110013.17761252625</v>
      </c>
      <c r="F240" s="11">
        <f t="shared" si="6"/>
        <v>571.42857142857144</v>
      </c>
      <c r="G240" s="11">
        <f t="shared" si="2"/>
        <v>1441.7490410974981</v>
      </c>
      <c r="H240" s="11">
        <f t="shared" si="3"/>
        <v>108571.42857142875</v>
      </c>
      <c r="I240" s="13"/>
      <c r="J240" s="13"/>
      <c r="K240" s="13"/>
      <c r="L240" s="13"/>
      <c r="M240" s="13"/>
      <c r="N240" s="13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75" customHeight="1">
      <c r="A241" s="37"/>
      <c r="B241" s="38">
        <f t="shared" si="4"/>
        <v>231</v>
      </c>
      <c r="C241" s="11">
        <f t="shared" si="5"/>
        <v>108571.42857142875</v>
      </c>
      <c r="D241" s="11">
        <f t="shared" si="0"/>
        <v>865.76381799526735</v>
      </c>
      <c r="E241" s="11">
        <f t="shared" si="1"/>
        <v>109437.19238942402</v>
      </c>
      <c r="F241" s="11">
        <f t="shared" si="6"/>
        <v>571.42857142857144</v>
      </c>
      <c r="G241" s="11">
        <f t="shared" si="2"/>
        <v>1437.1923894238389</v>
      </c>
      <c r="H241" s="11">
        <f t="shared" si="3"/>
        <v>108000.00000000017</v>
      </c>
      <c r="I241" s="13"/>
      <c r="J241" s="13"/>
      <c r="K241" s="13"/>
      <c r="L241" s="13"/>
      <c r="M241" s="13"/>
      <c r="N241" s="13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75" customHeight="1">
      <c r="A242" s="37"/>
      <c r="B242" s="38">
        <f t="shared" si="4"/>
        <v>232</v>
      </c>
      <c r="C242" s="11">
        <f t="shared" si="5"/>
        <v>108000.00000000017</v>
      </c>
      <c r="D242" s="11">
        <f t="shared" si="0"/>
        <v>861.20716632160793</v>
      </c>
      <c r="E242" s="11">
        <f t="shared" si="1"/>
        <v>108861.20716632178</v>
      </c>
      <c r="F242" s="11">
        <f t="shared" si="6"/>
        <v>571.42857142857144</v>
      </c>
      <c r="G242" s="11">
        <f t="shared" si="2"/>
        <v>1432.6357377501795</v>
      </c>
      <c r="H242" s="11">
        <f t="shared" si="3"/>
        <v>107428.57142857159</v>
      </c>
      <c r="I242" s="13"/>
      <c r="J242" s="13"/>
      <c r="K242" s="13"/>
      <c r="L242" s="13"/>
      <c r="M242" s="13"/>
      <c r="N242" s="13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75" customHeight="1">
      <c r="A243" s="37"/>
      <c r="B243" s="38">
        <f t="shared" si="4"/>
        <v>233</v>
      </c>
      <c r="C243" s="11">
        <f t="shared" si="5"/>
        <v>107428.57142857159</v>
      </c>
      <c r="D243" s="11">
        <f t="shared" si="0"/>
        <v>856.65051464794863</v>
      </c>
      <c r="E243" s="11">
        <f t="shared" si="1"/>
        <v>108285.22194321954</v>
      </c>
      <c r="F243" s="11">
        <f t="shared" si="6"/>
        <v>571.42857142857144</v>
      </c>
      <c r="G243" s="11">
        <f t="shared" si="2"/>
        <v>1428.0790860765201</v>
      </c>
      <c r="H243" s="11">
        <f t="shared" si="3"/>
        <v>106857.14285714302</v>
      </c>
      <c r="I243" s="13"/>
      <c r="J243" s="13"/>
      <c r="K243" s="13"/>
      <c r="L243" s="13"/>
      <c r="M243" s="13"/>
      <c r="N243" s="13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75" customHeight="1">
      <c r="A244" s="37"/>
      <c r="B244" s="38">
        <f t="shared" si="4"/>
        <v>234</v>
      </c>
      <c r="C244" s="11">
        <f t="shared" si="5"/>
        <v>106857.14285714302</v>
      </c>
      <c r="D244" s="11">
        <f t="shared" si="0"/>
        <v>852.09386297428921</v>
      </c>
      <c r="E244" s="11">
        <f t="shared" si="1"/>
        <v>107709.2367201173</v>
      </c>
      <c r="F244" s="11">
        <f t="shared" si="6"/>
        <v>571.42857142857144</v>
      </c>
      <c r="G244" s="11">
        <f t="shared" si="2"/>
        <v>1423.5224344028607</v>
      </c>
      <c r="H244" s="11">
        <f t="shared" si="3"/>
        <v>106285.71428571445</v>
      </c>
      <c r="I244" s="13"/>
      <c r="J244" s="13"/>
      <c r="K244" s="13"/>
      <c r="L244" s="13"/>
      <c r="M244" s="13"/>
      <c r="N244" s="13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75" customHeight="1">
      <c r="A245" s="37"/>
      <c r="B245" s="38">
        <f t="shared" si="4"/>
        <v>235</v>
      </c>
      <c r="C245" s="11">
        <f t="shared" si="5"/>
        <v>106285.71428571445</v>
      </c>
      <c r="D245" s="11">
        <f t="shared" si="0"/>
        <v>847.53721130063002</v>
      </c>
      <c r="E245" s="11">
        <f t="shared" si="1"/>
        <v>107133.25149701508</v>
      </c>
      <c r="F245" s="11">
        <f t="shared" si="6"/>
        <v>571.42857142857144</v>
      </c>
      <c r="G245" s="11">
        <f t="shared" si="2"/>
        <v>1418.9657827292015</v>
      </c>
      <c r="H245" s="11">
        <f t="shared" si="3"/>
        <v>105714.28571428588</v>
      </c>
      <c r="I245" s="13"/>
      <c r="J245" s="13"/>
      <c r="K245" s="13"/>
      <c r="L245" s="13"/>
      <c r="M245" s="13"/>
      <c r="N245" s="13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75" customHeight="1">
      <c r="A246" s="37"/>
      <c r="B246" s="38">
        <f t="shared" si="4"/>
        <v>236</v>
      </c>
      <c r="C246" s="11">
        <f t="shared" si="5"/>
        <v>105714.28571428588</v>
      </c>
      <c r="D246" s="11">
        <f t="shared" si="0"/>
        <v>842.98055962697072</v>
      </c>
      <c r="E246" s="11">
        <f t="shared" si="1"/>
        <v>106557.26627391286</v>
      </c>
      <c r="F246" s="11">
        <f t="shared" si="6"/>
        <v>571.42857142857144</v>
      </c>
      <c r="G246" s="11">
        <f t="shared" si="2"/>
        <v>1414.4091310555423</v>
      </c>
      <c r="H246" s="11">
        <f t="shared" si="3"/>
        <v>105142.85714285732</v>
      </c>
      <c r="I246" s="13"/>
      <c r="J246" s="13"/>
      <c r="K246" s="13"/>
      <c r="L246" s="13"/>
      <c r="M246" s="13"/>
      <c r="N246" s="13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75" customHeight="1">
      <c r="A247" s="37"/>
      <c r="B247" s="38">
        <f t="shared" si="4"/>
        <v>237</v>
      </c>
      <c r="C247" s="11">
        <f t="shared" si="5"/>
        <v>105142.85714285732</v>
      </c>
      <c r="D247" s="11">
        <f t="shared" si="0"/>
        <v>838.42390795331153</v>
      </c>
      <c r="E247" s="11">
        <f t="shared" si="1"/>
        <v>105981.28105081063</v>
      </c>
      <c r="F247" s="11">
        <f t="shared" si="6"/>
        <v>571.42857142857144</v>
      </c>
      <c r="G247" s="11">
        <f t="shared" si="2"/>
        <v>1409.8524793818829</v>
      </c>
      <c r="H247" s="11">
        <f t="shared" si="3"/>
        <v>104571.42857142875</v>
      </c>
      <c r="I247" s="13"/>
      <c r="J247" s="13"/>
      <c r="K247" s="13"/>
      <c r="L247" s="13"/>
      <c r="M247" s="13"/>
      <c r="N247" s="13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75" customHeight="1">
      <c r="A248" s="37"/>
      <c r="B248" s="38">
        <f t="shared" si="4"/>
        <v>238</v>
      </c>
      <c r="C248" s="11">
        <f t="shared" si="5"/>
        <v>104571.42857142875</v>
      </c>
      <c r="D248" s="11">
        <f t="shared" si="0"/>
        <v>833.86725627965222</v>
      </c>
      <c r="E248" s="11">
        <f t="shared" si="1"/>
        <v>105405.29582770841</v>
      </c>
      <c r="F248" s="11">
        <f t="shared" si="6"/>
        <v>571.42857142857144</v>
      </c>
      <c r="G248" s="11">
        <f t="shared" si="2"/>
        <v>1405.2958277082237</v>
      </c>
      <c r="H248" s="11">
        <f t="shared" si="3"/>
        <v>104000.00000000019</v>
      </c>
      <c r="I248" s="13"/>
      <c r="J248" s="13"/>
      <c r="K248" s="13"/>
      <c r="L248" s="13"/>
      <c r="M248" s="13"/>
      <c r="N248" s="13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75" customHeight="1">
      <c r="A249" s="37"/>
      <c r="B249" s="38">
        <f t="shared" si="4"/>
        <v>239</v>
      </c>
      <c r="C249" s="11">
        <f t="shared" si="5"/>
        <v>104000.00000000019</v>
      </c>
      <c r="D249" s="11">
        <f t="shared" si="0"/>
        <v>829.31060460599303</v>
      </c>
      <c r="E249" s="11">
        <f t="shared" si="1"/>
        <v>104829.31060460619</v>
      </c>
      <c r="F249" s="11">
        <f t="shared" si="6"/>
        <v>571.42857142857144</v>
      </c>
      <c r="G249" s="11">
        <f t="shared" si="2"/>
        <v>1400.7391760345645</v>
      </c>
      <c r="H249" s="11">
        <f t="shared" si="3"/>
        <v>103428.57142857162</v>
      </c>
      <c r="I249" s="13"/>
      <c r="J249" s="13"/>
      <c r="K249" s="13"/>
      <c r="L249" s="13"/>
      <c r="M249" s="13"/>
      <c r="N249" s="13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75" customHeight="1">
      <c r="A250" s="37"/>
      <c r="B250" s="38">
        <f t="shared" si="4"/>
        <v>240</v>
      </c>
      <c r="C250" s="11">
        <f t="shared" si="5"/>
        <v>103428.57142857162</v>
      </c>
      <c r="D250" s="11">
        <f t="shared" si="0"/>
        <v>824.75395293233373</v>
      </c>
      <c r="E250" s="11">
        <f t="shared" si="1"/>
        <v>104253.32538150396</v>
      </c>
      <c r="F250" s="11">
        <f t="shared" si="6"/>
        <v>571.42857142857144</v>
      </c>
      <c r="G250" s="11">
        <f t="shared" si="2"/>
        <v>1396.1825243609051</v>
      </c>
      <c r="H250" s="11">
        <f t="shared" si="3"/>
        <v>102857.14285714306</v>
      </c>
      <c r="I250" s="13"/>
      <c r="J250" s="13"/>
      <c r="K250" s="13"/>
      <c r="L250" s="13"/>
      <c r="M250" s="13"/>
      <c r="N250" s="13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75" customHeight="1">
      <c r="A251" s="37"/>
      <c r="B251" s="38">
        <f t="shared" si="4"/>
        <v>241</v>
      </c>
      <c r="C251" s="11">
        <f t="shared" si="5"/>
        <v>102857.14285714306</v>
      </c>
      <c r="D251" s="11">
        <f t="shared" si="0"/>
        <v>820.19730125867454</v>
      </c>
      <c r="E251" s="11">
        <f t="shared" si="1"/>
        <v>103677.34015840173</v>
      </c>
      <c r="F251" s="11">
        <f t="shared" si="6"/>
        <v>571.42857142857144</v>
      </c>
      <c r="G251" s="11">
        <f t="shared" si="2"/>
        <v>1391.6258726872461</v>
      </c>
      <c r="H251" s="11">
        <f t="shared" si="3"/>
        <v>102285.71428571448</v>
      </c>
      <c r="I251" s="13"/>
      <c r="J251" s="13"/>
      <c r="K251" s="13"/>
      <c r="L251" s="13"/>
      <c r="M251" s="13"/>
      <c r="N251" s="13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75" customHeight="1">
      <c r="A252" s="37"/>
      <c r="B252" s="38">
        <f t="shared" si="4"/>
        <v>242</v>
      </c>
      <c r="C252" s="11">
        <f t="shared" si="5"/>
        <v>102285.71428571448</v>
      </c>
      <c r="D252" s="11">
        <f t="shared" si="0"/>
        <v>815.64064958501513</v>
      </c>
      <c r="E252" s="11">
        <f t="shared" si="1"/>
        <v>103101.35493529949</v>
      </c>
      <c r="F252" s="11">
        <f t="shared" si="6"/>
        <v>571.42857142857144</v>
      </c>
      <c r="G252" s="11">
        <f t="shared" si="2"/>
        <v>1387.0692210135867</v>
      </c>
      <c r="H252" s="11">
        <f t="shared" si="3"/>
        <v>101714.2857142859</v>
      </c>
      <c r="I252" s="13"/>
      <c r="J252" s="13"/>
      <c r="K252" s="13"/>
      <c r="L252" s="13"/>
      <c r="M252" s="13"/>
      <c r="N252" s="13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75" customHeight="1">
      <c r="A253" s="37"/>
      <c r="B253" s="38">
        <f t="shared" si="4"/>
        <v>243</v>
      </c>
      <c r="C253" s="11">
        <f t="shared" si="5"/>
        <v>101714.2857142859</v>
      </c>
      <c r="D253" s="11">
        <f t="shared" si="0"/>
        <v>811.08399791135582</v>
      </c>
      <c r="E253" s="11">
        <f t="shared" si="1"/>
        <v>102525.36971219725</v>
      </c>
      <c r="F253" s="11">
        <f t="shared" si="6"/>
        <v>571.42857142857144</v>
      </c>
      <c r="G253" s="11">
        <f t="shared" si="2"/>
        <v>1382.5125693399273</v>
      </c>
      <c r="H253" s="11">
        <f t="shared" si="3"/>
        <v>101142.85714285732</v>
      </c>
      <c r="I253" s="13"/>
      <c r="J253" s="13"/>
      <c r="K253" s="13"/>
      <c r="L253" s="13"/>
      <c r="M253" s="13"/>
      <c r="N253" s="13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75" customHeight="1">
      <c r="A254" s="37"/>
      <c r="B254" s="38">
        <f t="shared" si="4"/>
        <v>244</v>
      </c>
      <c r="C254" s="11">
        <f t="shared" si="5"/>
        <v>101142.85714285732</v>
      </c>
      <c r="D254" s="11">
        <f t="shared" si="0"/>
        <v>806.52734623769641</v>
      </c>
      <c r="E254" s="11">
        <f t="shared" si="1"/>
        <v>101949.38448909501</v>
      </c>
      <c r="F254" s="11">
        <f t="shared" si="6"/>
        <v>571.42857142857144</v>
      </c>
      <c r="G254" s="11">
        <f t="shared" si="2"/>
        <v>1377.9559176662679</v>
      </c>
      <c r="H254" s="11">
        <f t="shared" si="3"/>
        <v>100571.42857142874</v>
      </c>
      <c r="I254" s="13"/>
      <c r="J254" s="13"/>
      <c r="K254" s="13"/>
      <c r="L254" s="13"/>
      <c r="M254" s="13"/>
      <c r="N254" s="13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75" customHeight="1">
      <c r="A255" s="37"/>
      <c r="B255" s="38">
        <f t="shared" si="4"/>
        <v>245</v>
      </c>
      <c r="C255" s="11">
        <f t="shared" si="5"/>
        <v>100571.42857142874</v>
      </c>
      <c r="D255" s="11">
        <f t="shared" si="0"/>
        <v>801.9706945640371</v>
      </c>
      <c r="E255" s="11">
        <f t="shared" si="1"/>
        <v>101373.39926599278</v>
      </c>
      <c r="F255" s="11">
        <f t="shared" si="6"/>
        <v>571.42857142857144</v>
      </c>
      <c r="G255" s="11">
        <f t="shared" si="2"/>
        <v>1373.3992659926084</v>
      </c>
      <c r="H255" s="11">
        <f t="shared" si="3"/>
        <v>100000.00000000016</v>
      </c>
      <c r="I255" s="13"/>
      <c r="J255" s="13"/>
      <c r="K255" s="13"/>
      <c r="L255" s="13"/>
      <c r="M255" s="13"/>
      <c r="N255" s="13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75" customHeight="1">
      <c r="A256" s="37"/>
      <c r="B256" s="38">
        <f t="shared" si="4"/>
        <v>246</v>
      </c>
      <c r="C256" s="11">
        <f t="shared" si="5"/>
        <v>100000.00000000016</v>
      </c>
      <c r="D256" s="11">
        <f t="shared" si="0"/>
        <v>797.41404289037769</v>
      </c>
      <c r="E256" s="11">
        <f t="shared" si="1"/>
        <v>100797.41404289054</v>
      </c>
      <c r="F256" s="11">
        <f t="shared" si="6"/>
        <v>571.42857142857144</v>
      </c>
      <c r="G256" s="11">
        <f t="shared" si="2"/>
        <v>1368.842614318949</v>
      </c>
      <c r="H256" s="11">
        <f t="shared" si="3"/>
        <v>99428.571428571595</v>
      </c>
      <c r="I256" s="13"/>
      <c r="J256" s="13"/>
      <c r="K256" s="13"/>
      <c r="L256" s="13"/>
      <c r="M256" s="13"/>
      <c r="N256" s="13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75" customHeight="1">
      <c r="A257" s="37"/>
      <c r="B257" s="38">
        <f t="shared" si="4"/>
        <v>247</v>
      </c>
      <c r="C257" s="11">
        <f t="shared" si="5"/>
        <v>99428.571428571595</v>
      </c>
      <c r="D257" s="11">
        <f t="shared" si="0"/>
        <v>792.8573912167185</v>
      </c>
      <c r="E257" s="11">
        <f t="shared" si="1"/>
        <v>100221.42881978831</v>
      </c>
      <c r="F257" s="11">
        <f t="shared" si="6"/>
        <v>571.42857142857144</v>
      </c>
      <c r="G257" s="11">
        <f t="shared" si="2"/>
        <v>1364.2859626452901</v>
      </c>
      <c r="H257" s="11">
        <f t="shared" si="3"/>
        <v>98857.14285714303</v>
      </c>
      <c r="I257" s="13"/>
      <c r="J257" s="13"/>
      <c r="K257" s="13"/>
      <c r="L257" s="13"/>
      <c r="M257" s="13"/>
      <c r="N257" s="13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75" customHeight="1">
      <c r="A258" s="37"/>
      <c r="B258" s="38">
        <f t="shared" si="4"/>
        <v>248</v>
      </c>
      <c r="C258" s="11">
        <f t="shared" si="5"/>
        <v>98857.14285714303</v>
      </c>
      <c r="D258" s="11">
        <f t="shared" si="0"/>
        <v>788.30073954305919</v>
      </c>
      <c r="E258" s="11">
        <f t="shared" si="1"/>
        <v>99645.443596686091</v>
      </c>
      <c r="F258" s="11">
        <f t="shared" si="6"/>
        <v>571.42857142857144</v>
      </c>
      <c r="G258" s="11">
        <f t="shared" si="2"/>
        <v>1359.7293109716306</v>
      </c>
      <c r="H258" s="11">
        <f t="shared" si="3"/>
        <v>98285.714285714464</v>
      </c>
      <c r="I258" s="13"/>
      <c r="J258" s="13"/>
      <c r="K258" s="13"/>
      <c r="L258" s="13"/>
      <c r="M258" s="13"/>
      <c r="N258" s="13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75" customHeight="1">
      <c r="A259" s="37"/>
      <c r="B259" s="38">
        <f t="shared" si="4"/>
        <v>249</v>
      </c>
      <c r="C259" s="11">
        <f t="shared" si="5"/>
        <v>98285.714285714464</v>
      </c>
      <c r="D259" s="11">
        <f t="shared" si="0"/>
        <v>783.7440878694</v>
      </c>
      <c r="E259" s="11">
        <f t="shared" si="1"/>
        <v>99069.458373583868</v>
      </c>
      <c r="F259" s="11">
        <f t="shared" si="6"/>
        <v>571.42857142857144</v>
      </c>
      <c r="G259" s="11">
        <f t="shared" si="2"/>
        <v>1355.1726592979714</v>
      </c>
      <c r="H259" s="11">
        <f t="shared" si="3"/>
        <v>97714.285714285899</v>
      </c>
      <c r="I259" s="13"/>
      <c r="J259" s="13"/>
      <c r="K259" s="13"/>
      <c r="L259" s="13"/>
      <c r="M259" s="13"/>
      <c r="N259" s="13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75" customHeight="1">
      <c r="A260" s="37"/>
      <c r="B260" s="38">
        <f t="shared" si="4"/>
        <v>250</v>
      </c>
      <c r="C260" s="11">
        <f t="shared" si="5"/>
        <v>97714.285714285899</v>
      </c>
      <c r="D260" s="11">
        <f t="shared" si="0"/>
        <v>779.1874361957407</v>
      </c>
      <c r="E260" s="11">
        <f t="shared" si="1"/>
        <v>98493.473150481645</v>
      </c>
      <c r="F260" s="11">
        <f t="shared" si="6"/>
        <v>571.42857142857144</v>
      </c>
      <c r="G260" s="11">
        <f t="shared" si="2"/>
        <v>1350.6160076243123</v>
      </c>
      <c r="H260" s="11">
        <f t="shared" si="3"/>
        <v>97142.857142857334</v>
      </c>
      <c r="I260" s="13"/>
      <c r="J260" s="13"/>
      <c r="K260" s="13"/>
      <c r="L260" s="13"/>
      <c r="M260" s="13"/>
      <c r="N260" s="13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75" customHeight="1">
      <c r="A261" s="37"/>
      <c r="B261" s="38">
        <f t="shared" si="4"/>
        <v>251</v>
      </c>
      <c r="C261" s="11">
        <f t="shared" si="5"/>
        <v>97142.857142857334</v>
      </c>
      <c r="D261" s="11">
        <f t="shared" si="0"/>
        <v>774.63078452208151</v>
      </c>
      <c r="E261" s="11">
        <f t="shared" si="1"/>
        <v>97917.487927379421</v>
      </c>
      <c r="F261" s="11">
        <f t="shared" si="6"/>
        <v>571.42857142857144</v>
      </c>
      <c r="G261" s="11">
        <f t="shared" si="2"/>
        <v>1346.0593559506528</v>
      </c>
      <c r="H261" s="11">
        <f t="shared" si="3"/>
        <v>96571.428571428769</v>
      </c>
      <c r="I261" s="13"/>
      <c r="J261" s="13"/>
      <c r="K261" s="13"/>
      <c r="L261" s="13"/>
      <c r="M261" s="13"/>
      <c r="N261" s="13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75" customHeight="1">
      <c r="A262" s="37"/>
      <c r="B262" s="38">
        <f t="shared" si="4"/>
        <v>252</v>
      </c>
      <c r="C262" s="11">
        <f t="shared" si="5"/>
        <v>96571.428571428769</v>
      </c>
      <c r="D262" s="11">
        <f t="shared" si="0"/>
        <v>770.07413284842221</v>
      </c>
      <c r="E262" s="11">
        <f t="shared" si="1"/>
        <v>97341.502704277198</v>
      </c>
      <c r="F262" s="11">
        <f t="shared" si="6"/>
        <v>571.42857142857144</v>
      </c>
      <c r="G262" s="11">
        <f t="shared" si="2"/>
        <v>1341.5027042769937</v>
      </c>
      <c r="H262" s="11">
        <f t="shared" si="3"/>
        <v>96000.000000000204</v>
      </c>
      <c r="I262" s="13"/>
      <c r="J262" s="13"/>
      <c r="K262" s="13"/>
      <c r="L262" s="13"/>
      <c r="M262" s="13"/>
      <c r="N262" s="13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75" customHeight="1">
      <c r="A263" s="37"/>
      <c r="B263" s="38">
        <f t="shared" si="4"/>
        <v>253</v>
      </c>
      <c r="C263" s="11">
        <f t="shared" si="5"/>
        <v>96000.000000000204</v>
      </c>
      <c r="D263" s="11">
        <f t="shared" si="0"/>
        <v>765.51748117476302</v>
      </c>
      <c r="E263" s="11">
        <f t="shared" si="1"/>
        <v>96765.51748117496</v>
      </c>
      <c r="F263" s="11">
        <f t="shared" si="6"/>
        <v>571.42857142857144</v>
      </c>
      <c r="G263" s="11">
        <f t="shared" si="2"/>
        <v>1336.9460526033345</v>
      </c>
      <c r="H263" s="11">
        <f t="shared" si="3"/>
        <v>95428.571428571624</v>
      </c>
      <c r="I263" s="13"/>
      <c r="J263" s="13"/>
      <c r="K263" s="13"/>
      <c r="L263" s="13"/>
      <c r="M263" s="13"/>
      <c r="N263" s="13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75" customHeight="1">
      <c r="A264" s="37"/>
      <c r="B264" s="38">
        <f t="shared" si="4"/>
        <v>254</v>
      </c>
      <c r="C264" s="11">
        <f t="shared" si="5"/>
        <v>95428.571428571624</v>
      </c>
      <c r="D264" s="11">
        <f t="shared" si="0"/>
        <v>760.9608295011036</v>
      </c>
      <c r="E264" s="11">
        <f t="shared" si="1"/>
        <v>96189.532258072722</v>
      </c>
      <c r="F264" s="11">
        <f t="shared" si="6"/>
        <v>571.42857142857144</v>
      </c>
      <c r="G264" s="11">
        <f t="shared" si="2"/>
        <v>1332.389400929675</v>
      </c>
      <c r="H264" s="11">
        <f t="shared" si="3"/>
        <v>94857.142857143044</v>
      </c>
      <c r="I264" s="13"/>
      <c r="J264" s="13"/>
      <c r="K264" s="13"/>
      <c r="L264" s="13"/>
      <c r="M264" s="13"/>
      <c r="N264" s="13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75" customHeight="1">
      <c r="A265" s="37"/>
      <c r="B265" s="38">
        <f t="shared" si="4"/>
        <v>255</v>
      </c>
      <c r="C265" s="11">
        <f t="shared" si="5"/>
        <v>94857.142857143044</v>
      </c>
      <c r="D265" s="11">
        <f t="shared" si="0"/>
        <v>756.4041778274443</v>
      </c>
      <c r="E265" s="11">
        <f t="shared" si="1"/>
        <v>95613.547034970485</v>
      </c>
      <c r="F265" s="11">
        <f t="shared" si="6"/>
        <v>571.42857142857144</v>
      </c>
      <c r="G265" s="11">
        <f t="shared" si="2"/>
        <v>1327.8327492560156</v>
      </c>
      <c r="H265" s="11">
        <f t="shared" si="3"/>
        <v>94285.714285714464</v>
      </c>
      <c r="I265" s="13"/>
      <c r="J265" s="13"/>
      <c r="K265" s="13"/>
      <c r="L265" s="13"/>
      <c r="M265" s="13"/>
      <c r="N265" s="13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75" customHeight="1">
      <c r="A266" s="37"/>
      <c r="B266" s="38">
        <f t="shared" si="4"/>
        <v>256</v>
      </c>
      <c r="C266" s="11">
        <f t="shared" si="5"/>
        <v>94285.714285714464</v>
      </c>
      <c r="D266" s="11">
        <f t="shared" ref="D266:D430" si="7">IF(B266&gt;0,C266*$I$8,0)</f>
        <v>751.84752615378488</v>
      </c>
      <c r="E266" s="11">
        <f t="shared" ref="E266:E430" si="8">IF(B266&gt;0,C266+D266,0)</f>
        <v>95037.561811868247</v>
      </c>
      <c r="F266" s="11">
        <f t="shared" si="6"/>
        <v>571.42857142857144</v>
      </c>
      <c r="G266" s="11">
        <f t="shared" ref="G266:G430" si="9">IF(B266&gt;0,D266+F266,0)</f>
        <v>1323.2760975823562</v>
      </c>
      <c r="H266" s="11">
        <f t="shared" ref="H266:H430" si="10">IF(B266&gt;0,E266-G266,0)</f>
        <v>93714.285714285885</v>
      </c>
      <c r="I266" s="13"/>
      <c r="J266" s="13"/>
      <c r="K266" s="13"/>
      <c r="L266" s="13"/>
      <c r="M266" s="13"/>
      <c r="N266" s="13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75" customHeight="1">
      <c r="A267" s="37"/>
      <c r="B267" s="38">
        <f t="shared" ref="B267:B430" si="11">IF(AND(B266&gt;0,B266&lt;$E$8),B266+1,0)</f>
        <v>257</v>
      </c>
      <c r="C267" s="11">
        <f t="shared" ref="C267:C430" si="12">IF(B267&gt;0,H266,0)</f>
        <v>93714.285714285885</v>
      </c>
      <c r="D267" s="11">
        <f t="shared" si="7"/>
        <v>747.29087448012558</v>
      </c>
      <c r="E267" s="11">
        <f t="shared" si="8"/>
        <v>94461.576588766009</v>
      </c>
      <c r="F267" s="11">
        <f t="shared" ref="F267:F430" si="13">IF(B267&gt;0,$C$8/$E$8,0)</f>
        <v>571.42857142857144</v>
      </c>
      <c r="G267" s="11">
        <f t="shared" si="9"/>
        <v>1318.719445908697</v>
      </c>
      <c r="H267" s="11">
        <f t="shared" si="10"/>
        <v>93142.857142857305</v>
      </c>
      <c r="I267" s="13"/>
      <c r="J267" s="13"/>
      <c r="K267" s="13"/>
      <c r="L267" s="13"/>
      <c r="M267" s="13"/>
      <c r="N267" s="13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75" customHeight="1">
      <c r="A268" s="37"/>
      <c r="B268" s="38">
        <f t="shared" si="11"/>
        <v>258</v>
      </c>
      <c r="C268" s="11">
        <f t="shared" si="12"/>
        <v>93142.857142857305</v>
      </c>
      <c r="D268" s="11">
        <f t="shared" si="7"/>
        <v>742.73422280646616</v>
      </c>
      <c r="E268" s="11">
        <f t="shared" si="8"/>
        <v>93885.591365663771</v>
      </c>
      <c r="F268" s="11">
        <f t="shared" si="13"/>
        <v>571.42857142857144</v>
      </c>
      <c r="G268" s="11">
        <f t="shared" si="9"/>
        <v>1314.1627942350376</v>
      </c>
      <c r="H268" s="11">
        <f t="shared" si="10"/>
        <v>92571.42857142874</v>
      </c>
      <c r="I268" s="13"/>
      <c r="J268" s="13"/>
      <c r="K268" s="13"/>
      <c r="L268" s="13"/>
      <c r="M268" s="13"/>
      <c r="N268" s="13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75" customHeight="1">
      <c r="A269" s="37"/>
      <c r="B269" s="38">
        <f t="shared" si="11"/>
        <v>259</v>
      </c>
      <c r="C269" s="11">
        <f t="shared" si="12"/>
        <v>92571.42857142874</v>
      </c>
      <c r="D269" s="11">
        <f t="shared" si="7"/>
        <v>738.17757113280697</v>
      </c>
      <c r="E269" s="11">
        <f t="shared" si="8"/>
        <v>93309.606142561548</v>
      </c>
      <c r="F269" s="11">
        <f t="shared" si="13"/>
        <v>571.42857142857144</v>
      </c>
      <c r="G269" s="11">
        <f t="shared" si="9"/>
        <v>1309.6061425613784</v>
      </c>
      <c r="H269" s="11">
        <f t="shared" si="10"/>
        <v>92000.000000000175</v>
      </c>
      <c r="I269" s="13"/>
      <c r="J269" s="13"/>
      <c r="K269" s="13"/>
      <c r="L269" s="13"/>
      <c r="M269" s="13"/>
      <c r="N269" s="13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75" customHeight="1">
      <c r="A270" s="37"/>
      <c r="B270" s="38">
        <f t="shared" si="11"/>
        <v>260</v>
      </c>
      <c r="C270" s="11">
        <f t="shared" si="12"/>
        <v>92000.000000000175</v>
      </c>
      <c r="D270" s="11">
        <f t="shared" si="7"/>
        <v>733.62091945914767</v>
      </c>
      <c r="E270" s="11">
        <f t="shared" si="8"/>
        <v>92733.620919459325</v>
      </c>
      <c r="F270" s="11">
        <f t="shared" si="13"/>
        <v>571.42857142857144</v>
      </c>
      <c r="G270" s="11">
        <f t="shared" si="9"/>
        <v>1305.049490887719</v>
      </c>
      <c r="H270" s="11">
        <f t="shared" si="10"/>
        <v>91428.571428571609</v>
      </c>
      <c r="I270" s="13"/>
      <c r="J270" s="13"/>
      <c r="K270" s="13"/>
      <c r="L270" s="13"/>
      <c r="M270" s="13"/>
      <c r="N270" s="13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75" customHeight="1">
      <c r="A271" s="37"/>
      <c r="B271" s="38">
        <f t="shared" si="11"/>
        <v>261</v>
      </c>
      <c r="C271" s="11">
        <f t="shared" si="12"/>
        <v>91428.571428571609</v>
      </c>
      <c r="D271" s="11">
        <f t="shared" si="7"/>
        <v>729.06426778548848</v>
      </c>
      <c r="E271" s="11">
        <f t="shared" si="8"/>
        <v>92157.635696357102</v>
      </c>
      <c r="F271" s="11">
        <f t="shared" si="13"/>
        <v>571.42857142857144</v>
      </c>
      <c r="G271" s="11">
        <f t="shared" si="9"/>
        <v>1300.49283921406</v>
      </c>
      <c r="H271" s="11">
        <f t="shared" si="10"/>
        <v>90857.142857143044</v>
      </c>
      <c r="I271" s="13"/>
      <c r="J271" s="13"/>
      <c r="K271" s="13"/>
      <c r="L271" s="13"/>
      <c r="M271" s="13"/>
      <c r="N271" s="13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75" customHeight="1">
      <c r="A272" s="37"/>
      <c r="B272" s="38">
        <f t="shared" si="11"/>
        <v>262</v>
      </c>
      <c r="C272" s="11">
        <f t="shared" si="12"/>
        <v>90857.142857143044</v>
      </c>
      <c r="D272" s="11">
        <f t="shared" si="7"/>
        <v>724.50761611182918</v>
      </c>
      <c r="E272" s="11">
        <f t="shared" si="8"/>
        <v>91581.650473254878</v>
      </c>
      <c r="F272" s="11">
        <f t="shared" si="13"/>
        <v>571.42857142857144</v>
      </c>
      <c r="G272" s="11">
        <f t="shared" si="9"/>
        <v>1295.9361875404006</v>
      </c>
      <c r="H272" s="11">
        <f t="shared" si="10"/>
        <v>90285.714285714479</v>
      </c>
      <c r="I272" s="13"/>
      <c r="J272" s="13"/>
      <c r="K272" s="13"/>
      <c r="L272" s="13"/>
      <c r="M272" s="13"/>
      <c r="N272" s="13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75" customHeight="1">
      <c r="A273" s="37"/>
      <c r="B273" s="38">
        <f t="shared" si="11"/>
        <v>263</v>
      </c>
      <c r="C273" s="11">
        <f t="shared" si="12"/>
        <v>90285.714285714479</v>
      </c>
      <c r="D273" s="11">
        <f t="shared" si="7"/>
        <v>719.95096443816999</v>
      </c>
      <c r="E273" s="11">
        <f t="shared" si="8"/>
        <v>91005.665250152655</v>
      </c>
      <c r="F273" s="11">
        <f t="shared" si="13"/>
        <v>571.42857142857144</v>
      </c>
      <c r="G273" s="11">
        <f t="shared" si="9"/>
        <v>1291.3795358667414</v>
      </c>
      <c r="H273" s="11">
        <f t="shared" si="10"/>
        <v>89714.285714285914</v>
      </c>
      <c r="I273" s="13"/>
      <c r="J273" s="13"/>
      <c r="K273" s="13"/>
      <c r="L273" s="13"/>
      <c r="M273" s="13"/>
      <c r="N273" s="13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75" customHeight="1">
      <c r="A274" s="37"/>
      <c r="B274" s="38">
        <f t="shared" si="11"/>
        <v>264</v>
      </c>
      <c r="C274" s="11">
        <f t="shared" si="12"/>
        <v>89714.285714285914</v>
      </c>
      <c r="D274" s="11">
        <f t="shared" si="7"/>
        <v>715.39431276451069</v>
      </c>
      <c r="E274" s="11">
        <f t="shared" si="8"/>
        <v>90429.680027050432</v>
      </c>
      <c r="F274" s="11">
        <f t="shared" si="13"/>
        <v>571.42857142857144</v>
      </c>
      <c r="G274" s="11">
        <f t="shared" si="9"/>
        <v>1286.8228841930822</v>
      </c>
      <c r="H274" s="11">
        <f t="shared" si="10"/>
        <v>89142.857142857349</v>
      </c>
      <c r="I274" s="13"/>
      <c r="J274" s="13"/>
      <c r="K274" s="13"/>
      <c r="L274" s="13"/>
      <c r="M274" s="13"/>
      <c r="N274" s="13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75" customHeight="1">
      <c r="A275" s="37"/>
      <c r="B275" s="38">
        <f t="shared" si="11"/>
        <v>265</v>
      </c>
      <c r="C275" s="11">
        <f t="shared" si="12"/>
        <v>89142.857142857349</v>
      </c>
      <c r="D275" s="11">
        <f t="shared" si="7"/>
        <v>710.8376610908515</v>
      </c>
      <c r="E275" s="11">
        <f t="shared" si="8"/>
        <v>89853.694803948194</v>
      </c>
      <c r="F275" s="11">
        <f t="shared" si="13"/>
        <v>571.42857142857144</v>
      </c>
      <c r="G275" s="11">
        <f t="shared" si="9"/>
        <v>1282.2662325194228</v>
      </c>
      <c r="H275" s="11">
        <f t="shared" si="10"/>
        <v>88571.428571428769</v>
      </c>
      <c r="I275" s="13"/>
      <c r="J275" s="13"/>
      <c r="K275" s="13"/>
      <c r="L275" s="13"/>
      <c r="M275" s="13"/>
      <c r="N275" s="13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75" customHeight="1">
      <c r="A276" s="37"/>
      <c r="B276" s="38">
        <f t="shared" si="11"/>
        <v>266</v>
      </c>
      <c r="C276" s="11">
        <f t="shared" si="12"/>
        <v>88571.428571428769</v>
      </c>
      <c r="D276" s="11">
        <f t="shared" si="7"/>
        <v>706.28100941719208</v>
      </c>
      <c r="E276" s="11">
        <f t="shared" si="8"/>
        <v>89277.709580845956</v>
      </c>
      <c r="F276" s="11">
        <f t="shared" si="13"/>
        <v>571.42857142857144</v>
      </c>
      <c r="G276" s="11">
        <f t="shared" si="9"/>
        <v>1277.7095808457634</v>
      </c>
      <c r="H276" s="11">
        <f t="shared" si="10"/>
        <v>88000.000000000189</v>
      </c>
      <c r="I276" s="13"/>
      <c r="J276" s="13"/>
      <c r="K276" s="13"/>
      <c r="L276" s="13"/>
      <c r="M276" s="13"/>
      <c r="N276" s="13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75" customHeight="1">
      <c r="A277" s="37"/>
      <c r="B277" s="38">
        <f t="shared" si="11"/>
        <v>267</v>
      </c>
      <c r="C277" s="11">
        <f t="shared" si="12"/>
        <v>88000.000000000189</v>
      </c>
      <c r="D277" s="11">
        <f t="shared" si="7"/>
        <v>701.72435774353278</v>
      </c>
      <c r="E277" s="11">
        <f t="shared" si="8"/>
        <v>88701.724357743718</v>
      </c>
      <c r="F277" s="11">
        <f t="shared" si="13"/>
        <v>571.42857142857144</v>
      </c>
      <c r="G277" s="11">
        <f t="shared" si="9"/>
        <v>1273.1529291721042</v>
      </c>
      <c r="H277" s="11">
        <f t="shared" si="10"/>
        <v>87428.571428571609</v>
      </c>
      <c r="I277" s="13"/>
      <c r="J277" s="13"/>
      <c r="K277" s="13"/>
      <c r="L277" s="13"/>
      <c r="M277" s="13"/>
      <c r="N277" s="13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75" customHeight="1">
      <c r="A278" s="37"/>
      <c r="B278" s="38">
        <f t="shared" si="11"/>
        <v>268</v>
      </c>
      <c r="C278" s="11">
        <f t="shared" si="12"/>
        <v>87428.571428571609</v>
      </c>
      <c r="D278" s="11">
        <f t="shared" si="7"/>
        <v>697.16770606987336</v>
      </c>
      <c r="E278" s="11">
        <f t="shared" si="8"/>
        <v>88125.739134641481</v>
      </c>
      <c r="F278" s="11">
        <f t="shared" si="13"/>
        <v>571.42857142857144</v>
      </c>
      <c r="G278" s="11">
        <f t="shared" si="9"/>
        <v>1268.5962774984448</v>
      </c>
      <c r="H278" s="11">
        <f t="shared" si="10"/>
        <v>86857.14285714303</v>
      </c>
      <c r="I278" s="13"/>
      <c r="J278" s="13"/>
      <c r="K278" s="13"/>
      <c r="L278" s="13"/>
      <c r="M278" s="13"/>
      <c r="N278" s="13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75" customHeight="1">
      <c r="A279" s="37"/>
      <c r="B279" s="38">
        <f t="shared" si="11"/>
        <v>269</v>
      </c>
      <c r="C279" s="11">
        <f t="shared" si="12"/>
        <v>86857.14285714303</v>
      </c>
      <c r="D279" s="11">
        <f t="shared" si="7"/>
        <v>692.61105439621406</v>
      </c>
      <c r="E279" s="11">
        <f t="shared" si="8"/>
        <v>87549.753911539243</v>
      </c>
      <c r="F279" s="11">
        <f t="shared" si="13"/>
        <v>571.42857142857144</v>
      </c>
      <c r="G279" s="11">
        <f t="shared" si="9"/>
        <v>1264.0396258247856</v>
      </c>
      <c r="H279" s="11">
        <f t="shared" si="10"/>
        <v>86285.714285714464</v>
      </c>
      <c r="I279" s="13"/>
      <c r="J279" s="13"/>
      <c r="K279" s="13"/>
      <c r="L279" s="13"/>
      <c r="M279" s="13"/>
      <c r="N279" s="13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75" customHeight="1">
      <c r="A280" s="37"/>
      <c r="B280" s="38">
        <f t="shared" si="11"/>
        <v>270</v>
      </c>
      <c r="C280" s="11">
        <f t="shared" si="12"/>
        <v>86285.714285714464</v>
      </c>
      <c r="D280" s="11">
        <f t="shared" si="7"/>
        <v>688.05440272255476</v>
      </c>
      <c r="E280" s="11">
        <f t="shared" si="8"/>
        <v>86973.76868843702</v>
      </c>
      <c r="F280" s="11">
        <f t="shared" si="13"/>
        <v>571.42857142857144</v>
      </c>
      <c r="G280" s="11">
        <f t="shared" si="9"/>
        <v>1259.4829741511262</v>
      </c>
      <c r="H280" s="11">
        <f t="shared" si="10"/>
        <v>85714.285714285899</v>
      </c>
      <c r="I280" s="13"/>
      <c r="J280" s="13"/>
      <c r="K280" s="13"/>
      <c r="L280" s="13"/>
      <c r="M280" s="13"/>
      <c r="N280" s="13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75" customHeight="1">
      <c r="A281" s="37"/>
      <c r="B281" s="38">
        <f t="shared" si="11"/>
        <v>271</v>
      </c>
      <c r="C281" s="11">
        <f t="shared" si="12"/>
        <v>85714.285714285899</v>
      </c>
      <c r="D281" s="11">
        <f t="shared" si="7"/>
        <v>683.49775104889557</v>
      </c>
      <c r="E281" s="11">
        <f t="shared" si="8"/>
        <v>86397.783465334796</v>
      </c>
      <c r="F281" s="11">
        <f t="shared" si="13"/>
        <v>571.42857142857144</v>
      </c>
      <c r="G281" s="11">
        <f t="shared" si="9"/>
        <v>1254.926322477467</v>
      </c>
      <c r="H281" s="11">
        <f t="shared" si="10"/>
        <v>85142.857142857334</v>
      </c>
      <c r="I281" s="13"/>
      <c r="J281" s="13"/>
      <c r="K281" s="13"/>
      <c r="L281" s="13"/>
      <c r="M281" s="13"/>
      <c r="N281" s="13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75" customHeight="1">
      <c r="A282" s="37"/>
      <c r="B282" s="38">
        <f t="shared" si="11"/>
        <v>272</v>
      </c>
      <c r="C282" s="11">
        <f t="shared" si="12"/>
        <v>85142.857142857334</v>
      </c>
      <c r="D282" s="11">
        <f t="shared" si="7"/>
        <v>678.94109937523626</v>
      </c>
      <c r="E282" s="11">
        <f t="shared" si="8"/>
        <v>85821.798242232573</v>
      </c>
      <c r="F282" s="11">
        <f t="shared" si="13"/>
        <v>571.42857142857144</v>
      </c>
      <c r="G282" s="11">
        <f t="shared" si="9"/>
        <v>1250.3696708038078</v>
      </c>
      <c r="H282" s="11">
        <f t="shared" si="10"/>
        <v>84571.428571428769</v>
      </c>
      <c r="I282" s="13"/>
      <c r="J282" s="13"/>
      <c r="K282" s="13"/>
      <c r="L282" s="13"/>
      <c r="M282" s="13"/>
      <c r="N282" s="13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75" customHeight="1">
      <c r="A283" s="37"/>
      <c r="B283" s="38">
        <f t="shared" si="11"/>
        <v>273</v>
      </c>
      <c r="C283" s="11">
        <f t="shared" si="12"/>
        <v>84571.428571428769</v>
      </c>
      <c r="D283" s="11">
        <f t="shared" si="7"/>
        <v>674.38444770157707</v>
      </c>
      <c r="E283" s="11">
        <f t="shared" si="8"/>
        <v>85245.81301913035</v>
      </c>
      <c r="F283" s="11">
        <f t="shared" si="13"/>
        <v>571.42857142857144</v>
      </c>
      <c r="G283" s="11">
        <f t="shared" si="9"/>
        <v>1245.8130191301484</v>
      </c>
      <c r="H283" s="11">
        <f t="shared" si="10"/>
        <v>84000.000000000204</v>
      </c>
      <c r="I283" s="13"/>
      <c r="J283" s="13"/>
      <c r="K283" s="13"/>
      <c r="L283" s="13"/>
      <c r="M283" s="13"/>
      <c r="N283" s="13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75" customHeight="1">
      <c r="A284" s="37"/>
      <c r="B284" s="38">
        <f t="shared" si="11"/>
        <v>274</v>
      </c>
      <c r="C284" s="11">
        <f t="shared" si="12"/>
        <v>84000.000000000204</v>
      </c>
      <c r="D284" s="11">
        <f t="shared" si="7"/>
        <v>669.82779602791777</v>
      </c>
      <c r="E284" s="11">
        <f t="shared" si="8"/>
        <v>84669.827796028127</v>
      </c>
      <c r="F284" s="11">
        <f t="shared" si="13"/>
        <v>571.42857142857144</v>
      </c>
      <c r="G284" s="11">
        <f t="shared" si="9"/>
        <v>1241.2563674564892</v>
      </c>
      <c r="H284" s="11">
        <f t="shared" si="10"/>
        <v>83428.571428571639</v>
      </c>
      <c r="I284" s="13"/>
      <c r="J284" s="13"/>
      <c r="K284" s="13"/>
      <c r="L284" s="13"/>
      <c r="M284" s="13"/>
      <c r="N284" s="13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75" customHeight="1">
      <c r="A285" s="37"/>
      <c r="B285" s="38">
        <f t="shared" si="11"/>
        <v>275</v>
      </c>
      <c r="C285" s="11">
        <f t="shared" si="12"/>
        <v>83428.571428571639</v>
      </c>
      <c r="D285" s="11">
        <f t="shared" si="7"/>
        <v>665.27114435425858</v>
      </c>
      <c r="E285" s="11">
        <f t="shared" si="8"/>
        <v>84093.842572925903</v>
      </c>
      <c r="F285" s="11">
        <f t="shared" si="13"/>
        <v>571.42857142857144</v>
      </c>
      <c r="G285" s="11">
        <f t="shared" si="9"/>
        <v>1236.69971578283</v>
      </c>
      <c r="H285" s="11">
        <f t="shared" si="10"/>
        <v>82857.142857143073</v>
      </c>
      <c r="I285" s="13"/>
      <c r="J285" s="13"/>
      <c r="K285" s="13"/>
      <c r="L285" s="13"/>
      <c r="M285" s="13"/>
      <c r="N285" s="13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75" customHeight="1">
      <c r="A286" s="37"/>
      <c r="B286" s="38">
        <f t="shared" si="11"/>
        <v>276</v>
      </c>
      <c r="C286" s="11">
        <f t="shared" si="12"/>
        <v>82857.142857143073</v>
      </c>
      <c r="D286" s="11">
        <f t="shared" si="7"/>
        <v>660.71449268059939</v>
      </c>
      <c r="E286" s="11">
        <f t="shared" si="8"/>
        <v>83517.857349823666</v>
      </c>
      <c r="F286" s="11">
        <f t="shared" si="13"/>
        <v>571.42857142857144</v>
      </c>
      <c r="G286" s="11">
        <f t="shared" si="9"/>
        <v>1232.1430641091708</v>
      </c>
      <c r="H286" s="11">
        <f t="shared" si="10"/>
        <v>82285.714285714494</v>
      </c>
      <c r="I286" s="13"/>
      <c r="J286" s="13"/>
      <c r="K286" s="13"/>
      <c r="L286" s="13"/>
      <c r="M286" s="13"/>
      <c r="N286" s="13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75" customHeight="1">
      <c r="A287" s="37"/>
      <c r="B287" s="38">
        <f t="shared" si="11"/>
        <v>277</v>
      </c>
      <c r="C287" s="11">
        <f t="shared" si="12"/>
        <v>82285.714285714494</v>
      </c>
      <c r="D287" s="11">
        <f t="shared" si="7"/>
        <v>656.15784100693998</v>
      </c>
      <c r="E287" s="11">
        <f t="shared" si="8"/>
        <v>82941.872126721428</v>
      </c>
      <c r="F287" s="11">
        <f t="shared" si="13"/>
        <v>571.42857142857144</v>
      </c>
      <c r="G287" s="11">
        <f t="shared" si="9"/>
        <v>1227.5864124355114</v>
      </c>
      <c r="H287" s="11">
        <f t="shared" si="10"/>
        <v>81714.285714285914</v>
      </c>
      <c r="I287" s="13"/>
      <c r="J287" s="13"/>
      <c r="K287" s="13"/>
      <c r="L287" s="13"/>
      <c r="M287" s="13"/>
      <c r="N287" s="13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75" customHeight="1">
      <c r="A288" s="37"/>
      <c r="B288" s="38">
        <f t="shared" si="11"/>
        <v>278</v>
      </c>
      <c r="C288" s="11">
        <f t="shared" si="12"/>
        <v>81714.285714285914</v>
      </c>
      <c r="D288" s="11">
        <f t="shared" si="7"/>
        <v>651.60118933328067</v>
      </c>
      <c r="E288" s="11">
        <f t="shared" si="8"/>
        <v>82365.88690361919</v>
      </c>
      <c r="F288" s="11">
        <f t="shared" si="13"/>
        <v>571.42857142857144</v>
      </c>
      <c r="G288" s="11">
        <f t="shared" si="9"/>
        <v>1223.0297607618522</v>
      </c>
      <c r="H288" s="11">
        <f t="shared" si="10"/>
        <v>81142.857142857334</v>
      </c>
      <c r="I288" s="13"/>
      <c r="J288" s="13"/>
      <c r="K288" s="13"/>
      <c r="L288" s="13"/>
      <c r="M288" s="13"/>
      <c r="N288" s="13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75" customHeight="1">
      <c r="A289" s="37"/>
      <c r="B289" s="38">
        <f t="shared" si="11"/>
        <v>279</v>
      </c>
      <c r="C289" s="11">
        <f t="shared" si="12"/>
        <v>81142.857142857334</v>
      </c>
      <c r="D289" s="11">
        <f t="shared" si="7"/>
        <v>647.04453765962126</v>
      </c>
      <c r="E289" s="11">
        <f t="shared" si="8"/>
        <v>81789.901680516952</v>
      </c>
      <c r="F289" s="11">
        <f t="shared" si="13"/>
        <v>571.42857142857144</v>
      </c>
      <c r="G289" s="11">
        <f t="shared" si="9"/>
        <v>1218.4731090881928</v>
      </c>
      <c r="H289" s="11">
        <f t="shared" si="10"/>
        <v>80571.428571428754</v>
      </c>
      <c r="I289" s="13"/>
      <c r="J289" s="13"/>
      <c r="K289" s="13"/>
      <c r="L289" s="13"/>
      <c r="M289" s="13"/>
      <c r="N289" s="13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75" customHeight="1">
      <c r="A290" s="37"/>
      <c r="B290" s="38">
        <f t="shared" si="11"/>
        <v>280</v>
      </c>
      <c r="C290" s="11">
        <f t="shared" si="12"/>
        <v>80571.428571428754</v>
      </c>
      <c r="D290" s="11">
        <f t="shared" si="7"/>
        <v>642.48788598596195</v>
      </c>
      <c r="E290" s="11">
        <f t="shared" si="8"/>
        <v>81213.916457414714</v>
      </c>
      <c r="F290" s="11">
        <f t="shared" si="13"/>
        <v>571.42857142857144</v>
      </c>
      <c r="G290" s="11">
        <f t="shared" si="9"/>
        <v>1213.9164574145334</v>
      </c>
      <c r="H290" s="11">
        <f t="shared" si="10"/>
        <v>80000.000000000175</v>
      </c>
      <c r="I290" s="13"/>
      <c r="J290" s="13"/>
      <c r="K290" s="13"/>
      <c r="L290" s="13"/>
      <c r="M290" s="13"/>
      <c r="N290" s="13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75" customHeight="1">
      <c r="A291" s="37"/>
      <c r="B291" s="38">
        <f t="shared" si="11"/>
        <v>281</v>
      </c>
      <c r="C291" s="11">
        <f t="shared" si="12"/>
        <v>80000.000000000175</v>
      </c>
      <c r="D291" s="11">
        <f t="shared" si="7"/>
        <v>637.93123431230254</v>
      </c>
      <c r="E291" s="11">
        <f t="shared" si="8"/>
        <v>80637.931234312477</v>
      </c>
      <c r="F291" s="11">
        <f t="shared" si="13"/>
        <v>571.42857142857144</v>
      </c>
      <c r="G291" s="11">
        <f t="shared" si="9"/>
        <v>1209.359805740874</v>
      </c>
      <c r="H291" s="11">
        <f t="shared" si="10"/>
        <v>79428.571428571609</v>
      </c>
      <c r="I291" s="13"/>
      <c r="J291" s="13"/>
      <c r="K291" s="13"/>
      <c r="L291" s="13"/>
      <c r="M291" s="13"/>
      <c r="N291" s="13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75" customHeight="1">
      <c r="A292" s="37"/>
      <c r="B292" s="38">
        <f t="shared" si="11"/>
        <v>282</v>
      </c>
      <c r="C292" s="11">
        <f t="shared" si="12"/>
        <v>79428.571428571609</v>
      </c>
      <c r="D292" s="11">
        <f t="shared" si="7"/>
        <v>633.37458263864335</v>
      </c>
      <c r="E292" s="11">
        <f t="shared" si="8"/>
        <v>80061.946011210253</v>
      </c>
      <c r="F292" s="11">
        <f t="shared" si="13"/>
        <v>571.42857142857144</v>
      </c>
      <c r="G292" s="11">
        <f t="shared" si="9"/>
        <v>1204.8031540672148</v>
      </c>
      <c r="H292" s="11">
        <f t="shared" si="10"/>
        <v>78857.142857143044</v>
      </c>
      <c r="I292" s="13"/>
      <c r="J292" s="13"/>
      <c r="K292" s="13"/>
      <c r="L292" s="13"/>
      <c r="M292" s="13"/>
      <c r="N292" s="13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75" customHeight="1">
      <c r="A293" s="37"/>
      <c r="B293" s="38">
        <f t="shared" si="11"/>
        <v>283</v>
      </c>
      <c r="C293" s="11">
        <f t="shared" si="12"/>
        <v>78857.142857143044</v>
      </c>
      <c r="D293" s="11">
        <f t="shared" si="7"/>
        <v>628.81793096498404</v>
      </c>
      <c r="E293" s="11">
        <f t="shared" si="8"/>
        <v>79485.96078810803</v>
      </c>
      <c r="F293" s="11">
        <f t="shared" si="13"/>
        <v>571.42857142857144</v>
      </c>
      <c r="G293" s="11">
        <f t="shared" si="9"/>
        <v>1200.2465023935556</v>
      </c>
      <c r="H293" s="11">
        <f t="shared" si="10"/>
        <v>78285.714285714479</v>
      </c>
      <c r="I293" s="13"/>
      <c r="J293" s="13"/>
      <c r="K293" s="13"/>
      <c r="L293" s="13"/>
      <c r="M293" s="13"/>
      <c r="N293" s="13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75" customHeight="1">
      <c r="A294" s="37"/>
      <c r="B294" s="38">
        <f t="shared" si="11"/>
        <v>284</v>
      </c>
      <c r="C294" s="11">
        <f t="shared" si="12"/>
        <v>78285.714285714479</v>
      </c>
      <c r="D294" s="11">
        <f t="shared" si="7"/>
        <v>624.26127929132485</v>
      </c>
      <c r="E294" s="11">
        <f t="shared" si="8"/>
        <v>78909.975565005807</v>
      </c>
      <c r="F294" s="11">
        <f t="shared" si="13"/>
        <v>571.42857142857144</v>
      </c>
      <c r="G294" s="11">
        <f t="shared" si="9"/>
        <v>1195.6898507198962</v>
      </c>
      <c r="H294" s="11">
        <f t="shared" si="10"/>
        <v>77714.285714285914</v>
      </c>
      <c r="I294" s="13"/>
      <c r="J294" s="13"/>
      <c r="K294" s="13"/>
      <c r="L294" s="13"/>
      <c r="M294" s="13"/>
      <c r="N294" s="13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75" customHeight="1">
      <c r="A295" s="37"/>
      <c r="B295" s="38">
        <f t="shared" si="11"/>
        <v>285</v>
      </c>
      <c r="C295" s="11">
        <f t="shared" si="12"/>
        <v>77714.285714285914</v>
      </c>
      <c r="D295" s="11">
        <f t="shared" si="7"/>
        <v>619.70462761766555</v>
      </c>
      <c r="E295" s="11">
        <f t="shared" si="8"/>
        <v>78333.990341903584</v>
      </c>
      <c r="F295" s="11">
        <f t="shared" si="13"/>
        <v>571.42857142857144</v>
      </c>
      <c r="G295" s="11">
        <f t="shared" si="9"/>
        <v>1191.133199046237</v>
      </c>
      <c r="H295" s="11">
        <f t="shared" si="10"/>
        <v>77142.857142857349</v>
      </c>
      <c r="I295" s="13"/>
      <c r="J295" s="13"/>
      <c r="K295" s="13"/>
      <c r="L295" s="13"/>
      <c r="M295" s="13"/>
      <c r="N295" s="13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75" customHeight="1">
      <c r="A296" s="37"/>
      <c r="B296" s="38">
        <f t="shared" si="11"/>
        <v>286</v>
      </c>
      <c r="C296" s="11">
        <f t="shared" si="12"/>
        <v>77142.857142857349</v>
      </c>
      <c r="D296" s="11">
        <f t="shared" si="7"/>
        <v>615.14797594400636</v>
      </c>
      <c r="E296" s="11">
        <f t="shared" si="8"/>
        <v>77758.00511880136</v>
      </c>
      <c r="F296" s="11">
        <f t="shared" si="13"/>
        <v>571.42857142857144</v>
      </c>
      <c r="G296" s="11">
        <f t="shared" si="9"/>
        <v>1186.5765473725778</v>
      </c>
      <c r="H296" s="11">
        <f t="shared" si="10"/>
        <v>76571.428571428783</v>
      </c>
      <c r="I296" s="13"/>
      <c r="J296" s="13"/>
      <c r="K296" s="13"/>
      <c r="L296" s="13"/>
      <c r="M296" s="13"/>
      <c r="N296" s="13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75" customHeight="1">
      <c r="A297" s="37"/>
      <c r="B297" s="38">
        <f t="shared" si="11"/>
        <v>287</v>
      </c>
      <c r="C297" s="11">
        <f t="shared" si="12"/>
        <v>76571.428571428783</v>
      </c>
      <c r="D297" s="11">
        <f t="shared" si="7"/>
        <v>610.59132427034706</v>
      </c>
      <c r="E297" s="11">
        <f t="shared" si="8"/>
        <v>77182.019895699137</v>
      </c>
      <c r="F297" s="11">
        <f t="shared" si="13"/>
        <v>571.42857142857144</v>
      </c>
      <c r="G297" s="11">
        <f t="shared" si="9"/>
        <v>1182.0198956989184</v>
      </c>
      <c r="H297" s="11">
        <f t="shared" si="10"/>
        <v>76000.000000000218</v>
      </c>
      <c r="I297" s="13"/>
      <c r="J297" s="13"/>
      <c r="K297" s="13"/>
      <c r="L297" s="13"/>
      <c r="M297" s="13"/>
      <c r="N297" s="13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75" customHeight="1">
      <c r="A298" s="37"/>
      <c r="B298" s="38">
        <f t="shared" si="11"/>
        <v>288</v>
      </c>
      <c r="C298" s="11">
        <f t="shared" si="12"/>
        <v>76000.000000000218</v>
      </c>
      <c r="D298" s="11">
        <f t="shared" si="7"/>
        <v>606.03467259668787</v>
      </c>
      <c r="E298" s="11">
        <f t="shared" si="8"/>
        <v>76606.034672596899</v>
      </c>
      <c r="F298" s="11">
        <f t="shared" si="13"/>
        <v>571.42857142857144</v>
      </c>
      <c r="G298" s="11">
        <f t="shared" si="9"/>
        <v>1177.4632440252594</v>
      </c>
      <c r="H298" s="11">
        <f t="shared" si="10"/>
        <v>75428.571428571639</v>
      </c>
      <c r="I298" s="13"/>
      <c r="J298" s="13"/>
      <c r="K298" s="13"/>
      <c r="L298" s="13"/>
      <c r="M298" s="13"/>
      <c r="N298" s="13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75" customHeight="1">
      <c r="A299" s="37"/>
      <c r="B299" s="38">
        <f t="shared" si="11"/>
        <v>289</v>
      </c>
      <c r="C299" s="11">
        <f t="shared" si="12"/>
        <v>75428.571428571639</v>
      </c>
      <c r="D299" s="11">
        <f t="shared" si="7"/>
        <v>601.47802092302845</v>
      </c>
      <c r="E299" s="11">
        <f t="shared" si="8"/>
        <v>76030.049449494662</v>
      </c>
      <c r="F299" s="11">
        <f t="shared" si="13"/>
        <v>571.42857142857144</v>
      </c>
      <c r="G299" s="11">
        <f t="shared" si="9"/>
        <v>1172.9065923516</v>
      </c>
      <c r="H299" s="11">
        <f t="shared" si="10"/>
        <v>74857.142857143059</v>
      </c>
      <c r="I299" s="13"/>
      <c r="J299" s="13"/>
      <c r="K299" s="13"/>
      <c r="L299" s="13"/>
      <c r="M299" s="13"/>
      <c r="N299" s="13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75" customHeight="1">
      <c r="A300" s="37"/>
      <c r="B300" s="38">
        <f t="shared" si="11"/>
        <v>290</v>
      </c>
      <c r="C300" s="11">
        <f t="shared" si="12"/>
        <v>74857.142857143059</v>
      </c>
      <c r="D300" s="11">
        <f t="shared" si="7"/>
        <v>596.92136924936915</v>
      </c>
      <c r="E300" s="11">
        <f t="shared" si="8"/>
        <v>75454.064226392424</v>
      </c>
      <c r="F300" s="11">
        <f t="shared" si="13"/>
        <v>571.42857142857144</v>
      </c>
      <c r="G300" s="11">
        <f t="shared" si="9"/>
        <v>1168.3499406779406</v>
      </c>
      <c r="H300" s="11">
        <f t="shared" si="10"/>
        <v>74285.714285714479</v>
      </c>
      <c r="I300" s="13"/>
      <c r="J300" s="13"/>
      <c r="K300" s="13"/>
      <c r="L300" s="13"/>
      <c r="M300" s="13"/>
      <c r="N300" s="13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75" customHeight="1">
      <c r="A301" s="37"/>
      <c r="B301" s="38">
        <f t="shared" si="11"/>
        <v>291</v>
      </c>
      <c r="C301" s="11">
        <f t="shared" si="12"/>
        <v>74285.714285714479</v>
      </c>
      <c r="D301" s="11">
        <f t="shared" si="7"/>
        <v>592.36471757570973</v>
      </c>
      <c r="E301" s="11">
        <f t="shared" si="8"/>
        <v>74878.079003290186</v>
      </c>
      <c r="F301" s="11">
        <f t="shared" si="13"/>
        <v>571.42857142857144</v>
      </c>
      <c r="G301" s="11">
        <f t="shared" si="9"/>
        <v>1163.7932890042812</v>
      </c>
      <c r="H301" s="11">
        <f t="shared" si="10"/>
        <v>73714.285714285899</v>
      </c>
      <c r="I301" s="13"/>
      <c r="J301" s="13"/>
      <c r="K301" s="13"/>
      <c r="L301" s="13"/>
      <c r="M301" s="13"/>
      <c r="N301" s="13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75" customHeight="1">
      <c r="A302" s="37"/>
      <c r="B302" s="38">
        <f t="shared" si="11"/>
        <v>292</v>
      </c>
      <c r="C302" s="11">
        <f t="shared" si="12"/>
        <v>73714.285714285899</v>
      </c>
      <c r="D302" s="11">
        <f t="shared" si="7"/>
        <v>587.80806590205043</v>
      </c>
      <c r="E302" s="11">
        <f t="shared" si="8"/>
        <v>74302.093780187948</v>
      </c>
      <c r="F302" s="11">
        <f t="shared" si="13"/>
        <v>571.42857142857144</v>
      </c>
      <c r="G302" s="11">
        <f t="shared" si="9"/>
        <v>1159.2366373306218</v>
      </c>
      <c r="H302" s="11">
        <f t="shared" si="10"/>
        <v>73142.85714285732</v>
      </c>
      <c r="I302" s="13"/>
      <c r="J302" s="13"/>
      <c r="K302" s="13"/>
      <c r="L302" s="13"/>
      <c r="M302" s="13"/>
      <c r="N302" s="13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75" customHeight="1">
      <c r="A303" s="37"/>
      <c r="B303" s="38">
        <f t="shared" si="11"/>
        <v>293</v>
      </c>
      <c r="C303" s="11">
        <f t="shared" si="12"/>
        <v>73142.85714285732</v>
      </c>
      <c r="D303" s="11">
        <f t="shared" si="7"/>
        <v>583.25141422839101</v>
      </c>
      <c r="E303" s="11">
        <f t="shared" si="8"/>
        <v>73726.10855708571</v>
      </c>
      <c r="F303" s="11">
        <f t="shared" si="13"/>
        <v>571.42857142857144</v>
      </c>
      <c r="G303" s="11">
        <f t="shared" si="9"/>
        <v>1154.6799856569623</v>
      </c>
      <c r="H303" s="11">
        <f t="shared" si="10"/>
        <v>72571.428571428754</v>
      </c>
      <c r="I303" s="13"/>
      <c r="J303" s="13"/>
      <c r="K303" s="13"/>
      <c r="L303" s="13"/>
      <c r="M303" s="13"/>
      <c r="N303" s="13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75" customHeight="1">
      <c r="A304" s="37"/>
      <c r="B304" s="38">
        <f t="shared" si="11"/>
        <v>294</v>
      </c>
      <c r="C304" s="11">
        <f t="shared" si="12"/>
        <v>72571.428571428754</v>
      </c>
      <c r="D304" s="11">
        <f t="shared" si="7"/>
        <v>578.69476255473182</v>
      </c>
      <c r="E304" s="11">
        <f t="shared" si="8"/>
        <v>73150.123333983487</v>
      </c>
      <c r="F304" s="11">
        <f t="shared" si="13"/>
        <v>571.42857142857144</v>
      </c>
      <c r="G304" s="11">
        <f t="shared" si="9"/>
        <v>1150.1233339833034</v>
      </c>
      <c r="H304" s="11">
        <f t="shared" si="10"/>
        <v>72000.000000000189</v>
      </c>
      <c r="I304" s="13"/>
      <c r="J304" s="13"/>
      <c r="K304" s="13"/>
      <c r="L304" s="13"/>
      <c r="M304" s="13"/>
      <c r="N304" s="13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75" customHeight="1">
      <c r="A305" s="37"/>
      <c r="B305" s="38">
        <f t="shared" si="11"/>
        <v>295</v>
      </c>
      <c r="C305" s="11">
        <f t="shared" si="12"/>
        <v>72000.000000000189</v>
      </c>
      <c r="D305" s="11">
        <f t="shared" si="7"/>
        <v>574.13811088107252</v>
      </c>
      <c r="E305" s="11">
        <f t="shared" si="8"/>
        <v>72574.138110881264</v>
      </c>
      <c r="F305" s="11">
        <f t="shared" si="13"/>
        <v>571.42857142857144</v>
      </c>
      <c r="G305" s="11">
        <f t="shared" si="9"/>
        <v>1145.566682309644</v>
      </c>
      <c r="H305" s="11">
        <f t="shared" si="10"/>
        <v>71428.571428571624</v>
      </c>
      <c r="I305" s="13"/>
      <c r="J305" s="13"/>
      <c r="K305" s="13"/>
      <c r="L305" s="13"/>
      <c r="M305" s="13"/>
      <c r="N305" s="13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75" customHeight="1">
      <c r="A306" s="37"/>
      <c r="B306" s="38">
        <f t="shared" si="11"/>
        <v>296</v>
      </c>
      <c r="C306" s="11">
        <f t="shared" si="12"/>
        <v>71428.571428571624</v>
      </c>
      <c r="D306" s="11">
        <f t="shared" si="7"/>
        <v>569.58145920741333</v>
      </c>
      <c r="E306" s="11">
        <f t="shared" si="8"/>
        <v>71998.152887779041</v>
      </c>
      <c r="F306" s="11">
        <f t="shared" si="13"/>
        <v>571.42857142857144</v>
      </c>
      <c r="G306" s="11">
        <f t="shared" si="9"/>
        <v>1141.0100306359848</v>
      </c>
      <c r="H306" s="11">
        <f t="shared" si="10"/>
        <v>70857.142857143059</v>
      </c>
      <c r="I306" s="13"/>
      <c r="J306" s="13"/>
      <c r="K306" s="13"/>
      <c r="L306" s="13"/>
      <c r="M306" s="13"/>
      <c r="N306" s="13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75" customHeight="1">
      <c r="A307" s="37"/>
      <c r="B307" s="38">
        <f t="shared" si="11"/>
        <v>297</v>
      </c>
      <c r="C307" s="11">
        <f t="shared" si="12"/>
        <v>70857.142857143059</v>
      </c>
      <c r="D307" s="11">
        <f t="shared" si="7"/>
        <v>565.02480753375403</v>
      </c>
      <c r="E307" s="11">
        <f t="shared" si="8"/>
        <v>71422.167664676817</v>
      </c>
      <c r="F307" s="11">
        <f t="shared" si="13"/>
        <v>571.42857142857144</v>
      </c>
      <c r="G307" s="11">
        <f t="shared" si="9"/>
        <v>1136.4533789623256</v>
      </c>
      <c r="H307" s="11">
        <f t="shared" si="10"/>
        <v>70285.714285714494</v>
      </c>
      <c r="I307" s="13"/>
      <c r="J307" s="13"/>
      <c r="K307" s="13"/>
      <c r="L307" s="13"/>
      <c r="M307" s="13"/>
      <c r="N307" s="13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75" customHeight="1">
      <c r="A308" s="37"/>
      <c r="B308" s="38">
        <f t="shared" si="11"/>
        <v>298</v>
      </c>
      <c r="C308" s="11">
        <f t="shared" si="12"/>
        <v>70285.714285714494</v>
      </c>
      <c r="D308" s="11">
        <f t="shared" si="7"/>
        <v>560.46815586009484</v>
      </c>
      <c r="E308" s="11">
        <f t="shared" si="8"/>
        <v>70846.182441574594</v>
      </c>
      <c r="F308" s="11">
        <f t="shared" si="13"/>
        <v>571.42857142857144</v>
      </c>
      <c r="G308" s="11">
        <f t="shared" si="9"/>
        <v>1131.8967272886662</v>
      </c>
      <c r="H308" s="11">
        <f t="shared" si="10"/>
        <v>69714.285714285928</v>
      </c>
      <c r="I308" s="13"/>
      <c r="J308" s="13"/>
      <c r="K308" s="13"/>
      <c r="L308" s="13"/>
      <c r="M308" s="13"/>
      <c r="N308" s="13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75" customHeight="1">
      <c r="A309" s="37"/>
      <c r="B309" s="38">
        <f t="shared" si="11"/>
        <v>299</v>
      </c>
      <c r="C309" s="11">
        <f t="shared" si="12"/>
        <v>69714.285714285928</v>
      </c>
      <c r="D309" s="11">
        <f t="shared" si="7"/>
        <v>555.91150418643554</v>
      </c>
      <c r="E309" s="11">
        <f t="shared" si="8"/>
        <v>70270.197218472371</v>
      </c>
      <c r="F309" s="11">
        <f t="shared" si="13"/>
        <v>571.42857142857144</v>
      </c>
      <c r="G309" s="11">
        <f t="shared" si="9"/>
        <v>1127.340075615007</v>
      </c>
      <c r="H309" s="11">
        <f t="shared" si="10"/>
        <v>69142.857142857363</v>
      </c>
      <c r="I309" s="13"/>
      <c r="J309" s="13"/>
      <c r="K309" s="13"/>
      <c r="L309" s="13"/>
      <c r="M309" s="13"/>
      <c r="N309" s="13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75" customHeight="1">
      <c r="A310" s="37"/>
      <c r="B310" s="38">
        <f t="shared" si="11"/>
        <v>300</v>
      </c>
      <c r="C310" s="11">
        <f t="shared" si="12"/>
        <v>69142.857142857363</v>
      </c>
      <c r="D310" s="11">
        <f t="shared" si="7"/>
        <v>551.35485251277635</v>
      </c>
      <c r="E310" s="11">
        <f t="shared" si="8"/>
        <v>69694.211995370133</v>
      </c>
      <c r="F310" s="11">
        <f t="shared" si="13"/>
        <v>571.42857142857144</v>
      </c>
      <c r="G310" s="11">
        <f t="shared" si="9"/>
        <v>1122.7834239413478</v>
      </c>
      <c r="H310" s="11">
        <f t="shared" si="10"/>
        <v>68571.428571428783</v>
      </c>
      <c r="I310" s="13"/>
      <c r="J310" s="13"/>
      <c r="K310" s="13"/>
      <c r="L310" s="13"/>
      <c r="M310" s="13"/>
      <c r="N310" s="13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75" customHeight="1">
      <c r="A311" s="37"/>
      <c r="B311" s="38">
        <f t="shared" si="11"/>
        <v>301</v>
      </c>
      <c r="C311" s="11">
        <f t="shared" si="12"/>
        <v>68571.428571428783</v>
      </c>
      <c r="D311" s="11">
        <f t="shared" si="7"/>
        <v>546.79820083911693</v>
      </c>
      <c r="E311" s="11">
        <f t="shared" si="8"/>
        <v>69118.226772267895</v>
      </c>
      <c r="F311" s="11">
        <f t="shared" si="13"/>
        <v>571.42857142857144</v>
      </c>
      <c r="G311" s="11">
        <f t="shared" si="9"/>
        <v>1118.2267722676884</v>
      </c>
      <c r="H311" s="11">
        <f t="shared" si="10"/>
        <v>68000.000000000204</v>
      </c>
      <c r="I311" s="13"/>
      <c r="J311" s="13"/>
      <c r="K311" s="13"/>
      <c r="L311" s="13"/>
      <c r="M311" s="13"/>
      <c r="N311" s="13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75" customHeight="1">
      <c r="A312" s="37"/>
      <c r="B312" s="38">
        <f t="shared" si="11"/>
        <v>302</v>
      </c>
      <c r="C312" s="11">
        <f t="shared" si="12"/>
        <v>68000.000000000204</v>
      </c>
      <c r="D312" s="11">
        <f t="shared" si="7"/>
        <v>542.24154916545763</v>
      </c>
      <c r="E312" s="11">
        <f t="shared" si="8"/>
        <v>68542.241549165657</v>
      </c>
      <c r="F312" s="11">
        <f t="shared" si="13"/>
        <v>571.42857142857144</v>
      </c>
      <c r="G312" s="11">
        <f t="shared" si="9"/>
        <v>1113.670120594029</v>
      </c>
      <c r="H312" s="11">
        <f t="shared" si="10"/>
        <v>67428.571428571624</v>
      </c>
      <c r="I312" s="13"/>
      <c r="J312" s="13"/>
      <c r="K312" s="13"/>
      <c r="L312" s="13"/>
      <c r="M312" s="13"/>
      <c r="N312" s="13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75" customHeight="1">
      <c r="A313" s="37"/>
      <c r="B313" s="38">
        <f t="shared" si="11"/>
        <v>303</v>
      </c>
      <c r="C313" s="11">
        <f t="shared" si="12"/>
        <v>67428.571428571624</v>
      </c>
      <c r="D313" s="11">
        <f t="shared" si="7"/>
        <v>537.68489749179821</v>
      </c>
      <c r="E313" s="11">
        <f t="shared" si="8"/>
        <v>67966.25632606342</v>
      </c>
      <c r="F313" s="11">
        <f t="shared" si="13"/>
        <v>571.42857142857144</v>
      </c>
      <c r="G313" s="11">
        <f t="shared" si="9"/>
        <v>1109.1134689203695</v>
      </c>
      <c r="H313" s="11">
        <f t="shared" si="10"/>
        <v>66857.142857143044</v>
      </c>
      <c r="I313" s="13"/>
      <c r="J313" s="13"/>
      <c r="K313" s="13"/>
      <c r="L313" s="13"/>
      <c r="M313" s="13"/>
      <c r="N313" s="13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75" customHeight="1">
      <c r="A314" s="37"/>
      <c r="B314" s="38">
        <f t="shared" si="11"/>
        <v>304</v>
      </c>
      <c r="C314" s="11">
        <f t="shared" si="12"/>
        <v>66857.142857143044</v>
      </c>
      <c r="D314" s="11">
        <f t="shared" si="7"/>
        <v>533.12824581813891</v>
      </c>
      <c r="E314" s="11">
        <f t="shared" si="8"/>
        <v>67390.271102961182</v>
      </c>
      <c r="F314" s="11">
        <f t="shared" si="13"/>
        <v>571.42857142857144</v>
      </c>
      <c r="G314" s="11">
        <f t="shared" si="9"/>
        <v>1104.5568172467104</v>
      </c>
      <c r="H314" s="11">
        <f t="shared" si="10"/>
        <v>66285.714285714464</v>
      </c>
      <c r="I314" s="13"/>
      <c r="J314" s="13"/>
      <c r="K314" s="13"/>
      <c r="L314" s="13"/>
      <c r="M314" s="13"/>
      <c r="N314" s="13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75" customHeight="1">
      <c r="A315" s="37"/>
      <c r="B315" s="38">
        <f t="shared" si="11"/>
        <v>305</v>
      </c>
      <c r="C315" s="11">
        <f t="shared" si="12"/>
        <v>66285.714285714464</v>
      </c>
      <c r="D315" s="11">
        <f t="shared" si="7"/>
        <v>528.57159414447949</v>
      </c>
      <c r="E315" s="11">
        <f t="shared" si="8"/>
        <v>66814.285879858944</v>
      </c>
      <c r="F315" s="11">
        <f t="shared" si="13"/>
        <v>571.42857142857144</v>
      </c>
      <c r="G315" s="11">
        <f t="shared" si="9"/>
        <v>1100.0001655730509</v>
      </c>
      <c r="H315" s="11">
        <f t="shared" si="10"/>
        <v>65714.285714285899</v>
      </c>
      <c r="I315" s="13"/>
      <c r="J315" s="13"/>
      <c r="K315" s="13"/>
      <c r="L315" s="13"/>
      <c r="M315" s="13"/>
      <c r="N315" s="13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75" customHeight="1">
      <c r="A316" s="37"/>
      <c r="B316" s="38">
        <f t="shared" si="11"/>
        <v>306</v>
      </c>
      <c r="C316" s="11">
        <f t="shared" si="12"/>
        <v>65714.285714285899</v>
      </c>
      <c r="D316" s="11">
        <f t="shared" si="7"/>
        <v>524.0149424708203</v>
      </c>
      <c r="E316" s="11">
        <f t="shared" si="8"/>
        <v>66238.300656756721</v>
      </c>
      <c r="F316" s="11">
        <f t="shared" si="13"/>
        <v>571.42857142857144</v>
      </c>
      <c r="G316" s="11">
        <f t="shared" si="9"/>
        <v>1095.4435138993917</v>
      </c>
      <c r="H316" s="11">
        <f t="shared" si="10"/>
        <v>65142.857142857327</v>
      </c>
      <c r="I316" s="13"/>
      <c r="J316" s="13"/>
      <c r="K316" s="13"/>
      <c r="L316" s="13"/>
      <c r="M316" s="13"/>
      <c r="N316" s="13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75" customHeight="1">
      <c r="A317" s="37"/>
      <c r="B317" s="38">
        <f t="shared" si="11"/>
        <v>307</v>
      </c>
      <c r="C317" s="11">
        <f t="shared" si="12"/>
        <v>65142.857142857327</v>
      </c>
      <c r="D317" s="11">
        <f t="shared" si="7"/>
        <v>519.458290797161</v>
      </c>
      <c r="E317" s="11">
        <f t="shared" si="8"/>
        <v>65662.315433654483</v>
      </c>
      <c r="F317" s="11">
        <f t="shared" si="13"/>
        <v>571.42857142857144</v>
      </c>
      <c r="G317" s="11">
        <f t="shared" si="9"/>
        <v>1090.8868622257323</v>
      </c>
      <c r="H317" s="11">
        <f t="shared" si="10"/>
        <v>64571.428571428754</v>
      </c>
      <c r="I317" s="13"/>
      <c r="J317" s="13"/>
      <c r="K317" s="13"/>
      <c r="L317" s="13"/>
      <c r="M317" s="13"/>
      <c r="N317" s="13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75" customHeight="1">
      <c r="A318" s="37"/>
      <c r="B318" s="38">
        <f t="shared" si="11"/>
        <v>308</v>
      </c>
      <c r="C318" s="11">
        <f t="shared" si="12"/>
        <v>64571.428571428754</v>
      </c>
      <c r="D318" s="11">
        <f t="shared" si="7"/>
        <v>514.9016391235017</v>
      </c>
      <c r="E318" s="11">
        <f t="shared" si="8"/>
        <v>65086.330210552253</v>
      </c>
      <c r="F318" s="11">
        <f t="shared" si="13"/>
        <v>571.42857142857144</v>
      </c>
      <c r="G318" s="11">
        <f t="shared" si="9"/>
        <v>1086.3302105520731</v>
      </c>
      <c r="H318" s="11">
        <f t="shared" si="10"/>
        <v>64000.000000000182</v>
      </c>
      <c r="I318" s="13"/>
      <c r="J318" s="13"/>
      <c r="K318" s="13"/>
      <c r="L318" s="13"/>
      <c r="M318" s="13"/>
      <c r="N318" s="13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75" customHeight="1">
      <c r="A319" s="37"/>
      <c r="B319" s="38">
        <f t="shared" si="11"/>
        <v>309</v>
      </c>
      <c r="C319" s="11">
        <f t="shared" si="12"/>
        <v>64000.000000000182</v>
      </c>
      <c r="D319" s="11">
        <f t="shared" si="7"/>
        <v>510.34498744984239</v>
      </c>
      <c r="E319" s="11">
        <f t="shared" si="8"/>
        <v>64510.344987450022</v>
      </c>
      <c r="F319" s="11">
        <f t="shared" si="13"/>
        <v>571.42857142857144</v>
      </c>
      <c r="G319" s="11">
        <f t="shared" si="9"/>
        <v>1081.773558878414</v>
      </c>
      <c r="H319" s="11">
        <f t="shared" si="10"/>
        <v>63428.571428571609</v>
      </c>
      <c r="I319" s="13"/>
      <c r="J319" s="13"/>
      <c r="K319" s="13"/>
      <c r="L319" s="13"/>
      <c r="M319" s="13"/>
      <c r="N319" s="13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75" customHeight="1">
      <c r="A320" s="37"/>
      <c r="B320" s="38">
        <f t="shared" si="11"/>
        <v>310</v>
      </c>
      <c r="C320" s="11">
        <f t="shared" si="12"/>
        <v>63428.571428571609</v>
      </c>
      <c r="D320" s="11">
        <f t="shared" si="7"/>
        <v>505.78833577618309</v>
      </c>
      <c r="E320" s="11">
        <f t="shared" si="8"/>
        <v>63934.359764347791</v>
      </c>
      <c r="F320" s="11">
        <f t="shared" si="13"/>
        <v>571.42857142857144</v>
      </c>
      <c r="G320" s="11">
        <f t="shared" si="9"/>
        <v>1077.2169072047545</v>
      </c>
      <c r="H320" s="11">
        <f t="shared" si="10"/>
        <v>62857.142857143037</v>
      </c>
      <c r="I320" s="13"/>
      <c r="J320" s="13"/>
      <c r="K320" s="13"/>
      <c r="L320" s="13"/>
      <c r="M320" s="13"/>
      <c r="N320" s="13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75" customHeight="1">
      <c r="A321" s="37"/>
      <c r="B321" s="38">
        <f t="shared" si="11"/>
        <v>311</v>
      </c>
      <c r="C321" s="11">
        <f t="shared" si="12"/>
        <v>62857.142857143037</v>
      </c>
      <c r="D321" s="11">
        <f t="shared" si="7"/>
        <v>501.23168410252379</v>
      </c>
      <c r="E321" s="11">
        <f t="shared" si="8"/>
        <v>63358.374541245561</v>
      </c>
      <c r="F321" s="11">
        <f t="shared" si="13"/>
        <v>571.42857142857144</v>
      </c>
      <c r="G321" s="11">
        <f t="shared" si="9"/>
        <v>1072.6602555310951</v>
      </c>
      <c r="H321" s="11">
        <f t="shared" si="10"/>
        <v>62285.714285714464</v>
      </c>
      <c r="I321" s="13"/>
      <c r="J321" s="13"/>
      <c r="K321" s="13"/>
      <c r="L321" s="13"/>
      <c r="M321" s="13"/>
      <c r="N321" s="13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75" customHeight="1">
      <c r="A322" s="37"/>
      <c r="B322" s="38">
        <f t="shared" si="11"/>
        <v>312</v>
      </c>
      <c r="C322" s="11">
        <f t="shared" si="12"/>
        <v>62285.714285714464</v>
      </c>
      <c r="D322" s="11">
        <f t="shared" si="7"/>
        <v>496.67503242886448</v>
      </c>
      <c r="E322" s="11">
        <f t="shared" si="8"/>
        <v>62782.38931814333</v>
      </c>
      <c r="F322" s="11">
        <f t="shared" si="13"/>
        <v>571.42857142857144</v>
      </c>
      <c r="G322" s="11">
        <f t="shared" si="9"/>
        <v>1068.1036038574359</v>
      </c>
      <c r="H322" s="11">
        <f t="shared" si="10"/>
        <v>61714.285714285892</v>
      </c>
      <c r="I322" s="13"/>
      <c r="J322" s="13"/>
      <c r="K322" s="13"/>
      <c r="L322" s="13"/>
      <c r="M322" s="13"/>
      <c r="N322" s="13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75" customHeight="1">
      <c r="A323" s="37"/>
      <c r="B323" s="38">
        <f t="shared" si="11"/>
        <v>313</v>
      </c>
      <c r="C323" s="11">
        <f t="shared" si="12"/>
        <v>61714.285714285892</v>
      </c>
      <c r="D323" s="11">
        <f t="shared" si="7"/>
        <v>492.11838075520518</v>
      </c>
      <c r="E323" s="11">
        <f t="shared" si="8"/>
        <v>62206.4040950411</v>
      </c>
      <c r="F323" s="11">
        <f t="shared" si="13"/>
        <v>571.42857142857144</v>
      </c>
      <c r="G323" s="11">
        <f t="shared" si="9"/>
        <v>1063.5469521837767</v>
      </c>
      <c r="H323" s="11">
        <f t="shared" si="10"/>
        <v>61142.85714285732</v>
      </c>
      <c r="I323" s="13"/>
      <c r="J323" s="13"/>
      <c r="K323" s="13"/>
      <c r="L323" s="13"/>
      <c r="M323" s="13"/>
      <c r="N323" s="13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75" customHeight="1">
      <c r="A324" s="37"/>
      <c r="B324" s="38">
        <f t="shared" si="11"/>
        <v>314</v>
      </c>
      <c r="C324" s="11">
        <f t="shared" si="12"/>
        <v>61142.85714285732</v>
      </c>
      <c r="D324" s="11">
        <f t="shared" si="7"/>
        <v>487.56172908154588</v>
      </c>
      <c r="E324" s="11">
        <f t="shared" si="8"/>
        <v>61630.418871938862</v>
      </c>
      <c r="F324" s="11">
        <f t="shared" si="13"/>
        <v>571.42857142857144</v>
      </c>
      <c r="G324" s="11">
        <f t="shared" si="9"/>
        <v>1058.9903005101173</v>
      </c>
      <c r="H324" s="11">
        <f t="shared" si="10"/>
        <v>60571.428571428747</v>
      </c>
      <c r="I324" s="13"/>
      <c r="J324" s="13"/>
      <c r="K324" s="13"/>
      <c r="L324" s="13"/>
      <c r="M324" s="13"/>
      <c r="N324" s="13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75" customHeight="1">
      <c r="A325" s="37"/>
      <c r="B325" s="38">
        <f t="shared" si="11"/>
        <v>315</v>
      </c>
      <c r="C325" s="11">
        <f t="shared" si="12"/>
        <v>60571.428571428747</v>
      </c>
      <c r="D325" s="11">
        <f t="shared" si="7"/>
        <v>483.00507740788657</v>
      </c>
      <c r="E325" s="11">
        <f t="shared" si="8"/>
        <v>61054.433648836632</v>
      </c>
      <c r="F325" s="11">
        <f t="shared" si="13"/>
        <v>571.42857142857144</v>
      </c>
      <c r="G325" s="11">
        <f t="shared" si="9"/>
        <v>1054.4336488364579</v>
      </c>
      <c r="H325" s="11">
        <f t="shared" si="10"/>
        <v>60000.000000000175</v>
      </c>
      <c r="I325" s="13"/>
      <c r="J325" s="13"/>
      <c r="K325" s="13"/>
      <c r="L325" s="13"/>
      <c r="M325" s="13"/>
      <c r="N325" s="13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75" customHeight="1">
      <c r="A326" s="37"/>
      <c r="B326" s="38">
        <f t="shared" si="11"/>
        <v>316</v>
      </c>
      <c r="C326" s="11">
        <f t="shared" si="12"/>
        <v>60000.000000000175</v>
      </c>
      <c r="D326" s="11">
        <f t="shared" si="7"/>
        <v>478.44842573422727</v>
      </c>
      <c r="E326" s="11">
        <f t="shared" si="8"/>
        <v>60478.448425734401</v>
      </c>
      <c r="F326" s="11">
        <f t="shared" si="13"/>
        <v>571.42857142857144</v>
      </c>
      <c r="G326" s="11">
        <f t="shared" si="9"/>
        <v>1049.8769971627987</v>
      </c>
      <c r="H326" s="11">
        <f t="shared" si="10"/>
        <v>59428.571428571602</v>
      </c>
      <c r="I326" s="13"/>
      <c r="J326" s="13"/>
      <c r="K326" s="13"/>
      <c r="L326" s="13"/>
      <c r="M326" s="13"/>
      <c r="N326" s="13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75" customHeight="1">
      <c r="A327" s="37"/>
      <c r="B327" s="38">
        <f t="shared" si="11"/>
        <v>317</v>
      </c>
      <c r="C327" s="11">
        <f t="shared" si="12"/>
        <v>59428.571428571602</v>
      </c>
      <c r="D327" s="11">
        <f t="shared" si="7"/>
        <v>473.89177406056797</v>
      </c>
      <c r="E327" s="11">
        <f t="shared" si="8"/>
        <v>59902.463202632171</v>
      </c>
      <c r="F327" s="11">
        <f t="shared" si="13"/>
        <v>571.42857142857144</v>
      </c>
      <c r="G327" s="11">
        <f t="shared" si="9"/>
        <v>1045.3203454891395</v>
      </c>
      <c r="H327" s="11">
        <f t="shared" si="10"/>
        <v>58857.14285714303</v>
      </c>
      <c r="I327" s="13"/>
      <c r="J327" s="13"/>
      <c r="K327" s="13"/>
      <c r="L327" s="13"/>
      <c r="M327" s="13"/>
      <c r="N327" s="13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75" customHeight="1">
      <c r="A328" s="37"/>
      <c r="B328" s="38">
        <f t="shared" si="11"/>
        <v>318</v>
      </c>
      <c r="C328" s="11">
        <f t="shared" si="12"/>
        <v>58857.14285714303</v>
      </c>
      <c r="D328" s="11">
        <f t="shared" si="7"/>
        <v>469.33512238690867</v>
      </c>
      <c r="E328" s="11">
        <f t="shared" si="8"/>
        <v>59326.47797952994</v>
      </c>
      <c r="F328" s="11">
        <f t="shared" si="13"/>
        <v>571.42857142857144</v>
      </c>
      <c r="G328" s="11">
        <f t="shared" si="9"/>
        <v>1040.7636938154801</v>
      </c>
      <c r="H328" s="11">
        <f t="shared" si="10"/>
        <v>58285.714285714457</v>
      </c>
      <c r="I328" s="13"/>
      <c r="J328" s="13"/>
      <c r="K328" s="13"/>
      <c r="L328" s="13"/>
      <c r="M328" s="13"/>
      <c r="N328" s="13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75" customHeight="1">
      <c r="A329" s="37"/>
      <c r="B329" s="38">
        <f t="shared" si="11"/>
        <v>319</v>
      </c>
      <c r="C329" s="11">
        <f t="shared" si="12"/>
        <v>58285.714285714457</v>
      </c>
      <c r="D329" s="11">
        <f t="shared" si="7"/>
        <v>464.77847071324936</v>
      </c>
      <c r="E329" s="11">
        <f t="shared" si="8"/>
        <v>58750.49275642771</v>
      </c>
      <c r="F329" s="11">
        <f t="shared" si="13"/>
        <v>571.42857142857144</v>
      </c>
      <c r="G329" s="11">
        <f t="shared" si="9"/>
        <v>1036.2070421418207</v>
      </c>
      <c r="H329" s="11">
        <f t="shared" si="10"/>
        <v>57714.285714285892</v>
      </c>
      <c r="I329" s="13"/>
      <c r="J329" s="13"/>
      <c r="K329" s="13"/>
      <c r="L329" s="13"/>
      <c r="M329" s="13"/>
      <c r="N329" s="13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75" customHeight="1">
      <c r="A330" s="37"/>
      <c r="B330" s="38">
        <f t="shared" si="11"/>
        <v>320</v>
      </c>
      <c r="C330" s="11">
        <f t="shared" si="12"/>
        <v>57714.285714285892</v>
      </c>
      <c r="D330" s="11">
        <f t="shared" si="7"/>
        <v>460.22181903959012</v>
      </c>
      <c r="E330" s="11">
        <f t="shared" si="8"/>
        <v>58174.507533325479</v>
      </c>
      <c r="F330" s="11">
        <f t="shared" si="13"/>
        <v>571.42857142857144</v>
      </c>
      <c r="G330" s="11">
        <f t="shared" si="9"/>
        <v>1031.6503904681615</v>
      </c>
      <c r="H330" s="11">
        <f t="shared" si="10"/>
        <v>57142.85714285732</v>
      </c>
      <c r="I330" s="13"/>
      <c r="J330" s="13"/>
      <c r="K330" s="13"/>
      <c r="L330" s="13"/>
      <c r="M330" s="13"/>
      <c r="N330" s="13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75" customHeight="1">
      <c r="A331" s="37"/>
      <c r="B331" s="38">
        <f t="shared" si="11"/>
        <v>321</v>
      </c>
      <c r="C331" s="11">
        <f t="shared" si="12"/>
        <v>57142.85714285732</v>
      </c>
      <c r="D331" s="11">
        <f t="shared" si="7"/>
        <v>455.66516736593081</v>
      </c>
      <c r="E331" s="11">
        <f t="shared" si="8"/>
        <v>57598.522310223248</v>
      </c>
      <c r="F331" s="11">
        <f t="shared" si="13"/>
        <v>571.42857142857144</v>
      </c>
      <c r="G331" s="11">
        <f t="shared" si="9"/>
        <v>1027.0937387945023</v>
      </c>
      <c r="H331" s="11">
        <f t="shared" si="10"/>
        <v>56571.428571428747</v>
      </c>
      <c r="I331" s="13"/>
      <c r="J331" s="13"/>
      <c r="K331" s="13"/>
      <c r="L331" s="13"/>
      <c r="M331" s="13"/>
      <c r="N331" s="13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75" customHeight="1">
      <c r="A332" s="37"/>
      <c r="B332" s="38">
        <f t="shared" si="11"/>
        <v>322</v>
      </c>
      <c r="C332" s="11">
        <f t="shared" si="12"/>
        <v>56571.428571428747</v>
      </c>
      <c r="D332" s="11">
        <f t="shared" si="7"/>
        <v>451.10851569227151</v>
      </c>
      <c r="E332" s="11">
        <f t="shared" si="8"/>
        <v>57022.537087121018</v>
      </c>
      <c r="F332" s="11">
        <f t="shared" si="13"/>
        <v>571.42857142857144</v>
      </c>
      <c r="G332" s="11">
        <f t="shared" si="9"/>
        <v>1022.5370871208429</v>
      </c>
      <c r="H332" s="11">
        <f t="shared" si="10"/>
        <v>56000.000000000175</v>
      </c>
      <c r="I332" s="13"/>
      <c r="J332" s="13"/>
      <c r="K332" s="13"/>
      <c r="L332" s="13"/>
      <c r="M332" s="13"/>
      <c r="N332" s="13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75" customHeight="1">
      <c r="A333" s="37"/>
      <c r="B333" s="38">
        <f t="shared" si="11"/>
        <v>323</v>
      </c>
      <c r="C333" s="11">
        <f t="shared" si="12"/>
        <v>56000.000000000175</v>
      </c>
      <c r="D333" s="11">
        <f t="shared" si="7"/>
        <v>446.55186401861221</v>
      </c>
      <c r="E333" s="11">
        <f t="shared" si="8"/>
        <v>56446.551864018787</v>
      </c>
      <c r="F333" s="11">
        <f t="shared" si="13"/>
        <v>571.42857142857144</v>
      </c>
      <c r="G333" s="11">
        <f t="shared" si="9"/>
        <v>1017.9804354471837</v>
      </c>
      <c r="H333" s="11">
        <f t="shared" si="10"/>
        <v>55428.571428571602</v>
      </c>
      <c r="I333" s="13"/>
      <c r="J333" s="13"/>
      <c r="K333" s="13"/>
      <c r="L333" s="13"/>
      <c r="M333" s="13"/>
      <c r="N333" s="13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75" customHeight="1">
      <c r="A334" s="37"/>
      <c r="B334" s="38">
        <f t="shared" si="11"/>
        <v>324</v>
      </c>
      <c r="C334" s="11">
        <f t="shared" si="12"/>
        <v>55428.571428571602</v>
      </c>
      <c r="D334" s="11">
        <f t="shared" si="7"/>
        <v>441.9952123449529</v>
      </c>
      <c r="E334" s="11">
        <f t="shared" si="8"/>
        <v>55870.566640916557</v>
      </c>
      <c r="F334" s="11">
        <f t="shared" si="13"/>
        <v>571.42857142857144</v>
      </c>
      <c r="G334" s="11">
        <f t="shared" si="9"/>
        <v>1013.4237837735243</v>
      </c>
      <c r="H334" s="11">
        <f t="shared" si="10"/>
        <v>54857.14285714303</v>
      </c>
      <c r="I334" s="13"/>
      <c r="J334" s="13"/>
      <c r="K334" s="13"/>
      <c r="L334" s="13"/>
      <c r="M334" s="13"/>
      <c r="N334" s="13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75" customHeight="1">
      <c r="A335" s="37"/>
      <c r="B335" s="38">
        <f t="shared" si="11"/>
        <v>325</v>
      </c>
      <c r="C335" s="11">
        <f t="shared" si="12"/>
        <v>54857.14285714303</v>
      </c>
      <c r="D335" s="11">
        <f t="shared" si="7"/>
        <v>437.4385606712936</v>
      </c>
      <c r="E335" s="11">
        <f t="shared" si="8"/>
        <v>55294.581417814326</v>
      </c>
      <c r="F335" s="11">
        <f t="shared" si="13"/>
        <v>571.42857142857144</v>
      </c>
      <c r="G335" s="11">
        <f t="shared" si="9"/>
        <v>1008.8671320998651</v>
      </c>
      <c r="H335" s="11">
        <f t="shared" si="10"/>
        <v>54285.714285714464</v>
      </c>
      <c r="I335" s="13"/>
      <c r="J335" s="13"/>
      <c r="K335" s="13"/>
      <c r="L335" s="13"/>
      <c r="M335" s="13"/>
      <c r="N335" s="13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75" customHeight="1">
      <c r="A336" s="37"/>
      <c r="B336" s="38">
        <f t="shared" si="11"/>
        <v>326</v>
      </c>
      <c r="C336" s="11">
        <f t="shared" si="12"/>
        <v>54285.714285714464</v>
      </c>
      <c r="D336" s="11">
        <f t="shared" si="7"/>
        <v>432.88190899763435</v>
      </c>
      <c r="E336" s="11">
        <f t="shared" si="8"/>
        <v>54718.596194712096</v>
      </c>
      <c r="F336" s="11">
        <f t="shared" si="13"/>
        <v>571.42857142857144</v>
      </c>
      <c r="G336" s="11">
        <f t="shared" si="9"/>
        <v>1004.3104804262058</v>
      </c>
      <c r="H336" s="11">
        <f t="shared" si="10"/>
        <v>53714.285714285892</v>
      </c>
      <c r="I336" s="13"/>
      <c r="J336" s="13"/>
      <c r="K336" s="13"/>
      <c r="L336" s="13"/>
      <c r="M336" s="13"/>
      <c r="N336" s="13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75" customHeight="1">
      <c r="A337" s="37"/>
      <c r="B337" s="38">
        <f t="shared" si="11"/>
        <v>327</v>
      </c>
      <c r="C337" s="11">
        <f t="shared" si="12"/>
        <v>53714.285714285892</v>
      </c>
      <c r="D337" s="11">
        <f t="shared" si="7"/>
        <v>428.32525732397505</v>
      </c>
      <c r="E337" s="11">
        <f t="shared" si="8"/>
        <v>54142.610971609865</v>
      </c>
      <c r="F337" s="11">
        <f t="shared" si="13"/>
        <v>571.42857142857144</v>
      </c>
      <c r="G337" s="11">
        <f t="shared" si="9"/>
        <v>999.7538287525465</v>
      </c>
      <c r="H337" s="11">
        <f t="shared" si="10"/>
        <v>53142.85714285732</v>
      </c>
      <c r="I337" s="13"/>
      <c r="J337" s="13"/>
      <c r="K337" s="13"/>
      <c r="L337" s="13"/>
      <c r="M337" s="13"/>
      <c r="N337" s="13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75" customHeight="1">
      <c r="A338" s="37"/>
      <c r="B338" s="38">
        <f t="shared" si="11"/>
        <v>328</v>
      </c>
      <c r="C338" s="11">
        <f t="shared" si="12"/>
        <v>53142.85714285732</v>
      </c>
      <c r="D338" s="11">
        <f t="shared" si="7"/>
        <v>423.76860565031575</v>
      </c>
      <c r="E338" s="11">
        <f t="shared" si="8"/>
        <v>53566.625748507635</v>
      </c>
      <c r="F338" s="11">
        <f t="shared" si="13"/>
        <v>571.42857142857144</v>
      </c>
      <c r="G338" s="11">
        <f t="shared" si="9"/>
        <v>995.19717707888719</v>
      </c>
      <c r="H338" s="11">
        <f t="shared" si="10"/>
        <v>52571.428571428747</v>
      </c>
      <c r="I338" s="13"/>
      <c r="J338" s="13"/>
      <c r="K338" s="13"/>
      <c r="L338" s="13"/>
      <c r="M338" s="13"/>
      <c r="N338" s="13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75" customHeight="1">
      <c r="A339" s="37"/>
      <c r="B339" s="38">
        <f t="shared" si="11"/>
        <v>329</v>
      </c>
      <c r="C339" s="11">
        <f t="shared" si="12"/>
        <v>52571.428571428747</v>
      </c>
      <c r="D339" s="11">
        <f t="shared" si="7"/>
        <v>419.21195397665645</v>
      </c>
      <c r="E339" s="11">
        <f t="shared" si="8"/>
        <v>52990.640525405404</v>
      </c>
      <c r="F339" s="11">
        <f t="shared" si="13"/>
        <v>571.42857142857144</v>
      </c>
      <c r="G339" s="11">
        <f t="shared" si="9"/>
        <v>990.64052540522789</v>
      </c>
      <c r="H339" s="11">
        <f t="shared" si="10"/>
        <v>52000.000000000175</v>
      </c>
      <c r="I339" s="13"/>
      <c r="J339" s="13"/>
      <c r="K339" s="13"/>
      <c r="L339" s="13"/>
      <c r="M339" s="13"/>
      <c r="N339" s="13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75" customHeight="1">
      <c r="A340" s="37"/>
      <c r="B340" s="38">
        <f t="shared" si="11"/>
        <v>330</v>
      </c>
      <c r="C340" s="11">
        <f t="shared" si="12"/>
        <v>52000.000000000175</v>
      </c>
      <c r="D340" s="11">
        <f t="shared" si="7"/>
        <v>414.65530230299714</v>
      </c>
      <c r="E340" s="11">
        <f t="shared" si="8"/>
        <v>52414.655302303174</v>
      </c>
      <c r="F340" s="11">
        <f t="shared" si="13"/>
        <v>571.42857142857144</v>
      </c>
      <c r="G340" s="11">
        <f t="shared" si="9"/>
        <v>986.08387373156859</v>
      </c>
      <c r="H340" s="11">
        <f t="shared" si="10"/>
        <v>51428.571428571602</v>
      </c>
      <c r="I340" s="13"/>
      <c r="J340" s="13"/>
      <c r="K340" s="13"/>
      <c r="L340" s="13"/>
      <c r="M340" s="13"/>
      <c r="N340" s="13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75" customHeight="1">
      <c r="A341" s="37"/>
      <c r="B341" s="38">
        <f t="shared" si="11"/>
        <v>331</v>
      </c>
      <c r="C341" s="11">
        <f t="shared" si="12"/>
        <v>51428.571428571602</v>
      </c>
      <c r="D341" s="11">
        <f t="shared" si="7"/>
        <v>410.09865062933784</v>
      </c>
      <c r="E341" s="11">
        <f t="shared" si="8"/>
        <v>51838.670079200943</v>
      </c>
      <c r="F341" s="11">
        <f t="shared" si="13"/>
        <v>571.42857142857144</v>
      </c>
      <c r="G341" s="11">
        <f t="shared" si="9"/>
        <v>981.52722205790928</v>
      </c>
      <c r="H341" s="11">
        <f t="shared" si="10"/>
        <v>50857.142857143037</v>
      </c>
      <c r="I341" s="13"/>
      <c r="J341" s="13"/>
      <c r="K341" s="13"/>
      <c r="L341" s="13"/>
      <c r="M341" s="13"/>
      <c r="N341" s="13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75" customHeight="1">
      <c r="A342" s="37"/>
      <c r="B342" s="38">
        <f t="shared" si="11"/>
        <v>332</v>
      </c>
      <c r="C342" s="11">
        <f t="shared" si="12"/>
        <v>50857.142857143037</v>
      </c>
      <c r="D342" s="11">
        <f t="shared" si="7"/>
        <v>405.54199895567859</v>
      </c>
      <c r="E342" s="11">
        <f t="shared" si="8"/>
        <v>51262.684856098713</v>
      </c>
      <c r="F342" s="11">
        <f t="shared" si="13"/>
        <v>571.42857142857144</v>
      </c>
      <c r="G342" s="11">
        <f t="shared" si="9"/>
        <v>976.9705703842501</v>
      </c>
      <c r="H342" s="11">
        <f t="shared" si="10"/>
        <v>50285.714285714464</v>
      </c>
      <c r="I342" s="13"/>
      <c r="J342" s="13"/>
      <c r="K342" s="13"/>
      <c r="L342" s="13"/>
      <c r="M342" s="13"/>
      <c r="N342" s="13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75" customHeight="1">
      <c r="A343" s="37"/>
      <c r="B343" s="38">
        <f t="shared" si="11"/>
        <v>333</v>
      </c>
      <c r="C343" s="11">
        <f t="shared" si="12"/>
        <v>50285.714285714464</v>
      </c>
      <c r="D343" s="11">
        <f t="shared" si="7"/>
        <v>400.98534728201929</v>
      </c>
      <c r="E343" s="11">
        <f t="shared" si="8"/>
        <v>50686.699632996482</v>
      </c>
      <c r="F343" s="11">
        <f t="shared" si="13"/>
        <v>571.42857142857144</v>
      </c>
      <c r="G343" s="11">
        <f t="shared" si="9"/>
        <v>972.41391871059068</v>
      </c>
      <c r="H343" s="11">
        <f t="shared" si="10"/>
        <v>49714.285714285892</v>
      </c>
      <c r="I343" s="13"/>
      <c r="J343" s="13"/>
      <c r="K343" s="13"/>
      <c r="L343" s="13"/>
      <c r="M343" s="13"/>
      <c r="N343" s="13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75" customHeight="1">
      <c r="A344" s="37"/>
      <c r="B344" s="38">
        <f t="shared" si="11"/>
        <v>334</v>
      </c>
      <c r="C344" s="11">
        <f t="shared" si="12"/>
        <v>49714.285714285892</v>
      </c>
      <c r="D344" s="11">
        <f t="shared" si="7"/>
        <v>396.42869560835999</v>
      </c>
      <c r="E344" s="11">
        <f t="shared" si="8"/>
        <v>50110.714409894252</v>
      </c>
      <c r="F344" s="11">
        <f t="shared" si="13"/>
        <v>571.42857142857144</v>
      </c>
      <c r="G344" s="11">
        <f t="shared" si="9"/>
        <v>967.85726703693149</v>
      </c>
      <c r="H344" s="11">
        <f t="shared" si="10"/>
        <v>49142.85714285732</v>
      </c>
      <c r="I344" s="13"/>
      <c r="J344" s="13"/>
      <c r="K344" s="13"/>
      <c r="L344" s="13"/>
      <c r="M344" s="13"/>
      <c r="N344" s="13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75" customHeight="1">
      <c r="A345" s="37"/>
      <c r="B345" s="38">
        <f t="shared" si="11"/>
        <v>335</v>
      </c>
      <c r="C345" s="11">
        <f t="shared" si="12"/>
        <v>49142.85714285732</v>
      </c>
      <c r="D345" s="11">
        <f t="shared" si="7"/>
        <v>391.87204393470068</v>
      </c>
      <c r="E345" s="11">
        <f t="shared" si="8"/>
        <v>49534.729186792021</v>
      </c>
      <c r="F345" s="11">
        <f t="shared" si="13"/>
        <v>571.42857142857144</v>
      </c>
      <c r="G345" s="11">
        <f t="shared" si="9"/>
        <v>963.30061536327207</v>
      </c>
      <c r="H345" s="11">
        <f t="shared" si="10"/>
        <v>48571.428571428747</v>
      </c>
      <c r="I345" s="13"/>
      <c r="J345" s="13"/>
      <c r="K345" s="13"/>
      <c r="L345" s="13"/>
      <c r="M345" s="13"/>
      <c r="N345" s="13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75" customHeight="1">
      <c r="A346" s="37"/>
      <c r="B346" s="38">
        <f t="shared" si="11"/>
        <v>336</v>
      </c>
      <c r="C346" s="11">
        <f t="shared" si="12"/>
        <v>48571.428571428747</v>
      </c>
      <c r="D346" s="11">
        <f t="shared" si="7"/>
        <v>387.31539226104138</v>
      </c>
      <c r="E346" s="11">
        <f t="shared" si="8"/>
        <v>48958.743963689791</v>
      </c>
      <c r="F346" s="11">
        <f t="shared" si="13"/>
        <v>571.42857142857144</v>
      </c>
      <c r="G346" s="11">
        <f t="shared" si="9"/>
        <v>958.74396368961288</v>
      </c>
      <c r="H346" s="11">
        <f t="shared" si="10"/>
        <v>48000.000000000175</v>
      </c>
      <c r="I346" s="13"/>
      <c r="J346" s="13"/>
      <c r="K346" s="13"/>
      <c r="L346" s="13"/>
      <c r="M346" s="13"/>
      <c r="N346" s="13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75" customHeight="1">
      <c r="A347" s="37"/>
      <c r="B347" s="38">
        <f t="shared" si="11"/>
        <v>337</v>
      </c>
      <c r="C347" s="11">
        <f t="shared" si="12"/>
        <v>48000.000000000175</v>
      </c>
      <c r="D347" s="11">
        <f t="shared" si="7"/>
        <v>382.75874058738208</v>
      </c>
      <c r="E347" s="11">
        <f t="shared" si="8"/>
        <v>48382.75874058756</v>
      </c>
      <c r="F347" s="11">
        <f t="shared" si="13"/>
        <v>571.42857142857144</v>
      </c>
      <c r="G347" s="11">
        <f t="shared" si="9"/>
        <v>954.18731201595347</v>
      </c>
      <c r="H347" s="11">
        <f t="shared" si="10"/>
        <v>47428.571428571609</v>
      </c>
      <c r="I347" s="13"/>
      <c r="J347" s="13"/>
      <c r="K347" s="13"/>
      <c r="L347" s="13"/>
      <c r="M347" s="13"/>
      <c r="N347" s="13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75" customHeight="1">
      <c r="A348" s="37"/>
      <c r="B348" s="38">
        <f t="shared" si="11"/>
        <v>338</v>
      </c>
      <c r="C348" s="11">
        <f t="shared" si="12"/>
        <v>47428.571428571609</v>
      </c>
      <c r="D348" s="11">
        <f t="shared" si="7"/>
        <v>378.20208891372283</v>
      </c>
      <c r="E348" s="11">
        <f t="shared" si="8"/>
        <v>47806.77351748533</v>
      </c>
      <c r="F348" s="11">
        <f t="shared" si="13"/>
        <v>571.42857142857144</v>
      </c>
      <c r="G348" s="11">
        <f t="shared" si="9"/>
        <v>949.63066034229428</v>
      </c>
      <c r="H348" s="11">
        <f t="shared" si="10"/>
        <v>46857.142857143037</v>
      </c>
      <c r="I348" s="13"/>
      <c r="J348" s="13"/>
      <c r="K348" s="13"/>
      <c r="L348" s="13"/>
      <c r="M348" s="13"/>
      <c r="N348" s="13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75" customHeight="1">
      <c r="A349" s="37"/>
      <c r="B349" s="38">
        <f t="shared" si="11"/>
        <v>339</v>
      </c>
      <c r="C349" s="11">
        <f t="shared" si="12"/>
        <v>46857.142857143037</v>
      </c>
      <c r="D349" s="11">
        <f t="shared" si="7"/>
        <v>373.64543724006353</v>
      </c>
      <c r="E349" s="11">
        <f t="shared" si="8"/>
        <v>47230.788294383099</v>
      </c>
      <c r="F349" s="11">
        <f t="shared" si="13"/>
        <v>571.42857142857144</v>
      </c>
      <c r="G349" s="11">
        <f t="shared" si="9"/>
        <v>945.07400866863497</v>
      </c>
      <c r="H349" s="11">
        <f t="shared" si="10"/>
        <v>46285.714285714464</v>
      </c>
      <c r="I349" s="13"/>
      <c r="J349" s="13"/>
      <c r="K349" s="13"/>
      <c r="L349" s="13"/>
      <c r="M349" s="13"/>
      <c r="N349" s="13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75" customHeight="1">
      <c r="A350" s="37"/>
      <c r="B350" s="38">
        <f t="shared" si="11"/>
        <v>340</v>
      </c>
      <c r="C350" s="11">
        <f t="shared" si="12"/>
        <v>46285.714285714464</v>
      </c>
      <c r="D350" s="11">
        <f t="shared" si="7"/>
        <v>369.08878556640423</v>
      </c>
      <c r="E350" s="11">
        <f t="shared" si="8"/>
        <v>46654.803071280869</v>
      </c>
      <c r="F350" s="11">
        <f t="shared" si="13"/>
        <v>571.42857142857144</v>
      </c>
      <c r="G350" s="11">
        <f t="shared" si="9"/>
        <v>940.51735699497567</v>
      </c>
      <c r="H350" s="11">
        <f t="shared" si="10"/>
        <v>45714.285714285892</v>
      </c>
      <c r="I350" s="13"/>
      <c r="J350" s="13"/>
      <c r="K350" s="13"/>
      <c r="L350" s="13"/>
      <c r="M350" s="13"/>
      <c r="N350" s="13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75" customHeight="1">
      <c r="A351" s="37"/>
      <c r="B351" s="38">
        <f t="shared" si="11"/>
        <v>341</v>
      </c>
      <c r="C351" s="11">
        <f t="shared" si="12"/>
        <v>45714.285714285892</v>
      </c>
      <c r="D351" s="11">
        <f t="shared" si="7"/>
        <v>364.53213389274492</v>
      </c>
      <c r="E351" s="11">
        <f t="shared" si="8"/>
        <v>46078.817848178638</v>
      </c>
      <c r="F351" s="11">
        <f t="shared" si="13"/>
        <v>571.42857142857144</v>
      </c>
      <c r="G351" s="11">
        <f t="shared" si="9"/>
        <v>935.96070532131637</v>
      </c>
      <c r="H351" s="11">
        <f t="shared" si="10"/>
        <v>45142.85714285732</v>
      </c>
      <c r="I351" s="13"/>
      <c r="J351" s="13"/>
      <c r="K351" s="13"/>
      <c r="L351" s="13"/>
      <c r="M351" s="13"/>
      <c r="N351" s="13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75" customHeight="1">
      <c r="A352" s="37"/>
      <c r="B352" s="38">
        <f t="shared" si="11"/>
        <v>342</v>
      </c>
      <c r="C352" s="11">
        <f t="shared" si="12"/>
        <v>45142.85714285732</v>
      </c>
      <c r="D352" s="11">
        <f t="shared" si="7"/>
        <v>359.97548221908562</v>
      </c>
      <c r="E352" s="11">
        <f t="shared" si="8"/>
        <v>45502.832625076408</v>
      </c>
      <c r="F352" s="11">
        <f t="shared" si="13"/>
        <v>571.42857142857144</v>
      </c>
      <c r="G352" s="11">
        <f t="shared" si="9"/>
        <v>931.40405364765707</v>
      </c>
      <c r="H352" s="11">
        <f t="shared" si="10"/>
        <v>44571.428571428747</v>
      </c>
      <c r="I352" s="13"/>
      <c r="J352" s="13"/>
      <c r="K352" s="13"/>
      <c r="L352" s="13"/>
      <c r="M352" s="13"/>
      <c r="N352" s="13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75" customHeight="1">
      <c r="A353" s="37"/>
      <c r="B353" s="38">
        <f t="shared" si="11"/>
        <v>343</v>
      </c>
      <c r="C353" s="11">
        <f t="shared" si="12"/>
        <v>44571.428571428747</v>
      </c>
      <c r="D353" s="11">
        <f t="shared" si="7"/>
        <v>355.41883054542632</v>
      </c>
      <c r="E353" s="11">
        <f t="shared" si="8"/>
        <v>44926.84740197417</v>
      </c>
      <c r="F353" s="11">
        <f t="shared" si="13"/>
        <v>571.42857142857144</v>
      </c>
      <c r="G353" s="11">
        <f t="shared" si="9"/>
        <v>926.84740197399776</v>
      </c>
      <c r="H353" s="11">
        <f t="shared" si="10"/>
        <v>44000.000000000175</v>
      </c>
      <c r="I353" s="13"/>
      <c r="J353" s="13"/>
      <c r="K353" s="13"/>
      <c r="L353" s="13"/>
      <c r="M353" s="13"/>
      <c r="N353" s="13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75" customHeight="1">
      <c r="A354" s="37"/>
      <c r="B354" s="38">
        <f t="shared" si="11"/>
        <v>344</v>
      </c>
      <c r="C354" s="11">
        <f t="shared" si="12"/>
        <v>44000.000000000175</v>
      </c>
      <c r="D354" s="11">
        <f t="shared" si="7"/>
        <v>350.86217887176701</v>
      </c>
      <c r="E354" s="11">
        <f t="shared" si="8"/>
        <v>44350.862178871939</v>
      </c>
      <c r="F354" s="11">
        <f t="shared" si="13"/>
        <v>571.42857142857144</v>
      </c>
      <c r="G354" s="11">
        <f t="shared" si="9"/>
        <v>922.29075030033846</v>
      </c>
      <c r="H354" s="11">
        <f t="shared" si="10"/>
        <v>43428.571428571602</v>
      </c>
      <c r="I354" s="13"/>
      <c r="J354" s="13"/>
      <c r="K354" s="13"/>
      <c r="L354" s="13"/>
      <c r="M354" s="13"/>
      <c r="N354" s="13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75" customHeight="1">
      <c r="A355" s="37"/>
      <c r="B355" s="38">
        <f t="shared" si="11"/>
        <v>345</v>
      </c>
      <c r="C355" s="11">
        <f t="shared" si="12"/>
        <v>43428.571428571602</v>
      </c>
      <c r="D355" s="11">
        <f t="shared" si="7"/>
        <v>346.30552719810771</v>
      </c>
      <c r="E355" s="11">
        <f t="shared" si="8"/>
        <v>43774.876955769709</v>
      </c>
      <c r="F355" s="11">
        <f t="shared" si="13"/>
        <v>571.42857142857144</v>
      </c>
      <c r="G355" s="11">
        <f t="shared" si="9"/>
        <v>917.73409862667916</v>
      </c>
      <c r="H355" s="11">
        <f t="shared" si="10"/>
        <v>42857.14285714303</v>
      </c>
      <c r="I355" s="13"/>
      <c r="J355" s="13"/>
      <c r="K355" s="13"/>
      <c r="L355" s="13"/>
      <c r="M355" s="13"/>
      <c r="N355" s="13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75" customHeight="1">
      <c r="A356" s="37"/>
      <c r="B356" s="38">
        <f t="shared" si="11"/>
        <v>346</v>
      </c>
      <c r="C356" s="11">
        <f t="shared" si="12"/>
        <v>42857.14285714303</v>
      </c>
      <c r="D356" s="11">
        <f t="shared" si="7"/>
        <v>341.74887552444841</v>
      </c>
      <c r="E356" s="11">
        <f t="shared" si="8"/>
        <v>43198.891732667478</v>
      </c>
      <c r="F356" s="11">
        <f t="shared" si="13"/>
        <v>571.42857142857144</v>
      </c>
      <c r="G356" s="11">
        <f t="shared" si="9"/>
        <v>913.17744695301985</v>
      </c>
      <c r="H356" s="11">
        <f t="shared" si="10"/>
        <v>42285.714285714457</v>
      </c>
      <c r="I356" s="13"/>
      <c r="J356" s="13"/>
      <c r="K356" s="13"/>
      <c r="L356" s="13"/>
      <c r="M356" s="13"/>
      <c r="N356" s="13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75" customHeight="1">
      <c r="A357" s="37"/>
      <c r="B357" s="38">
        <f t="shared" si="11"/>
        <v>347</v>
      </c>
      <c r="C357" s="11">
        <f t="shared" si="12"/>
        <v>42285.714285714457</v>
      </c>
      <c r="D357" s="11">
        <f t="shared" si="7"/>
        <v>337.19222385078911</v>
      </c>
      <c r="E357" s="11">
        <f t="shared" si="8"/>
        <v>42622.906509565248</v>
      </c>
      <c r="F357" s="11">
        <f t="shared" si="13"/>
        <v>571.42857142857144</v>
      </c>
      <c r="G357" s="11">
        <f t="shared" si="9"/>
        <v>908.62079527936055</v>
      </c>
      <c r="H357" s="11">
        <f t="shared" si="10"/>
        <v>41714.285714285885</v>
      </c>
      <c r="I357" s="13"/>
      <c r="J357" s="13"/>
      <c r="K357" s="13"/>
      <c r="L357" s="13"/>
      <c r="M357" s="13"/>
      <c r="N357" s="13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75" customHeight="1">
      <c r="A358" s="37"/>
      <c r="B358" s="38">
        <f t="shared" si="11"/>
        <v>348</v>
      </c>
      <c r="C358" s="11">
        <f t="shared" si="12"/>
        <v>41714.285714285885</v>
      </c>
      <c r="D358" s="11">
        <f t="shared" si="7"/>
        <v>332.6355721771298</v>
      </c>
      <c r="E358" s="11">
        <f t="shared" si="8"/>
        <v>42046.921286463017</v>
      </c>
      <c r="F358" s="11">
        <f t="shared" si="13"/>
        <v>571.42857142857144</v>
      </c>
      <c r="G358" s="11">
        <f t="shared" si="9"/>
        <v>904.06414360570125</v>
      </c>
      <c r="H358" s="11">
        <f t="shared" si="10"/>
        <v>41142.85714285732</v>
      </c>
      <c r="I358" s="13"/>
      <c r="J358" s="13"/>
      <c r="K358" s="13"/>
      <c r="L358" s="13"/>
      <c r="M358" s="13"/>
      <c r="N358" s="13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75" customHeight="1">
      <c r="A359" s="37"/>
      <c r="B359" s="38">
        <f t="shared" si="11"/>
        <v>349</v>
      </c>
      <c r="C359" s="11">
        <f t="shared" si="12"/>
        <v>41142.85714285732</v>
      </c>
      <c r="D359" s="11">
        <f t="shared" si="7"/>
        <v>328.07892050347056</v>
      </c>
      <c r="E359" s="11">
        <f t="shared" si="8"/>
        <v>41470.936063360787</v>
      </c>
      <c r="F359" s="11">
        <f t="shared" si="13"/>
        <v>571.42857142857144</v>
      </c>
      <c r="G359" s="11">
        <f t="shared" si="9"/>
        <v>899.50749193204206</v>
      </c>
      <c r="H359" s="11">
        <f t="shared" si="10"/>
        <v>40571.428571428747</v>
      </c>
      <c r="I359" s="13"/>
      <c r="J359" s="13"/>
      <c r="K359" s="13"/>
      <c r="L359" s="13"/>
      <c r="M359" s="13"/>
      <c r="N359" s="13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75" customHeight="1">
      <c r="A360" s="37"/>
      <c r="B360" s="38">
        <f t="shared" si="11"/>
        <v>350</v>
      </c>
      <c r="C360" s="11">
        <f t="shared" si="12"/>
        <v>40571.428571428747</v>
      </c>
      <c r="D360" s="11">
        <f t="shared" si="7"/>
        <v>323.52226882981125</v>
      </c>
      <c r="E360" s="11">
        <f t="shared" si="8"/>
        <v>40894.950840258556</v>
      </c>
      <c r="F360" s="11">
        <f t="shared" si="13"/>
        <v>571.42857142857144</v>
      </c>
      <c r="G360" s="11">
        <f t="shared" si="9"/>
        <v>894.95084025838264</v>
      </c>
      <c r="H360" s="11">
        <f t="shared" si="10"/>
        <v>40000.000000000175</v>
      </c>
      <c r="I360" s="13"/>
      <c r="J360" s="13"/>
      <c r="K360" s="13"/>
      <c r="L360" s="13"/>
      <c r="M360" s="13"/>
      <c r="N360" s="13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75" customHeight="1">
      <c r="A361" s="37"/>
      <c r="B361" s="38">
        <f t="shared" si="11"/>
        <v>351</v>
      </c>
      <c r="C361" s="11">
        <f t="shared" si="12"/>
        <v>40000.000000000175</v>
      </c>
      <c r="D361" s="11">
        <f t="shared" si="7"/>
        <v>318.96561715615195</v>
      </c>
      <c r="E361" s="11">
        <f t="shared" si="8"/>
        <v>40318.965617156326</v>
      </c>
      <c r="F361" s="11">
        <f t="shared" si="13"/>
        <v>571.42857142857144</v>
      </c>
      <c r="G361" s="11">
        <f t="shared" si="9"/>
        <v>890.39418858472345</v>
      </c>
      <c r="H361" s="11">
        <f t="shared" si="10"/>
        <v>39428.571428571602</v>
      </c>
      <c r="I361" s="13"/>
      <c r="J361" s="13"/>
      <c r="K361" s="13"/>
      <c r="L361" s="13"/>
      <c r="M361" s="13"/>
      <c r="N361" s="13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75" customHeight="1">
      <c r="A362" s="37"/>
      <c r="B362" s="38">
        <f t="shared" si="11"/>
        <v>352</v>
      </c>
      <c r="C362" s="11">
        <f t="shared" si="12"/>
        <v>39428.571428571602</v>
      </c>
      <c r="D362" s="11">
        <f t="shared" si="7"/>
        <v>314.40896548249265</v>
      </c>
      <c r="E362" s="11">
        <f t="shared" si="8"/>
        <v>39742.980394054095</v>
      </c>
      <c r="F362" s="11">
        <f t="shared" si="13"/>
        <v>571.42857142857144</v>
      </c>
      <c r="G362" s="11">
        <f t="shared" si="9"/>
        <v>885.83753691106403</v>
      </c>
      <c r="H362" s="11">
        <f t="shared" si="10"/>
        <v>38857.14285714303</v>
      </c>
      <c r="I362" s="13"/>
      <c r="J362" s="13"/>
      <c r="K362" s="13"/>
      <c r="L362" s="13"/>
      <c r="M362" s="13"/>
      <c r="N362" s="13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75" customHeight="1">
      <c r="A363" s="37"/>
      <c r="B363" s="38">
        <f t="shared" si="11"/>
        <v>353</v>
      </c>
      <c r="C363" s="11">
        <f t="shared" si="12"/>
        <v>38857.14285714303</v>
      </c>
      <c r="D363" s="11">
        <f t="shared" si="7"/>
        <v>309.85231380883334</v>
      </c>
      <c r="E363" s="11">
        <f t="shared" si="8"/>
        <v>39166.995170951865</v>
      </c>
      <c r="F363" s="11">
        <f t="shared" si="13"/>
        <v>571.42857142857144</v>
      </c>
      <c r="G363" s="11">
        <f t="shared" si="9"/>
        <v>881.28088523740485</v>
      </c>
      <c r="H363" s="11">
        <f t="shared" si="10"/>
        <v>38285.714285714457</v>
      </c>
      <c r="I363" s="13"/>
      <c r="J363" s="13"/>
      <c r="K363" s="13"/>
      <c r="L363" s="13"/>
      <c r="M363" s="13"/>
      <c r="N363" s="13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75" customHeight="1">
      <c r="A364" s="37"/>
      <c r="B364" s="38">
        <f t="shared" si="11"/>
        <v>354</v>
      </c>
      <c r="C364" s="11">
        <f t="shared" si="12"/>
        <v>38285.714285714457</v>
      </c>
      <c r="D364" s="11">
        <f t="shared" si="7"/>
        <v>305.29566213517404</v>
      </c>
      <c r="E364" s="11">
        <f t="shared" si="8"/>
        <v>38591.009947849634</v>
      </c>
      <c r="F364" s="11">
        <f t="shared" si="13"/>
        <v>571.42857142857144</v>
      </c>
      <c r="G364" s="11">
        <f t="shared" si="9"/>
        <v>876.72423356374543</v>
      </c>
      <c r="H364" s="11">
        <f t="shared" si="10"/>
        <v>37714.285714285892</v>
      </c>
      <c r="I364" s="13"/>
      <c r="J364" s="13"/>
      <c r="K364" s="13"/>
      <c r="L364" s="13"/>
      <c r="M364" s="13"/>
      <c r="N364" s="13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75" customHeight="1">
      <c r="A365" s="37"/>
      <c r="B365" s="38">
        <f t="shared" si="11"/>
        <v>355</v>
      </c>
      <c r="C365" s="11">
        <f t="shared" si="12"/>
        <v>37714.285714285892</v>
      </c>
      <c r="D365" s="11">
        <f t="shared" si="7"/>
        <v>300.73901046151479</v>
      </c>
      <c r="E365" s="11">
        <f t="shared" si="8"/>
        <v>38015.024724747404</v>
      </c>
      <c r="F365" s="11">
        <f t="shared" si="13"/>
        <v>571.42857142857144</v>
      </c>
      <c r="G365" s="11">
        <f t="shared" si="9"/>
        <v>872.16758189008624</v>
      </c>
      <c r="H365" s="11">
        <f t="shared" si="10"/>
        <v>37142.85714285732</v>
      </c>
      <c r="I365" s="13"/>
      <c r="J365" s="13"/>
      <c r="K365" s="13"/>
      <c r="L365" s="13"/>
      <c r="M365" s="13"/>
      <c r="N365" s="13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75" customHeight="1">
      <c r="A366" s="37"/>
      <c r="B366" s="38">
        <f t="shared" si="11"/>
        <v>356</v>
      </c>
      <c r="C366" s="11">
        <f t="shared" si="12"/>
        <v>37142.85714285732</v>
      </c>
      <c r="D366" s="11">
        <f t="shared" si="7"/>
        <v>296.18235878785549</v>
      </c>
      <c r="E366" s="11">
        <f t="shared" si="8"/>
        <v>37439.039501645173</v>
      </c>
      <c r="F366" s="11">
        <f t="shared" si="13"/>
        <v>571.42857142857144</v>
      </c>
      <c r="G366" s="11">
        <f t="shared" si="9"/>
        <v>867.61093021642694</v>
      </c>
      <c r="H366" s="11">
        <f t="shared" si="10"/>
        <v>36571.428571428747</v>
      </c>
      <c r="I366" s="13"/>
      <c r="J366" s="13"/>
      <c r="K366" s="13"/>
      <c r="L366" s="13"/>
      <c r="M366" s="13"/>
      <c r="N366" s="13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75" customHeight="1">
      <c r="A367" s="37"/>
      <c r="B367" s="38">
        <f t="shared" si="11"/>
        <v>357</v>
      </c>
      <c r="C367" s="11">
        <f t="shared" si="12"/>
        <v>36571.428571428747</v>
      </c>
      <c r="D367" s="11">
        <f t="shared" si="7"/>
        <v>291.62570711419619</v>
      </c>
      <c r="E367" s="11">
        <f t="shared" si="8"/>
        <v>36863.054278542942</v>
      </c>
      <c r="F367" s="11">
        <f t="shared" si="13"/>
        <v>571.42857142857144</v>
      </c>
      <c r="G367" s="11">
        <f t="shared" si="9"/>
        <v>863.05427854276763</v>
      </c>
      <c r="H367" s="11">
        <f t="shared" si="10"/>
        <v>36000.000000000175</v>
      </c>
      <c r="I367" s="13"/>
      <c r="J367" s="13"/>
      <c r="K367" s="13"/>
      <c r="L367" s="13"/>
      <c r="M367" s="13"/>
      <c r="N367" s="13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75" customHeight="1">
      <c r="A368" s="37"/>
      <c r="B368" s="38">
        <f t="shared" si="11"/>
        <v>358</v>
      </c>
      <c r="C368" s="11">
        <f t="shared" si="12"/>
        <v>36000.000000000175</v>
      </c>
      <c r="D368" s="11">
        <f t="shared" si="7"/>
        <v>287.06905544053689</v>
      </c>
      <c r="E368" s="11">
        <f t="shared" si="8"/>
        <v>36287.069055440712</v>
      </c>
      <c r="F368" s="11">
        <f t="shared" si="13"/>
        <v>571.42857142857144</v>
      </c>
      <c r="G368" s="11">
        <f t="shared" si="9"/>
        <v>858.49762686910833</v>
      </c>
      <c r="H368" s="11">
        <f t="shared" si="10"/>
        <v>35428.571428571602</v>
      </c>
      <c r="I368" s="13"/>
      <c r="J368" s="13"/>
      <c r="K368" s="13"/>
      <c r="L368" s="13"/>
      <c r="M368" s="13"/>
      <c r="N368" s="13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75" customHeight="1">
      <c r="A369" s="37"/>
      <c r="B369" s="38">
        <f t="shared" si="11"/>
        <v>359</v>
      </c>
      <c r="C369" s="11">
        <f t="shared" si="12"/>
        <v>35428.571428571602</v>
      </c>
      <c r="D369" s="11">
        <f t="shared" si="7"/>
        <v>282.51240376687758</v>
      </c>
      <c r="E369" s="11">
        <f t="shared" si="8"/>
        <v>35711.083832338481</v>
      </c>
      <c r="F369" s="11">
        <f t="shared" si="13"/>
        <v>571.42857142857144</v>
      </c>
      <c r="G369" s="11">
        <f t="shared" si="9"/>
        <v>853.94097519544903</v>
      </c>
      <c r="H369" s="11">
        <f t="shared" si="10"/>
        <v>34857.14285714303</v>
      </c>
      <c r="I369" s="13"/>
      <c r="J369" s="13"/>
      <c r="K369" s="13"/>
      <c r="L369" s="13"/>
      <c r="M369" s="13"/>
      <c r="N369" s="13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75" customHeight="1">
      <c r="A370" s="37"/>
      <c r="B370" s="38">
        <f t="shared" si="11"/>
        <v>360</v>
      </c>
      <c r="C370" s="11">
        <f t="shared" si="12"/>
        <v>34857.14285714303</v>
      </c>
      <c r="D370" s="11">
        <f t="shared" si="7"/>
        <v>277.95575209321828</v>
      </c>
      <c r="E370" s="11">
        <f t="shared" si="8"/>
        <v>35135.098609236251</v>
      </c>
      <c r="F370" s="11">
        <f t="shared" si="13"/>
        <v>571.42857142857144</v>
      </c>
      <c r="G370" s="11">
        <f t="shared" si="9"/>
        <v>849.38432352178972</v>
      </c>
      <c r="H370" s="11">
        <f t="shared" si="10"/>
        <v>34285.714285714464</v>
      </c>
      <c r="I370" s="13"/>
      <c r="J370" s="13"/>
      <c r="K370" s="13"/>
      <c r="L370" s="13"/>
      <c r="M370" s="13"/>
      <c r="N370" s="13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75" customHeight="1">
      <c r="A371" s="37"/>
      <c r="B371" s="38">
        <f t="shared" si="11"/>
        <v>361</v>
      </c>
      <c r="C371" s="11">
        <f t="shared" si="12"/>
        <v>34285.714285714464</v>
      </c>
      <c r="D371" s="11">
        <f t="shared" si="7"/>
        <v>273.39910041955903</v>
      </c>
      <c r="E371" s="11">
        <f t="shared" si="8"/>
        <v>34559.11338613402</v>
      </c>
      <c r="F371" s="11">
        <f t="shared" si="13"/>
        <v>571.42857142857144</v>
      </c>
      <c r="G371" s="11">
        <f t="shared" si="9"/>
        <v>844.82767184813042</v>
      </c>
      <c r="H371" s="11">
        <f t="shared" si="10"/>
        <v>33714.285714285892</v>
      </c>
      <c r="I371" s="13"/>
      <c r="J371" s="13"/>
      <c r="K371" s="13"/>
      <c r="L371" s="13"/>
      <c r="M371" s="13"/>
      <c r="N371" s="13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75" customHeight="1">
      <c r="A372" s="37"/>
      <c r="B372" s="38">
        <f t="shared" si="11"/>
        <v>362</v>
      </c>
      <c r="C372" s="11">
        <f t="shared" si="12"/>
        <v>33714.285714285892</v>
      </c>
      <c r="D372" s="11">
        <f t="shared" si="7"/>
        <v>268.84244874589973</v>
      </c>
      <c r="E372" s="11">
        <f t="shared" si="8"/>
        <v>33983.12816303179</v>
      </c>
      <c r="F372" s="11">
        <f t="shared" si="13"/>
        <v>571.42857142857144</v>
      </c>
      <c r="G372" s="11">
        <f t="shared" si="9"/>
        <v>840.27102017447123</v>
      </c>
      <c r="H372" s="11">
        <f t="shared" si="10"/>
        <v>33142.85714285732</v>
      </c>
      <c r="I372" s="13"/>
      <c r="J372" s="13"/>
      <c r="K372" s="13"/>
      <c r="L372" s="13"/>
      <c r="M372" s="13"/>
      <c r="N372" s="13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75" customHeight="1">
      <c r="A373" s="37"/>
      <c r="B373" s="38">
        <f t="shared" si="11"/>
        <v>363</v>
      </c>
      <c r="C373" s="11">
        <f t="shared" si="12"/>
        <v>33142.85714285732</v>
      </c>
      <c r="D373" s="11">
        <f t="shared" si="7"/>
        <v>264.28579707224043</v>
      </c>
      <c r="E373" s="11">
        <f t="shared" si="8"/>
        <v>33407.142939929559</v>
      </c>
      <c r="F373" s="11">
        <f t="shared" si="13"/>
        <v>571.42857142857144</v>
      </c>
      <c r="G373" s="11">
        <f t="shared" si="9"/>
        <v>835.71436850081182</v>
      </c>
      <c r="H373" s="11">
        <f t="shared" si="10"/>
        <v>32571.428571428747</v>
      </c>
      <c r="I373" s="13"/>
      <c r="J373" s="13"/>
      <c r="K373" s="13"/>
      <c r="L373" s="13"/>
      <c r="M373" s="13"/>
      <c r="N373" s="13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75" customHeight="1">
      <c r="A374" s="37"/>
      <c r="B374" s="38">
        <f t="shared" si="11"/>
        <v>364</v>
      </c>
      <c r="C374" s="11">
        <f t="shared" si="12"/>
        <v>32571.428571428747</v>
      </c>
      <c r="D374" s="11">
        <f t="shared" si="7"/>
        <v>259.72914539858112</v>
      </c>
      <c r="E374" s="11">
        <f t="shared" si="8"/>
        <v>32831.157716827329</v>
      </c>
      <c r="F374" s="11">
        <f t="shared" si="13"/>
        <v>571.42857142857144</v>
      </c>
      <c r="G374" s="11">
        <f t="shared" si="9"/>
        <v>831.15771682715263</v>
      </c>
      <c r="H374" s="11">
        <f t="shared" si="10"/>
        <v>32000.000000000175</v>
      </c>
      <c r="I374" s="13"/>
      <c r="J374" s="13"/>
      <c r="K374" s="13"/>
      <c r="L374" s="13"/>
      <c r="M374" s="13"/>
      <c r="N374" s="13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75" customHeight="1">
      <c r="A375" s="37"/>
      <c r="B375" s="38">
        <f t="shared" si="11"/>
        <v>365</v>
      </c>
      <c r="C375" s="11">
        <f t="shared" si="12"/>
        <v>32000.000000000175</v>
      </c>
      <c r="D375" s="11">
        <f t="shared" si="7"/>
        <v>255.17249372492185</v>
      </c>
      <c r="E375" s="11">
        <f t="shared" si="8"/>
        <v>32255.172493725095</v>
      </c>
      <c r="F375" s="11">
        <f t="shared" si="13"/>
        <v>571.42857142857144</v>
      </c>
      <c r="G375" s="11">
        <f t="shared" si="9"/>
        <v>826.60106515349332</v>
      </c>
      <c r="H375" s="11">
        <f t="shared" si="10"/>
        <v>31428.571428571602</v>
      </c>
      <c r="I375" s="13"/>
      <c r="J375" s="13"/>
      <c r="K375" s="13"/>
      <c r="L375" s="13"/>
      <c r="M375" s="13"/>
      <c r="N375" s="13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75" customHeight="1">
      <c r="A376" s="37"/>
      <c r="B376" s="38">
        <f t="shared" si="11"/>
        <v>366</v>
      </c>
      <c r="C376" s="11">
        <f t="shared" si="12"/>
        <v>31428.571428571602</v>
      </c>
      <c r="D376" s="11">
        <f t="shared" si="7"/>
        <v>250.61584205126255</v>
      </c>
      <c r="E376" s="11">
        <f t="shared" si="8"/>
        <v>31679.187270622864</v>
      </c>
      <c r="F376" s="11">
        <f t="shared" si="13"/>
        <v>571.42857142857144</v>
      </c>
      <c r="G376" s="11">
        <f t="shared" si="9"/>
        <v>822.04441347983402</v>
      </c>
      <c r="H376" s="11">
        <f t="shared" si="10"/>
        <v>30857.14285714303</v>
      </c>
      <c r="I376" s="13"/>
      <c r="J376" s="13"/>
      <c r="K376" s="13"/>
      <c r="L376" s="13"/>
      <c r="M376" s="13"/>
      <c r="N376" s="13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75" customHeight="1">
      <c r="A377" s="37"/>
      <c r="B377" s="38">
        <f t="shared" si="11"/>
        <v>367</v>
      </c>
      <c r="C377" s="11">
        <f t="shared" si="12"/>
        <v>30857.14285714303</v>
      </c>
      <c r="D377" s="11">
        <f t="shared" si="7"/>
        <v>246.05919037760324</v>
      </c>
      <c r="E377" s="11">
        <f t="shared" si="8"/>
        <v>31103.202047520634</v>
      </c>
      <c r="F377" s="11">
        <f t="shared" si="13"/>
        <v>571.42857142857144</v>
      </c>
      <c r="G377" s="11">
        <f t="shared" si="9"/>
        <v>817.48776180617472</v>
      </c>
      <c r="H377" s="11">
        <f t="shared" si="10"/>
        <v>30285.714285714457</v>
      </c>
      <c r="I377" s="13"/>
      <c r="J377" s="13"/>
      <c r="K377" s="13"/>
      <c r="L377" s="13"/>
      <c r="M377" s="13"/>
      <c r="N377" s="13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75" customHeight="1">
      <c r="A378" s="37"/>
      <c r="B378" s="38">
        <f t="shared" si="11"/>
        <v>368</v>
      </c>
      <c r="C378" s="11">
        <f t="shared" si="12"/>
        <v>30285.714285714457</v>
      </c>
      <c r="D378" s="11">
        <f t="shared" si="7"/>
        <v>241.50253870394394</v>
      </c>
      <c r="E378" s="11">
        <f t="shared" si="8"/>
        <v>30527.216824418399</v>
      </c>
      <c r="F378" s="11">
        <f t="shared" si="13"/>
        <v>571.42857142857144</v>
      </c>
      <c r="G378" s="11">
        <f t="shared" si="9"/>
        <v>812.93111013251541</v>
      </c>
      <c r="H378" s="11">
        <f t="shared" si="10"/>
        <v>29714.285714285885</v>
      </c>
      <c r="I378" s="13"/>
      <c r="J378" s="13"/>
      <c r="K378" s="13"/>
      <c r="L378" s="13"/>
      <c r="M378" s="13"/>
      <c r="N378" s="13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75" customHeight="1">
      <c r="A379" s="37"/>
      <c r="B379" s="38">
        <f t="shared" si="11"/>
        <v>369</v>
      </c>
      <c r="C379" s="11">
        <f t="shared" si="12"/>
        <v>29714.285714285885</v>
      </c>
      <c r="D379" s="11">
        <f t="shared" si="7"/>
        <v>236.94588703028464</v>
      </c>
      <c r="E379" s="11">
        <f t="shared" si="8"/>
        <v>29951.231601316169</v>
      </c>
      <c r="F379" s="11">
        <f t="shared" si="13"/>
        <v>571.42857142857144</v>
      </c>
      <c r="G379" s="11">
        <f t="shared" si="9"/>
        <v>808.37445845885611</v>
      </c>
      <c r="H379" s="11">
        <f t="shared" si="10"/>
        <v>29142.857142857312</v>
      </c>
      <c r="I379" s="13"/>
      <c r="J379" s="13"/>
      <c r="K379" s="13"/>
      <c r="L379" s="13"/>
      <c r="M379" s="13"/>
      <c r="N379" s="13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75" customHeight="1">
      <c r="A380" s="37"/>
      <c r="B380" s="38">
        <f t="shared" si="11"/>
        <v>370</v>
      </c>
      <c r="C380" s="11">
        <f t="shared" si="12"/>
        <v>29142.857142857312</v>
      </c>
      <c r="D380" s="11">
        <f t="shared" si="7"/>
        <v>232.38923535662533</v>
      </c>
      <c r="E380" s="11">
        <f t="shared" si="8"/>
        <v>29375.246378213938</v>
      </c>
      <c r="F380" s="11">
        <f t="shared" si="13"/>
        <v>571.42857142857144</v>
      </c>
      <c r="G380" s="11">
        <f t="shared" si="9"/>
        <v>803.81780678519681</v>
      </c>
      <c r="H380" s="11">
        <f t="shared" si="10"/>
        <v>28571.42857142874</v>
      </c>
      <c r="I380" s="13"/>
      <c r="J380" s="13"/>
      <c r="K380" s="13"/>
      <c r="L380" s="13"/>
      <c r="M380" s="13"/>
      <c r="N380" s="13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75" customHeight="1">
      <c r="A381" s="37"/>
      <c r="B381" s="38">
        <f t="shared" si="11"/>
        <v>371</v>
      </c>
      <c r="C381" s="11">
        <f t="shared" si="12"/>
        <v>28571.42857142874</v>
      </c>
      <c r="D381" s="11">
        <f t="shared" si="7"/>
        <v>227.83258368296603</v>
      </c>
      <c r="E381" s="11">
        <f t="shared" si="8"/>
        <v>28799.261155111704</v>
      </c>
      <c r="F381" s="11">
        <f t="shared" si="13"/>
        <v>571.42857142857144</v>
      </c>
      <c r="G381" s="11">
        <f t="shared" si="9"/>
        <v>799.26115511153751</v>
      </c>
      <c r="H381" s="11">
        <f t="shared" si="10"/>
        <v>28000.000000000167</v>
      </c>
      <c r="I381" s="13"/>
      <c r="J381" s="13"/>
      <c r="K381" s="13"/>
      <c r="L381" s="13"/>
      <c r="M381" s="13"/>
      <c r="N381" s="13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75" customHeight="1">
      <c r="A382" s="37"/>
      <c r="B382" s="38">
        <f t="shared" si="11"/>
        <v>372</v>
      </c>
      <c r="C382" s="11">
        <f t="shared" si="12"/>
        <v>28000.000000000167</v>
      </c>
      <c r="D382" s="11">
        <f t="shared" si="7"/>
        <v>223.27593200930673</v>
      </c>
      <c r="E382" s="11">
        <f t="shared" si="8"/>
        <v>28223.275932009474</v>
      </c>
      <c r="F382" s="11">
        <f t="shared" si="13"/>
        <v>571.42857142857144</v>
      </c>
      <c r="G382" s="11">
        <f t="shared" si="9"/>
        <v>794.7045034378782</v>
      </c>
      <c r="H382" s="11">
        <f t="shared" si="10"/>
        <v>27428.571428571595</v>
      </c>
      <c r="I382" s="13"/>
      <c r="J382" s="13"/>
      <c r="K382" s="13"/>
      <c r="L382" s="13"/>
      <c r="M382" s="13"/>
      <c r="N382" s="13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75" customHeight="1">
      <c r="A383" s="37"/>
      <c r="B383" s="38">
        <f t="shared" si="11"/>
        <v>373</v>
      </c>
      <c r="C383" s="11">
        <f t="shared" si="12"/>
        <v>27428.571428571595</v>
      </c>
      <c r="D383" s="11">
        <f t="shared" si="7"/>
        <v>218.71928033564743</v>
      </c>
      <c r="E383" s="11">
        <f t="shared" si="8"/>
        <v>27647.290708907243</v>
      </c>
      <c r="F383" s="11">
        <f t="shared" si="13"/>
        <v>571.42857142857144</v>
      </c>
      <c r="G383" s="11">
        <f t="shared" si="9"/>
        <v>790.1478517642189</v>
      </c>
      <c r="H383" s="11">
        <f t="shared" si="10"/>
        <v>26857.142857143026</v>
      </c>
      <c r="I383" s="13"/>
      <c r="J383" s="13"/>
      <c r="K383" s="13"/>
      <c r="L383" s="13"/>
      <c r="M383" s="13"/>
      <c r="N383" s="13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75" customHeight="1">
      <c r="A384" s="37"/>
      <c r="B384" s="38">
        <f t="shared" si="11"/>
        <v>374</v>
      </c>
      <c r="C384" s="11">
        <f t="shared" si="12"/>
        <v>26857.142857143026</v>
      </c>
      <c r="D384" s="11">
        <f t="shared" si="7"/>
        <v>214.16262866198815</v>
      </c>
      <c r="E384" s="11">
        <f t="shared" si="8"/>
        <v>27071.305485805013</v>
      </c>
      <c r="F384" s="11">
        <f t="shared" si="13"/>
        <v>571.42857142857144</v>
      </c>
      <c r="G384" s="11">
        <f t="shared" si="9"/>
        <v>785.5912000905596</v>
      </c>
      <c r="H384" s="11">
        <f t="shared" si="10"/>
        <v>26285.714285714454</v>
      </c>
      <c r="I384" s="13"/>
      <c r="J384" s="13"/>
      <c r="K384" s="13"/>
      <c r="L384" s="13"/>
      <c r="M384" s="13"/>
      <c r="N384" s="13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75" customHeight="1">
      <c r="A385" s="37"/>
      <c r="B385" s="38">
        <f t="shared" si="11"/>
        <v>375</v>
      </c>
      <c r="C385" s="11">
        <f t="shared" si="12"/>
        <v>26285.714285714454</v>
      </c>
      <c r="D385" s="11">
        <f t="shared" si="7"/>
        <v>209.60597698832885</v>
      </c>
      <c r="E385" s="11">
        <f t="shared" si="8"/>
        <v>26495.320262702782</v>
      </c>
      <c r="F385" s="11">
        <f t="shared" si="13"/>
        <v>571.42857142857144</v>
      </c>
      <c r="G385" s="11">
        <f t="shared" si="9"/>
        <v>781.03454841690029</v>
      </c>
      <c r="H385" s="11">
        <f t="shared" si="10"/>
        <v>25714.285714285881</v>
      </c>
      <c r="I385" s="13"/>
      <c r="J385" s="13"/>
      <c r="K385" s="13"/>
      <c r="L385" s="13"/>
      <c r="M385" s="13"/>
      <c r="N385" s="13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75" customHeight="1">
      <c r="A386" s="37"/>
      <c r="B386" s="38">
        <f t="shared" si="11"/>
        <v>376</v>
      </c>
      <c r="C386" s="11">
        <f t="shared" si="12"/>
        <v>25714.285714285881</v>
      </c>
      <c r="D386" s="11">
        <f t="shared" si="7"/>
        <v>205.04932531466955</v>
      </c>
      <c r="E386" s="11">
        <f t="shared" si="8"/>
        <v>25919.335039600552</v>
      </c>
      <c r="F386" s="11">
        <f t="shared" si="13"/>
        <v>571.42857142857144</v>
      </c>
      <c r="G386" s="11">
        <f t="shared" si="9"/>
        <v>776.47789674324099</v>
      </c>
      <c r="H386" s="11">
        <f t="shared" si="10"/>
        <v>25142.857142857312</v>
      </c>
      <c r="I386" s="13"/>
      <c r="J386" s="13"/>
      <c r="K386" s="13"/>
      <c r="L386" s="13"/>
      <c r="M386" s="13"/>
      <c r="N386" s="13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75" customHeight="1">
      <c r="A387" s="37"/>
      <c r="B387" s="38">
        <f t="shared" si="11"/>
        <v>377</v>
      </c>
      <c r="C387" s="11">
        <f t="shared" si="12"/>
        <v>25142.857142857312</v>
      </c>
      <c r="D387" s="11">
        <f t="shared" si="7"/>
        <v>200.49267364101027</v>
      </c>
      <c r="E387" s="11">
        <f t="shared" si="8"/>
        <v>25343.349816498321</v>
      </c>
      <c r="F387" s="11">
        <f t="shared" si="13"/>
        <v>571.42857142857144</v>
      </c>
      <c r="G387" s="11">
        <f t="shared" si="9"/>
        <v>771.92124506958169</v>
      </c>
      <c r="H387" s="11">
        <f t="shared" si="10"/>
        <v>24571.42857142874</v>
      </c>
      <c r="I387" s="13"/>
      <c r="J387" s="13"/>
      <c r="K387" s="13"/>
      <c r="L387" s="13"/>
      <c r="M387" s="13"/>
      <c r="N387" s="13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75" customHeight="1">
      <c r="A388" s="37"/>
      <c r="B388" s="38">
        <f t="shared" si="11"/>
        <v>378</v>
      </c>
      <c r="C388" s="11">
        <f t="shared" si="12"/>
        <v>24571.42857142874</v>
      </c>
      <c r="D388" s="11">
        <f t="shared" si="7"/>
        <v>195.93602196735097</v>
      </c>
      <c r="E388" s="11">
        <f t="shared" si="8"/>
        <v>24767.364593396091</v>
      </c>
      <c r="F388" s="11">
        <f t="shared" si="13"/>
        <v>571.42857142857144</v>
      </c>
      <c r="G388" s="11">
        <f t="shared" si="9"/>
        <v>767.36459339592238</v>
      </c>
      <c r="H388" s="11">
        <f t="shared" si="10"/>
        <v>24000.000000000167</v>
      </c>
      <c r="I388" s="13"/>
      <c r="J388" s="13"/>
      <c r="K388" s="13"/>
      <c r="L388" s="13"/>
      <c r="M388" s="13"/>
      <c r="N388" s="13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75" customHeight="1">
      <c r="A389" s="37"/>
      <c r="B389" s="38">
        <f t="shared" si="11"/>
        <v>379</v>
      </c>
      <c r="C389" s="11">
        <f t="shared" si="12"/>
        <v>24000.000000000167</v>
      </c>
      <c r="D389" s="11">
        <f t="shared" si="7"/>
        <v>191.37937029369166</v>
      </c>
      <c r="E389" s="11">
        <f t="shared" si="8"/>
        <v>24191.37937029386</v>
      </c>
      <c r="F389" s="11">
        <f t="shared" si="13"/>
        <v>571.42857142857144</v>
      </c>
      <c r="G389" s="11">
        <f t="shared" si="9"/>
        <v>762.80794172226308</v>
      </c>
      <c r="H389" s="11">
        <f t="shared" si="10"/>
        <v>23428.571428571599</v>
      </c>
      <c r="I389" s="13"/>
      <c r="J389" s="13"/>
      <c r="K389" s="13"/>
      <c r="L389" s="13"/>
      <c r="M389" s="13"/>
      <c r="N389" s="13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75" customHeight="1">
      <c r="A390" s="37"/>
      <c r="B390" s="38">
        <f t="shared" si="11"/>
        <v>380</v>
      </c>
      <c r="C390" s="11">
        <f t="shared" si="12"/>
        <v>23428.571428571599</v>
      </c>
      <c r="D390" s="11">
        <f t="shared" si="7"/>
        <v>186.82271862003242</v>
      </c>
      <c r="E390" s="11">
        <f t="shared" si="8"/>
        <v>23615.39414719163</v>
      </c>
      <c r="F390" s="11">
        <f t="shared" si="13"/>
        <v>571.42857142857144</v>
      </c>
      <c r="G390" s="11">
        <f t="shared" si="9"/>
        <v>758.25129004860389</v>
      </c>
      <c r="H390" s="11">
        <f t="shared" si="10"/>
        <v>22857.142857143026</v>
      </c>
      <c r="I390" s="13"/>
      <c r="J390" s="13"/>
      <c r="K390" s="13"/>
      <c r="L390" s="13"/>
      <c r="M390" s="13"/>
      <c r="N390" s="13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75" customHeight="1">
      <c r="A391" s="37"/>
      <c r="B391" s="38">
        <f t="shared" si="11"/>
        <v>381</v>
      </c>
      <c r="C391" s="11">
        <f t="shared" si="12"/>
        <v>22857.142857143026</v>
      </c>
      <c r="D391" s="11">
        <f t="shared" si="7"/>
        <v>182.26606694637312</v>
      </c>
      <c r="E391" s="11">
        <f t="shared" si="8"/>
        <v>23039.408924089399</v>
      </c>
      <c r="F391" s="11">
        <f t="shared" si="13"/>
        <v>571.42857142857144</v>
      </c>
      <c r="G391" s="11">
        <f t="shared" si="9"/>
        <v>753.69463837494459</v>
      </c>
      <c r="H391" s="11">
        <f t="shared" si="10"/>
        <v>22285.714285714454</v>
      </c>
      <c r="I391" s="13"/>
      <c r="J391" s="13"/>
      <c r="K391" s="13"/>
      <c r="L391" s="13"/>
      <c r="M391" s="13"/>
      <c r="N391" s="13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75" customHeight="1">
      <c r="A392" s="37"/>
      <c r="B392" s="38">
        <f t="shared" si="11"/>
        <v>382</v>
      </c>
      <c r="C392" s="11">
        <f t="shared" si="12"/>
        <v>22285.714285714454</v>
      </c>
      <c r="D392" s="11">
        <f t="shared" si="7"/>
        <v>177.70941527271381</v>
      </c>
      <c r="E392" s="11">
        <f t="shared" si="8"/>
        <v>22463.423700987169</v>
      </c>
      <c r="F392" s="11">
        <f t="shared" si="13"/>
        <v>571.42857142857144</v>
      </c>
      <c r="G392" s="11">
        <f t="shared" si="9"/>
        <v>749.13798670128529</v>
      </c>
      <c r="H392" s="11">
        <f t="shared" si="10"/>
        <v>21714.285714285885</v>
      </c>
      <c r="I392" s="13"/>
      <c r="J392" s="13"/>
      <c r="K392" s="13"/>
      <c r="L392" s="13"/>
      <c r="M392" s="13"/>
      <c r="N392" s="13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75" customHeight="1">
      <c r="A393" s="37"/>
      <c r="B393" s="38">
        <f t="shared" si="11"/>
        <v>383</v>
      </c>
      <c r="C393" s="11">
        <f t="shared" si="12"/>
        <v>21714.285714285885</v>
      </c>
      <c r="D393" s="11">
        <f t="shared" si="7"/>
        <v>173.15276359905454</v>
      </c>
      <c r="E393" s="11">
        <f t="shared" si="8"/>
        <v>21887.438477884938</v>
      </c>
      <c r="F393" s="11">
        <f t="shared" si="13"/>
        <v>571.42857142857144</v>
      </c>
      <c r="G393" s="11">
        <f t="shared" si="9"/>
        <v>744.58133502762598</v>
      </c>
      <c r="H393" s="11">
        <f t="shared" si="10"/>
        <v>21142.857142857312</v>
      </c>
      <c r="I393" s="13"/>
      <c r="J393" s="13"/>
      <c r="K393" s="13"/>
      <c r="L393" s="13"/>
      <c r="M393" s="13"/>
      <c r="N393" s="13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75" customHeight="1">
      <c r="A394" s="37"/>
      <c r="B394" s="38">
        <f t="shared" si="11"/>
        <v>384</v>
      </c>
      <c r="C394" s="11">
        <f t="shared" si="12"/>
        <v>21142.857142857312</v>
      </c>
      <c r="D394" s="11">
        <f t="shared" si="7"/>
        <v>168.59611192539523</v>
      </c>
      <c r="E394" s="11">
        <f t="shared" si="8"/>
        <v>21311.453254782708</v>
      </c>
      <c r="F394" s="11">
        <f t="shared" si="13"/>
        <v>571.42857142857144</v>
      </c>
      <c r="G394" s="11">
        <f t="shared" si="9"/>
        <v>740.02468335396668</v>
      </c>
      <c r="H394" s="11">
        <f t="shared" si="10"/>
        <v>20571.42857142874</v>
      </c>
      <c r="I394" s="13"/>
      <c r="J394" s="13"/>
      <c r="K394" s="13"/>
      <c r="L394" s="13"/>
      <c r="M394" s="13"/>
      <c r="N394" s="13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75" customHeight="1">
      <c r="A395" s="37"/>
      <c r="B395" s="38">
        <f t="shared" si="11"/>
        <v>385</v>
      </c>
      <c r="C395" s="11">
        <f t="shared" si="12"/>
        <v>20571.42857142874</v>
      </c>
      <c r="D395" s="11">
        <f t="shared" si="7"/>
        <v>164.03946025173593</v>
      </c>
      <c r="E395" s="11">
        <f t="shared" si="8"/>
        <v>20735.468031680477</v>
      </c>
      <c r="F395" s="11">
        <f t="shared" si="13"/>
        <v>571.42857142857144</v>
      </c>
      <c r="G395" s="11">
        <f t="shared" si="9"/>
        <v>735.46803168030738</v>
      </c>
      <c r="H395" s="11">
        <f t="shared" si="10"/>
        <v>20000.000000000171</v>
      </c>
      <c r="I395" s="13"/>
      <c r="J395" s="13"/>
      <c r="K395" s="13"/>
      <c r="L395" s="13"/>
      <c r="M395" s="13"/>
      <c r="N395" s="13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75" customHeight="1">
      <c r="A396" s="37"/>
      <c r="B396" s="38">
        <f t="shared" si="11"/>
        <v>386</v>
      </c>
      <c r="C396" s="11">
        <f t="shared" si="12"/>
        <v>20000.000000000171</v>
      </c>
      <c r="D396" s="11">
        <f t="shared" si="7"/>
        <v>159.48280857807666</v>
      </c>
      <c r="E396" s="11">
        <f t="shared" si="8"/>
        <v>20159.482808578246</v>
      </c>
      <c r="F396" s="11">
        <f t="shared" si="13"/>
        <v>571.42857142857144</v>
      </c>
      <c r="G396" s="11">
        <f t="shared" si="9"/>
        <v>730.91138000664807</v>
      </c>
      <c r="H396" s="11">
        <f t="shared" si="10"/>
        <v>19428.571428571599</v>
      </c>
      <c r="I396" s="13"/>
      <c r="J396" s="13"/>
      <c r="K396" s="13"/>
      <c r="L396" s="13"/>
      <c r="M396" s="13"/>
      <c r="N396" s="13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75" customHeight="1">
      <c r="A397" s="37"/>
      <c r="B397" s="38">
        <f t="shared" si="11"/>
        <v>387</v>
      </c>
      <c r="C397" s="11">
        <f t="shared" si="12"/>
        <v>19428.571428571599</v>
      </c>
      <c r="D397" s="11">
        <f t="shared" si="7"/>
        <v>154.92615690441735</v>
      </c>
      <c r="E397" s="11">
        <f t="shared" si="8"/>
        <v>19583.497585476016</v>
      </c>
      <c r="F397" s="11">
        <f t="shared" si="13"/>
        <v>571.42857142857144</v>
      </c>
      <c r="G397" s="11">
        <f t="shared" si="9"/>
        <v>726.35472833298877</v>
      </c>
      <c r="H397" s="11">
        <f t="shared" si="10"/>
        <v>18857.142857143026</v>
      </c>
      <c r="I397" s="13"/>
      <c r="J397" s="13"/>
      <c r="K397" s="13"/>
      <c r="L397" s="13"/>
      <c r="M397" s="13"/>
      <c r="N397" s="13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75" customHeight="1">
      <c r="A398" s="37"/>
      <c r="B398" s="38">
        <f t="shared" si="11"/>
        <v>388</v>
      </c>
      <c r="C398" s="11">
        <f t="shared" si="12"/>
        <v>18857.142857143026</v>
      </c>
      <c r="D398" s="11">
        <f t="shared" si="7"/>
        <v>150.36950523075805</v>
      </c>
      <c r="E398" s="11">
        <f t="shared" si="8"/>
        <v>19007.512362373785</v>
      </c>
      <c r="F398" s="11">
        <f t="shared" si="13"/>
        <v>571.42857142857144</v>
      </c>
      <c r="G398" s="11">
        <f t="shared" si="9"/>
        <v>721.79807665932947</v>
      </c>
      <c r="H398" s="11">
        <f t="shared" si="10"/>
        <v>18285.714285714457</v>
      </c>
      <c r="I398" s="13"/>
      <c r="J398" s="13"/>
      <c r="K398" s="13"/>
      <c r="L398" s="13"/>
      <c r="M398" s="13"/>
      <c r="N398" s="13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75" customHeight="1">
      <c r="A399" s="37"/>
      <c r="B399" s="38">
        <f t="shared" si="11"/>
        <v>389</v>
      </c>
      <c r="C399" s="11">
        <f t="shared" si="12"/>
        <v>18285.714285714457</v>
      </c>
      <c r="D399" s="11">
        <f t="shared" si="7"/>
        <v>145.81285355709878</v>
      </c>
      <c r="E399" s="11">
        <f t="shared" si="8"/>
        <v>18431.527139271555</v>
      </c>
      <c r="F399" s="11">
        <f t="shared" si="13"/>
        <v>571.42857142857144</v>
      </c>
      <c r="G399" s="11">
        <f t="shared" si="9"/>
        <v>717.24142498567016</v>
      </c>
      <c r="H399" s="11">
        <f t="shared" si="10"/>
        <v>17714.285714285885</v>
      </c>
      <c r="I399" s="13"/>
      <c r="J399" s="13"/>
      <c r="K399" s="13"/>
      <c r="L399" s="13"/>
      <c r="M399" s="13"/>
      <c r="N399" s="13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75" customHeight="1">
      <c r="A400" s="37"/>
      <c r="B400" s="38">
        <f t="shared" si="11"/>
        <v>390</v>
      </c>
      <c r="C400" s="11">
        <f t="shared" si="12"/>
        <v>17714.285714285885</v>
      </c>
      <c r="D400" s="11">
        <f t="shared" si="7"/>
        <v>141.25620188343947</v>
      </c>
      <c r="E400" s="11">
        <f t="shared" si="8"/>
        <v>17855.541916169324</v>
      </c>
      <c r="F400" s="11">
        <f t="shared" si="13"/>
        <v>571.42857142857144</v>
      </c>
      <c r="G400" s="11">
        <f t="shared" si="9"/>
        <v>712.68477331201098</v>
      </c>
      <c r="H400" s="11">
        <f t="shared" si="10"/>
        <v>17142.857142857312</v>
      </c>
      <c r="I400" s="13"/>
      <c r="J400" s="13"/>
      <c r="K400" s="13"/>
      <c r="L400" s="13"/>
      <c r="M400" s="13"/>
      <c r="N400" s="13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75" customHeight="1">
      <c r="A401" s="37"/>
      <c r="B401" s="38">
        <f t="shared" si="11"/>
        <v>391</v>
      </c>
      <c r="C401" s="11">
        <f t="shared" si="12"/>
        <v>17142.857142857312</v>
      </c>
      <c r="D401" s="11">
        <f t="shared" si="7"/>
        <v>136.69955020978017</v>
      </c>
      <c r="E401" s="11">
        <f t="shared" si="8"/>
        <v>17279.556693067094</v>
      </c>
      <c r="F401" s="11">
        <f t="shared" si="13"/>
        <v>571.42857142857144</v>
      </c>
      <c r="G401" s="11">
        <f t="shared" si="9"/>
        <v>708.12812163835156</v>
      </c>
      <c r="H401" s="11">
        <f t="shared" si="10"/>
        <v>16571.428571428743</v>
      </c>
      <c r="I401" s="13"/>
      <c r="J401" s="13"/>
      <c r="K401" s="13"/>
      <c r="L401" s="13"/>
      <c r="M401" s="13"/>
      <c r="N401" s="13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75" customHeight="1">
      <c r="A402" s="37"/>
      <c r="B402" s="38">
        <f t="shared" si="11"/>
        <v>392</v>
      </c>
      <c r="C402" s="11">
        <f t="shared" si="12"/>
        <v>16571.428571428743</v>
      </c>
      <c r="D402" s="11">
        <f t="shared" si="7"/>
        <v>132.1428985361209</v>
      </c>
      <c r="E402" s="11">
        <f t="shared" si="8"/>
        <v>16703.571469964863</v>
      </c>
      <c r="F402" s="11">
        <f t="shared" si="13"/>
        <v>571.42857142857144</v>
      </c>
      <c r="G402" s="11">
        <f t="shared" si="9"/>
        <v>703.57146996469237</v>
      </c>
      <c r="H402" s="11">
        <f t="shared" si="10"/>
        <v>16000.000000000171</v>
      </c>
      <c r="I402" s="13"/>
      <c r="J402" s="13"/>
      <c r="K402" s="13"/>
      <c r="L402" s="13"/>
      <c r="M402" s="13"/>
      <c r="N402" s="13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75" customHeight="1">
      <c r="A403" s="37"/>
      <c r="B403" s="38">
        <f t="shared" si="11"/>
        <v>393</v>
      </c>
      <c r="C403" s="11">
        <f t="shared" si="12"/>
        <v>16000.000000000171</v>
      </c>
      <c r="D403" s="11">
        <f t="shared" si="7"/>
        <v>127.58624686246159</v>
      </c>
      <c r="E403" s="11">
        <f t="shared" si="8"/>
        <v>16127.586246862633</v>
      </c>
      <c r="F403" s="11">
        <f t="shared" si="13"/>
        <v>571.42857142857144</v>
      </c>
      <c r="G403" s="11">
        <f t="shared" si="9"/>
        <v>699.01481829103307</v>
      </c>
      <c r="H403" s="11">
        <f t="shared" si="10"/>
        <v>15428.5714285716</v>
      </c>
      <c r="I403" s="13"/>
      <c r="J403" s="13"/>
      <c r="K403" s="13"/>
      <c r="L403" s="13"/>
      <c r="M403" s="13"/>
      <c r="N403" s="13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75" customHeight="1">
      <c r="A404" s="37"/>
      <c r="B404" s="38">
        <f t="shared" si="11"/>
        <v>394</v>
      </c>
      <c r="C404" s="11">
        <f t="shared" si="12"/>
        <v>15428.5714285716</v>
      </c>
      <c r="D404" s="11">
        <f t="shared" si="7"/>
        <v>123.0295951888023</v>
      </c>
      <c r="E404" s="11">
        <f t="shared" si="8"/>
        <v>15551.601023760402</v>
      </c>
      <c r="F404" s="11">
        <f t="shared" si="13"/>
        <v>571.42857142857144</v>
      </c>
      <c r="G404" s="11">
        <f t="shared" si="9"/>
        <v>694.45816661737376</v>
      </c>
      <c r="H404" s="11">
        <f t="shared" si="10"/>
        <v>14857.142857143028</v>
      </c>
      <c r="I404" s="13"/>
      <c r="J404" s="13"/>
      <c r="K404" s="13"/>
      <c r="L404" s="13"/>
      <c r="M404" s="13"/>
      <c r="N404" s="13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75" customHeight="1">
      <c r="A405" s="37"/>
      <c r="B405" s="38">
        <f t="shared" si="11"/>
        <v>395</v>
      </c>
      <c r="C405" s="11">
        <f t="shared" si="12"/>
        <v>14857.142857143028</v>
      </c>
      <c r="D405" s="11">
        <f t="shared" si="7"/>
        <v>118.472943515143</v>
      </c>
      <c r="E405" s="11">
        <f t="shared" si="8"/>
        <v>14975.61580065817</v>
      </c>
      <c r="F405" s="11">
        <f t="shared" si="13"/>
        <v>571.42857142857144</v>
      </c>
      <c r="G405" s="11">
        <f t="shared" si="9"/>
        <v>689.90151494371446</v>
      </c>
      <c r="H405" s="11">
        <f t="shared" si="10"/>
        <v>14285.714285714455</v>
      </c>
      <c r="I405" s="13"/>
      <c r="J405" s="13"/>
      <c r="K405" s="13"/>
      <c r="L405" s="13"/>
      <c r="M405" s="13"/>
      <c r="N405" s="13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75" customHeight="1">
      <c r="A406" s="37"/>
      <c r="B406" s="38">
        <f t="shared" si="11"/>
        <v>396</v>
      </c>
      <c r="C406" s="11">
        <f t="shared" si="12"/>
        <v>14285.714285714455</v>
      </c>
      <c r="D406" s="11">
        <f t="shared" si="7"/>
        <v>113.9162918414837</v>
      </c>
      <c r="E406" s="11">
        <f t="shared" si="8"/>
        <v>14399.630577555939</v>
      </c>
      <c r="F406" s="11">
        <f t="shared" si="13"/>
        <v>571.42857142857144</v>
      </c>
      <c r="G406" s="11">
        <f t="shared" si="9"/>
        <v>685.34486327005516</v>
      </c>
      <c r="H406" s="11">
        <f t="shared" si="10"/>
        <v>13714.285714285885</v>
      </c>
      <c r="I406" s="13"/>
      <c r="J406" s="13"/>
      <c r="K406" s="13"/>
      <c r="L406" s="13"/>
      <c r="M406" s="13"/>
      <c r="N406" s="13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75" customHeight="1">
      <c r="A407" s="37"/>
      <c r="B407" s="38">
        <f t="shared" si="11"/>
        <v>397</v>
      </c>
      <c r="C407" s="11">
        <f t="shared" si="12"/>
        <v>13714.285714285885</v>
      </c>
      <c r="D407" s="11">
        <f t="shared" si="7"/>
        <v>109.35964016782441</v>
      </c>
      <c r="E407" s="11">
        <f t="shared" si="8"/>
        <v>13823.645354453709</v>
      </c>
      <c r="F407" s="11">
        <f t="shared" si="13"/>
        <v>571.42857142857144</v>
      </c>
      <c r="G407" s="11">
        <f t="shared" si="9"/>
        <v>680.78821159639585</v>
      </c>
      <c r="H407" s="11">
        <f t="shared" si="10"/>
        <v>13142.857142857312</v>
      </c>
      <c r="I407" s="13"/>
      <c r="J407" s="13"/>
      <c r="K407" s="13"/>
      <c r="L407" s="13"/>
      <c r="M407" s="13"/>
      <c r="N407" s="13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75" customHeight="1">
      <c r="A408" s="37"/>
      <c r="B408" s="38">
        <f t="shared" si="11"/>
        <v>398</v>
      </c>
      <c r="C408" s="11">
        <f t="shared" si="12"/>
        <v>13142.857142857312</v>
      </c>
      <c r="D408" s="11">
        <f t="shared" si="7"/>
        <v>104.80298849416511</v>
      </c>
      <c r="E408" s="11">
        <f t="shared" si="8"/>
        <v>13247.660131351477</v>
      </c>
      <c r="F408" s="11">
        <f t="shared" si="13"/>
        <v>571.42857142857144</v>
      </c>
      <c r="G408" s="11">
        <f t="shared" si="9"/>
        <v>676.23155992273655</v>
      </c>
      <c r="H408" s="11">
        <f t="shared" si="10"/>
        <v>12571.42857142874</v>
      </c>
      <c r="I408" s="13"/>
      <c r="J408" s="13"/>
      <c r="K408" s="13"/>
      <c r="L408" s="13"/>
      <c r="M408" s="13"/>
      <c r="N408" s="13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75" customHeight="1">
      <c r="A409" s="37"/>
      <c r="B409" s="38">
        <f t="shared" si="11"/>
        <v>399</v>
      </c>
      <c r="C409" s="11">
        <f t="shared" si="12"/>
        <v>12571.42857142874</v>
      </c>
      <c r="D409" s="11">
        <f t="shared" si="7"/>
        <v>100.2463368205058</v>
      </c>
      <c r="E409" s="11">
        <f t="shared" si="8"/>
        <v>12671.674908249246</v>
      </c>
      <c r="F409" s="11">
        <f t="shared" si="13"/>
        <v>571.42857142857144</v>
      </c>
      <c r="G409" s="11">
        <f t="shared" si="9"/>
        <v>671.67490824907725</v>
      </c>
      <c r="H409" s="11">
        <f t="shared" si="10"/>
        <v>12000.000000000169</v>
      </c>
      <c r="I409" s="13"/>
      <c r="J409" s="13"/>
      <c r="K409" s="13"/>
      <c r="L409" s="13"/>
      <c r="M409" s="13"/>
      <c r="N409" s="13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75" customHeight="1">
      <c r="A410" s="37"/>
      <c r="B410" s="38">
        <f t="shared" si="11"/>
        <v>400</v>
      </c>
      <c r="C410" s="11">
        <f t="shared" si="12"/>
        <v>12000.000000000169</v>
      </c>
      <c r="D410" s="11">
        <f t="shared" si="7"/>
        <v>95.689685146846514</v>
      </c>
      <c r="E410" s="11">
        <f t="shared" si="8"/>
        <v>12095.689685147016</v>
      </c>
      <c r="F410" s="11">
        <f t="shared" si="13"/>
        <v>571.42857142857144</v>
      </c>
      <c r="G410" s="11">
        <f t="shared" si="9"/>
        <v>667.11825657541794</v>
      </c>
      <c r="H410" s="11">
        <f t="shared" si="10"/>
        <v>11428.571428571599</v>
      </c>
      <c r="I410" s="13"/>
      <c r="J410" s="13"/>
      <c r="K410" s="13"/>
      <c r="L410" s="13"/>
      <c r="M410" s="13"/>
      <c r="N410" s="13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75" customHeight="1">
      <c r="A411" s="37"/>
      <c r="B411" s="38">
        <f t="shared" si="11"/>
        <v>401</v>
      </c>
      <c r="C411" s="11">
        <f t="shared" si="12"/>
        <v>11428.571428571599</v>
      </c>
      <c r="D411" s="11">
        <f t="shared" si="7"/>
        <v>91.13303347318724</v>
      </c>
      <c r="E411" s="11">
        <f t="shared" si="8"/>
        <v>11519.704462044785</v>
      </c>
      <c r="F411" s="11">
        <f t="shared" si="13"/>
        <v>571.42857142857144</v>
      </c>
      <c r="G411" s="11">
        <f t="shared" si="9"/>
        <v>662.56160490175864</v>
      </c>
      <c r="H411" s="11">
        <f t="shared" si="10"/>
        <v>10857.142857143026</v>
      </c>
      <c r="I411" s="13"/>
      <c r="J411" s="13"/>
      <c r="K411" s="13"/>
      <c r="L411" s="13"/>
      <c r="M411" s="13"/>
      <c r="N411" s="13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75" customHeight="1">
      <c r="A412" s="37"/>
      <c r="B412" s="38">
        <f t="shared" si="11"/>
        <v>402</v>
      </c>
      <c r="C412" s="11">
        <f t="shared" si="12"/>
        <v>10857.142857143026</v>
      </c>
      <c r="D412" s="11">
        <f t="shared" si="7"/>
        <v>86.576381799527937</v>
      </c>
      <c r="E412" s="11">
        <f t="shared" si="8"/>
        <v>10943.719238942555</v>
      </c>
      <c r="F412" s="11">
        <f t="shared" si="13"/>
        <v>571.42857142857144</v>
      </c>
      <c r="G412" s="11">
        <f t="shared" si="9"/>
        <v>658.00495322809934</v>
      </c>
      <c r="H412" s="11">
        <f t="shared" si="10"/>
        <v>10285.714285714455</v>
      </c>
      <c r="I412" s="13"/>
      <c r="J412" s="13"/>
      <c r="K412" s="13"/>
      <c r="L412" s="13"/>
      <c r="M412" s="13"/>
      <c r="N412" s="13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75" customHeight="1">
      <c r="A413" s="37"/>
      <c r="B413" s="38">
        <f t="shared" si="11"/>
        <v>403</v>
      </c>
      <c r="C413" s="11">
        <f t="shared" si="12"/>
        <v>10285.714285714455</v>
      </c>
      <c r="D413" s="11">
        <f t="shared" si="7"/>
        <v>82.019730125868648</v>
      </c>
      <c r="E413" s="11">
        <f t="shared" si="8"/>
        <v>10367.734015840324</v>
      </c>
      <c r="F413" s="11">
        <f t="shared" si="13"/>
        <v>571.42857142857144</v>
      </c>
      <c r="G413" s="11">
        <f t="shared" si="9"/>
        <v>653.44830155444015</v>
      </c>
      <c r="H413" s="11">
        <f t="shared" si="10"/>
        <v>9714.2857142858848</v>
      </c>
      <c r="I413" s="13"/>
      <c r="J413" s="13"/>
      <c r="K413" s="13"/>
      <c r="L413" s="13"/>
      <c r="M413" s="13"/>
      <c r="N413" s="13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75" customHeight="1">
      <c r="A414" s="37"/>
      <c r="B414" s="38">
        <f t="shared" si="11"/>
        <v>404</v>
      </c>
      <c r="C414" s="11">
        <f t="shared" si="12"/>
        <v>9714.2857142858848</v>
      </c>
      <c r="D414" s="11">
        <f t="shared" si="7"/>
        <v>77.463078452209359</v>
      </c>
      <c r="E414" s="11">
        <f t="shared" si="8"/>
        <v>9791.7487927380935</v>
      </c>
      <c r="F414" s="11">
        <f t="shared" si="13"/>
        <v>571.42857142857144</v>
      </c>
      <c r="G414" s="11">
        <f t="shared" si="9"/>
        <v>648.89164988078085</v>
      </c>
      <c r="H414" s="11">
        <f t="shared" si="10"/>
        <v>9142.8571428573123</v>
      </c>
      <c r="I414" s="13"/>
      <c r="J414" s="13"/>
      <c r="K414" s="13"/>
      <c r="L414" s="13"/>
      <c r="M414" s="13"/>
      <c r="N414" s="13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75" customHeight="1">
      <c r="A415" s="37"/>
      <c r="B415" s="38">
        <f t="shared" si="11"/>
        <v>405</v>
      </c>
      <c r="C415" s="11">
        <f t="shared" si="12"/>
        <v>9142.8571428573123</v>
      </c>
      <c r="D415" s="11">
        <f t="shared" si="7"/>
        <v>72.906426778550056</v>
      </c>
      <c r="E415" s="11">
        <f t="shared" si="8"/>
        <v>9215.763569635863</v>
      </c>
      <c r="F415" s="11">
        <f t="shared" si="13"/>
        <v>571.42857142857144</v>
      </c>
      <c r="G415" s="11">
        <f t="shared" si="9"/>
        <v>644.33499820712154</v>
      </c>
      <c r="H415" s="11">
        <f t="shared" si="10"/>
        <v>8571.4285714287416</v>
      </c>
      <c r="I415" s="13"/>
      <c r="J415" s="13"/>
      <c r="K415" s="13"/>
      <c r="L415" s="13"/>
      <c r="M415" s="13"/>
      <c r="N415" s="13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75" customHeight="1">
      <c r="A416" s="37"/>
      <c r="B416" s="38">
        <f t="shared" si="11"/>
        <v>406</v>
      </c>
      <c r="C416" s="11">
        <f t="shared" si="12"/>
        <v>8571.4285714287416</v>
      </c>
      <c r="D416" s="11">
        <f t="shared" si="7"/>
        <v>68.349775104890767</v>
      </c>
      <c r="E416" s="11">
        <f t="shared" si="8"/>
        <v>8639.7783465336324</v>
      </c>
      <c r="F416" s="11">
        <f t="shared" si="13"/>
        <v>571.42857142857144</v>
      </c>
      <c r="G416" s="11">
        <f t="shared" si="9"/>
        <v>639.77834653346224</v>
      </c>
      <c r="H416" s="11">
        <f t="shared" si="10"/>
        <v>8000.0000000001701</v>
      </c>
      <c r="I416" s="13"/>
      <c r="J416" s="13"/>
      <c r="K416" s="13"/>
      <c r="L416" s="13"/>
      <c r="M416" s="13"/>
      <c r="N416" s="13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75" customHeight="1">
      <c r="A417" s="37"/>
      <c r="B417" s="38">
        <f t="shared" si="11"/>
        <v>407</v>
      </c>
      <c r="C417" s="11">
        <f t="shared" si="12"/>
        <v>8000.0000000001701</v>
      </c>
      <c r="D417" s="11">
        <f t="shared" si="7"/>
        <v>63.793123431231471</v>
      </c>
      <c r="E417" s="11">
        <f t="shared" si="8"/>
        <v>8063.7931234314019</v>
      </c>
      <c r="F417" s="11">
        <f t="shared" si="13"/>
        <v>571.42857142857144</v>
      </c>
      <c r="G417" s="11">
        <f t="shared" si="9"/>
        <v>635.22169485980294</v>
      </c>
      <c r="H417" s="11">
        <f t="shared" si="10"/>
        <v>7428.5714285715985</v>
      </c>
      <c r="I417" s="13"/>
      <c r="J417" s="13"/>
      <c r="K417" s="13"/>
      <c r="L417" s="13"/>
      <c r="M417" s="13"/>
      <c r="N417" s="13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75" customHeight="1">
      <c r="A418" s="37"/>
      <c r="B418" s="38">
        <f t="shared" si="11"/>
        <v>408</v>
      </c>
      <c r="C418" s="11">
        <f t="shared" si="12"/>
        <v>7428.5714285715985</v>
      </c>
      <c r="D418" s="11">
        <f t="shared" si="7"/>
        <v>59.236471757572176</v>
      </c>
      <c r="E418" s="11">
        <f t="shared" si="8"/>
        <v>7487.8079003291705</v>
      </c>
      <c r="F418" s="11">
        <f t="shared" si="13"/>
        <v>571.42857142857144</v>
      </c>
      <c r="G418" s="11">
        <f t="shared" si="9"/>
        <v>630.66504318614363</v>
      </c>
      <c r="H418" s="11">
        <f t="shared" si="10"/>
        <v>6857.142857143027</v>
      </c>
      <c r="I418" s="13"/>
      <c r="J418" s="13"/>
      <c r="K418" s="13"/>
      <c r="L418" s="13"/>
      <c r="M418" s="13"/>
      <c r="N418" s="13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75" customHeight="1">
      <c r="A419" s="37"/>
      <c r="B419" s="38">
        <f t="shared" si="11"/>
        <v>409</v>
      </c>
      <c r="C419" s="11">
        <f t="shared" si="12"/>
        <v>6857.142857143027</v>
      </c>
      <c r="D419" s="11">
        <f t="shared" si="7"/>
        <v>54.67982008391288</v>
      </c>
      <c r="E419" s="11">
        <f t="shared" si="8"/>
        <v>6911.82267722694</v>
      </c>
      <c r="F419" s="11">
        <f t="shared" si="13"/>
        <v>571.42857142857144</v>
      </c>
      <c r="G419" s="11">
        <f t="shared" si="9"/>
        <v>626.10839151248433</v>
      </c>
      <c r="H419" s="11">
        <f t="shared" si="10"/>
        <v>6285.7142857144554</v>
      </c>
      <c r="I419" s="13"/>
      <c r="J419" s="13"/>
      <c r="K419" s="13"/>
      <c r="L419" s="13"/>
      <c r="M419" s="13"/>
      <c r="N419" s="13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75" customHeight="1">
      <c r="A420" s="37"/>
      <c r="B420" s="38">
        <f t="shared" si="11"/>
        <v>410</v>
      </c>
      <c r="C420" s="11">
        <f t="shared" si="12"/>
        <v>6285.7142857144554</v>
      </c>
      <c r="D420" s="11">
        <f t="shared" si="7"/>
        <v>50.123168410253584</v>
      </c>
      <c r="E420" s="11">
        <f t="shared" si="8"/>
        <v>6335.8374541247085</v>
      </c>
      <c r="F420" s="11">
        <f t="shared" si="13"/>
        <v>571.42857142857144</v>
      </c>
      <c r="G420" s="11">
        <f t="shared" si="9"/>
        <v>621.55173983882503</v>
      </c>
      <c r="H420" s="11">
        <f t="shared" si="10"/>
        <v>5714.2857142858838</v>
      </c>
      <c r="I420" s="13"/>
      <c r="J420" s="13"/>
      <c r="K420" s="13"/>
      <c r="L420" s="13"/>
      <c r="M420" s="13"/>
      <c r="N420" s="13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75" customHeight="1">
      <c r="A421" s="37"/>
      <c r="B421" s="38">
        <f t="shared" si="11"/>
        <v>411</v>
      </c>
      <c r="C421" s="11">
        <f t="shared" si="12"/>
        <v>5714.2857142858838</v>
      </c>
      <c r="D421" s="11">
        <f t="shared" si="7"/>
        <v>45.566516736594288</v>
      </c>
      <c r="E421" s="11">
        <f t="shared" si="8"/>
        <v>5759.852231022478</v>
      </c>
      <c r="F421" s="11">
        <f t="shared" si="13"/>
        <v>571.42857142857144</v>
      </c>
      <c r="G421" s="11">
        <f t="shared" si="9"/>
        <v>616.99508816516573</v>
      </c>
      <c r="H421" s="11">
        <f t="shared" si="10"/>
        <v>5142.8571428573123</v>
      </c>
      <c r="I421" s="13"/>
      <c r="J421" s="13"/>
      <c r="K421" s="13"/>
      <c r="L421" s="13"/>
      <c r="M421" s="13"/>
      <c r="N421" s="13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75" customHeight="1">
      <c r="A422" s="37"/>
      <c r="B422" s="38">
        <f t="shared" si="11"/>
        <v>412</v>
      </c>
      <c r="C422" s="11">
        <f t="shared" si="12"/>
        <v>5142.8571428573123</v>
      </c>
      <c r="D422" s="11">
        <f t="shared" si="7"/>
        <v>41.009865062934999</v>
      </c>
      <c r="E422" s="11">
        <f t="shared" si="8"/>
        <v>5183.8670079202475</v>
      </c>
      <c r="F422" s="11">
        <f t="shared" si="13"/>
        <v>571.42857142857144</v>
      </c>
      <c r="G422" s="11">
        <f t="shared" si="9"/>
        <v>612.43843649150642</v>
      </c>
      <c r="H422" s="11">
        <f t="shared" si="10"/>
        <v>4571.4285714287407</v>
      </c>
      <c r="I422" s="13"/>
      <c r="J422" s="13"/>
      <c r="K422" s="13"/>
      <c r="L422" s="13"/>
      <c r="M422" s="13"/>
      <c r="N422" s="13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75" customHeight="1">
      <c r="A423" s="37"/>
      <c r="B423" s="38">
        <f t="shared" si="11"/>
        <v>413</v>
      </c>
      <c r="C423" s="11">
        <f t="shared" si="12"/>
        <v>4571.4285714287407</v>
      </c>
      <c r="D423" s="11">
        <f t="shared" si="7"/>
        <v>36.453213389275703</v>
      </c>
      <c r="E423" s="11">
        <f t="shared" si="8"/>
        <v>4607.8817848180161</v>
      </c>
      <c r="F423" s="11">
        <f t="shared" si="13"/>
        <v>571.42857142857144</v>
      </c>
      <c r="G423" s="11">
        <f t="shared" si="9"/>
        <v>607.88178481784712</v>
      </c>
      <c r="H423" s="11">
        <f t="shared" si="10"/>
        <v>4000.0000000001692</v>
      </c>
      <c r="I423" s="13"/>
      <c r="J423" s="13"/>
      <c r="K423" s="13"/>
      <c r="L423" s="13"/>
      <c r="M423" s="13"/>
      <c r="N423" s="13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75" customHeight="1">
      <c r="A424" s="37"/>
      <c r="B424" s="38">
        <f t="shared" si="11"/>
        <v>414</v>
      </c>
      <c r="C424" s="11">
        <f t="shared" si="12"/>
        <v>4000.0000000001692</v>
      </c>
      <c r="D424" s="11">
        <f t="shared" si="7"/>
        <v>31.896561715616407</v>
      </c>
      <c r="E424" s="11">
        <f t="shared" si="8"/>
        <v>4031.8965617157855</v>
      </c>
      <c r="F424" s="11">
        <f t="shared" si="13"/>
        <v>571.42857142857144</v>
      </c>
      <c r="G424" s="11">
        <f t="shared" si="9"/>
        <v>603.32513314418782</v>
      </c>
      <c r="H424" s="11">
        <f t="shared" si="10"/>
        <v>3428.5714285715976</v>
      </c>
      <c r="I424" s="13"/>
      <c r="J424" s="13"/>
      <c r="K424" s="13"/>
      <c r="L424" s="13"/>
      <c r="M424" s="13"/>
      <c r="N424" s="13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75" customHeight="1">
      <c r="A425" s="37"/>
      <c r="B425" s="38">
        <f t="shared" si="11"/>
        <v>415</v>
      </c>
      <c r="C425" s="11">
        <f t="shared" si="12"/>
        <v>3428.5714285715976</v>
      </c>
      <c r="D425" s="11">
        <f t="shared" si="7"/>
        <v>27.339910041957111</v>
      </c>
      <c r="E425" s="11">
        <f t="shared" si="8"/>
        <v>3455.9113386135546</v>
      </c>
      <c r="F425" s="11">
        <f t="shared" si="13"/>
        <v>571.42857142857144</v>
      </c>
      <c r="G425" s="11">
        <f t="shared" si="9"/>
        <v>598.76848147052851</v>
      </c>
      <c r="H425" s="11">
        <f t="shared" si="10"/>
        <v>2857.142857143026</v>
      </c>
      <c r="I425" s="13"/>
      <c r="J425" s="13"/>
      <c r="K425" s="13"/>
      <c r="L425" s="13"/>
      <c r="M425" s="13"/>
      <c r="N425" s="13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75" customHeight="1">
      <c r="A426" s="37"/>
      <c r="B426" s="38">
        <f t="shared" si="11"/>
        <v>416</v>
      </c>
      <c r="C426" s="11">
        <f t="shared" si="12"/>
        <v>2857.142857143026</v>
      </c>
      <c r="D426" s="11">
        <f t="shared" si="7"/>
        <v>22.783258368297815</v>
      </c>
      <c r="E426" s="11">
        <f t="shared" si="8"/>
        <v>2879.926115511324</v>
      </c>
      <c r="F426" s="11">
        <f t="shared" si="13"/>
        <v>571.42857142857144</v>
      </c>
      <c r="G426" s="11">
        <f t="shared" si="9"/>
        <v>594.21182979686921</v>
      </c>
      <c r="H426" s="11">
        <f t="shared" si="10"/>
        <v>2285.7142857144549</v>
      </c>
      <c r="I426" s="13"/>
      <c r="J426" s="13"/>
      <c r="K426" s="13"/>
      <c r="L426" s="13"/>
      <c r="M426" s="13"/>
      <c r="N426" s="13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75" customHeight="1">
      <c r="A427" s="37"/>
      <c r="B427" s="38">
        <f t="shared" si="11"/>
        <v>417</v>
      </c>
      <c r="C427" s="11">
        <f t="shared" si="12"/>
        <v>2285.7142857144549</v>
      </c>
      <c r="D427" s="11">
        <f t="shared" si="7"/>
        <v>18.226606694638527</v>
      </c>
      <c r="E427" s="11">
        <f t="shared" si="8"/>
        <v>2303.9408924090935</v>
      </c>
      <c r="F427" s="11">
        <f t="shared" si="13"/>
        <v>571.42857142857144</v>
      </c>
      <c r="G427" s="11">
        <f t="shared" si="9"/>
        <v>589.65517812321002</v>
      </c>
      <c r="H427" s="11">
        <f t="shared" si="10"/>
        <v>1714.2857142858834</v>
      </c>
      <c r="I427" s="13"/>
      <c r="J427" s="13"/>
      <c r="K427" s="13"/>
      <c r="L427" s="13"/>
      <c r="M427" s="13"/>
      <c r="N427" s="13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75" customHeight="1">
      <c r="A428" s="37"/>
      <c r="B428" s="38">
        <f t="shared" si="11"/>
        <v>418</v>
      </c>
      <c r="C428" s="11">
        <f t="shared" si="12"/>
        <v>1714.2857142858834</v>
      </c>
      <c r="D428" s="11">
        <f t="shared" si="7"/>
        <v>13.669955020979231</v>
      </c>
      <c r="E428" s="11">
        <f t="shared" si="8"/>
        <v>1727.9556693068625</v>
      </c>
      <c r="F428" s="11">
        <f t="shared" si="13"/>
        <v>571.42857142857144</v>
      </c>
      <c r="G428" s="11">
        <f t="shared" si="9"/>
        <v>585.09852644955072</v>
      </c>
      <c r="H428" s="11">
        <f t="shared" si="10"/>
        <v>1142.8571428573118</v>
      </c>
      <c r="I428" s="13"/>
      <c r="J428" s="13"/>
      <c r="K428" s="13"/>
      <c r="L428" s="13"/>
      <c r="M428" s="13"/>
      <c r="N428" s="13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75" customHeight="1">
      <c r="A429" s="37"/>
      <c r="B429" s="38">
        <f t="shared" si="11"/>
        <v>419</v>
      </c>
      <c r="C429" s="11">
        <f t="shared" si="12"/>
        <v>1142.8571428573118</v>
      </c>
      <c r="D429" s="11">
        <f t="shared" si="7"/>
        <v>9.1133033473199347</v>
      </c>
      <c r="E429" s="11">
        <f t="shared" si="8"/>
        <v>1151.9704462046318</v>
      </c>
      <c r="F429" s="11">
        <f t="shared" si="13"/>
        <v>571.42857142857144</v>
      </c>
      <c r="G429" s="11">
        <f t="shared" si="9"/>
        <v>580.54187477589142</v>
      </c>
      <c r="H429" s="11">
        <f t="shared" si="10"/>
        <v>571.42857142874038</v>
      </c>
      <c r="I429" s="13"/>
      <c r="J429" s="13"/>
      <c r="K429" s="13"/>
      <c r="L429" s="13"/>
      <c r="M429" s="13"/>
      <c r="N429" s="13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75" customHeight="1">
      <c r="A430" s="37"/>
      <c r="B430" s="38">
        <f t="shared" si="11"/>
        <v>420</v>
      </c>
      <c r="C430" s="11">
        <f t="shared" si="12"/>
        <v>571.42857142874038</v>
      </c>
      <c r="D430" s="11">
        <f t="shared" si="7"/>
        <v>4.5566516736606415</v>
      </c>
      <c r="E430" s="11">
        <f t="shared" si="8"/>
        <v>575.98522310240105</v>
      </c>
      <c r="F430" s="11">
        <f t="shared" si="13"/>
        <v>571.42857142857144</v>
      </c>
      <c r="G430" s="11">
        <f t="shared" si="9"/>
        <v>575.98522310223211</v>
      </c>
      <c r="H430" s="11">
        <f t="shared" si="10"/>
        <v>1.6893864085432142E-10</v>
      </c>
      <c r="I430" s="13"/>
      <c r="J430" s="13"/>
      <c r="K430" s="13"/>
      <c r="L430" s="13"/>
      <c r="M430" s="13"/>
      <c r="N430" s="13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75" customHeight="1">
      <c r="A431" s="259"/>
      <c r="B431" s="260"/>
      <c r="C431" s="260"/>
      <c r="D431" s="39">
        <f>SUM(D11:D430)</f>
        <v>402853.57446821866</v>
      </c>
      <c r="E431" s="260"/>
      <c r="F431" s="39">
        <f t="shared" ref="F431:G431" si="14">SUM(F11:F430)</f>
        <v>240000.00000000093</v>
      </c>
      <c r="G431" s="39">
        <f t="shared" si="14"/>
        <v>642853.57446821884</v>
      </c>
      <c r="H431" s="260"/>
      <c r="I431" s="260"/>
      <c r="J431" s="260"/>
      <c r="K431" s="260"/>
      <c r="L431" s="260"/>
      <c r="M431" s="260"/>
      <c r="N431" s="260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</row>
    <row r="432" spans="1:25" ht="15.75" customHeight="1">
      <c r="A432" s="40"/>
      <c r="B432" s="258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41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</row>
    <row r="433" spans="1:25" ht="15.75" customHeight="1">
      <c r="A433" s="40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41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</row>
    <row r="434" spans="1:25" ht="15.75" customHeight="1">
      <c r="A434" s="40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41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</row>
    <row r="435" spans="1:25" ht="15.75" customHeight="1">
      <c r="A435" s="40"/>
      <c r="B435" s="258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41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</row>
    <row r="436" spans="1:25" ht="15.75" customHeight="1">
      <c r="A436" s="40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41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</row>
    <row r="437" spans="1:25" ht="15.75" customHeight="1">
      <c r="A437" s="40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41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</row>
    <row r="438" spans="1:25" ht="15.75" customHeight="1">
      <c r="A438" s="40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41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</row>
    <row r="439" spans="1:25" ht="15.75" customHeight="1">
      <c r="A439" s="40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41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</row>
    <row r="440" spans="1:25" ht="15.75" customHeight="1">
      <c r="A440" s="40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41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</row>
    <row r="441" spans="1:25" ht="15.75" customHeight="1">
      <c r="A441" s="40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41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</row>
    <row r="442" spans="1:25" ht="15.75" customHeight="1">
      <c r="A442" s="40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41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</row>
    <row r="443" spans="1:25" ht="15.75" customHeight="1">
      <c r="A443" s="40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41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</row>
    <row r="444" spans="1:25" ht="15.75" customHeight="1">
      <c r="A444" s="40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41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</row>
    <row r="445" spans="1:25" ht="15.75" customHeight="1">
      <c r="A445" s="40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41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</row>
    <row r="446" spans="1:25" ht="15.75" customHeight="1">
      <c r="A446" s="40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41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</row>
    <row r="447" spans="1:25" ht="15.75" customHeight="1">
      <c r="A447" s="40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41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</row>
    <row r="448" spans="1:25" ht="15.75" customHeight="1">
      <c r="A448" s="40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41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</row>
    <row r="449" spans="1:25" ht="15.75" customHeight="1">
      <c r="A449" s="40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41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</row>
    <row r="450" spans="1:25" ht="15.75" customHeight="1">
      <c r="A450" s="40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41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</row>
    <row r="451" spans="1:25" ht="15.75" customHeight="1">
      <c r="A451" s="40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41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</row>
    <row r="452" spans="1:25" ht="15.75" customHeight="1">
      <c r="A452" s="40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41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</row>
    <row r="453" spans="1:25" ht="15.75" customHeight="1">
      <c r="A453" s="40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41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</row>
    <row r="454" spans="1:25" ht="15.75" customHeight="1">
      <c r="A454" s="40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41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</row>
    <row r="455" spans="1:25" ht="15.75" customHeight="1">
      <c r="A455" s="40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41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</row>
    <row r="456" spans="1:25" ht="15.75" customHeight="1">
      <c r="A456" s="40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41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</row>
    <row r="457" spans="1:25" ht="15.75" customHeight="1">
      <c r="A457" s="40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41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</row>
    <row r="458" spans="1:25" ht="15.75" customHeight="1">
      <c r="A458" s="40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41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</row>
    <row r="459" spans="1:25" ht="15.75" customHeight="1">
      <c r="A459" s="40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41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</row>
    <row r="460" spans="1:25" ht="15.75" customHeight="1">
      <c r="A460" s="40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41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</row>
    <row r="461" spans="1:25" ht="15.75" customHeight="1">
      <c r="A461" s="40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41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</row>
    <row r="462" spans="1:25" ht="15.75" customHeight="1">
      <c r="A462" s="40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41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</row>
    <row r="463" spans="1:25" ht="15.75" customHeight="1">
      <c r="A463" s="40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41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</row>
    <row r="464" spans="1:25" ht="15.75" customHeight="1">
      <c r="A464" s="40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41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</row>
    <row r="465" spans="1:25" ht="15.75" customHeight="1">
      <c r="A465" s="40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41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</row>
    <row r="466" spans="1:25" ht="15.75" customHeight="1">
      <c r="A466" s="40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41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</row>
    <row r="467" spans="1:25" ht="15.75" customHeight="1">
      <c r="A467" s="40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41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</row>
    <row r="468" spans="1:25" ht="15.75" customHeight="1">
      <c r="A468" s="40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41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</row>
    <row r="469" spans="1:25" ht="15.75" customHeight="1">
      <c r="A469" s="40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41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</row>
    <row r="470" spans="1:25" ht="15.75" customHeight="1">
      <c r="A470" s="40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41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</row>
    <row r="471" spans="1:25" ht="15.75" customHeight="1">
      <c r="A471" s="40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41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</row>
    <row r="472" spans="1:25" ht="15.75" customHeight="1">
      <c r="A472" s="40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41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</row>
    <row r="473" spans="1:25" ht="15.75" customHeight="1">
      <c r="A473" s="40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41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</row>
    <row r="474" spans="1:25" ht="15.75" customHeight="1">
      <c r="A474" s="40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41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</row>
    <row r="475" spans="1:25" ht="15.75" customHeight="1">
      <c r="A475" s="40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41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</row>
    <row r="476" spans="1:25" ht="15.75" customHeight="1">
      <c r="A476" s="40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41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</row>
    <row r="477" spans="1:25" ht="15.75" customHeight="1">
      <c r="A477" s="40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41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</row>
    <row r="478" spans="1:25" ht="15.75" customHeight="1">
      <c r="A478" s="40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41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</row>
    <row r="479" spans="1:25" ht="15.75" customHeight="1">
      <c r="A479" s="40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41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</row>
    <row r="480" spans="1:25" ht="15.75" customHeight="1">
      <c r="A480" s="40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41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</row>
    <row r="481" spans="1:25" ht="15.75" customHeight="1">
      <c r="A481" s="40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41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</row>
    <row r="482" spans="1:25" ht="15.75" customHeight="1">
      <c r="A482" s="40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41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</row>
    <row r="483" spans="1:25" ht="15.75" customHeight="1">
      <c r="A483" s="40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41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</row>
    <row r="484" spans="1:25" ht="15.75" customHeight="1">
      <c r="A484" s="40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41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</row>
    <row r="485" spans="1:25" ht="15.75" customHeight="1">
      <c r="A485" s="40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41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</row>
    <row r="486" spans="1:25" ht="15.75" customHeight="1">
      <c r="A486" s="40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41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</row>
    <row r="487" spans="1:25" ht="15.75" customHeight="1">
      <c r="A487" s="40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41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</row>
    <row r="488" spans="1:25" ht="15.75" customHeight="1">
      <c r="A488" s="40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41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</row>
    <row r="489" spans="1:25" ht="15.75" customHeight="1">
      <c r="A489" s="40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41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</row>
    <row r="490" spans="1:25" ht="15.75" customHeight="1">
      <c r="A490" s="40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41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</row>
    <row r="491" spans="1:25" ht="15.75" customHeight="1">
      <c r="A491" s="40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41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</row>
    <row r="492" spans="1:25" ht="15.75" customHeight="1">
      <c r="A492" s="40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41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</row>
    <row r="493" spans="1:25" ht="15.75" customHeight="1">
      <c r="A493" s="40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41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</row>
    <row r="494" spans="1:25" ht="15.75" customHeight="1">
      <c r="A494" s="40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41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</row>
    <row r="495" spans="1:25" ht="15.75" customHeight="1">
      <c r="A495" s="40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41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</row>
    <row r="496" spans="1:25" ht="15.75" customHeight="1">
      <c r="A496" s="40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41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</row>
    <row r="497" spans="1:25" ht="15.75" customHeight="1">
      <c r="A497" s="40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41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</row>
    <row r="498" spans="1:25" ht="15.75" customHeight="1">
      <c r="A498" s="40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41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</row>
    <row r="499" spans="1:25" ht="15.75" customHeight="1">
      <c r="A499" s="40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41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</row>
    <row r="500" spans="1:25" ht="15.75" customHeight="1">
      <c r="A500" s="40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41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</row>
    <row r="501" spans="1:25" ht="15.75" customHeight="1">
      <c r="A501" s="40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41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</row>
    <row r="502" spans="1:25" ht="15.75" customHeight="1">
      <c r="A502" s="40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41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</row>
    <row r="503" spans="1:25" ht="15.75" customHeight="1">
      <c r="A503" s="4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43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5.75" customHeight="1">
      <c r="A504" s="4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43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5.75" customHeight="1">
      <c r="A505" s="4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43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5.75" customHeight="1">
      <c r="A506" s="4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43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5.75" customHeight="1">
      <c r="A507" s="4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43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5.75" customHeight="1">
      <c r="A508" s="4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43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5.75" customHeight="1">
      <c r="A509" s="4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43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5.75" customHeight="1">
      <c r="A510" s="4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43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5.75" customHeight="1">
      <c r="A511" s="4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43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5.75" customHeight="1">
      <c r="A512" s="4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43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5.75" customHeight="1">
      <c r="A513" s="4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43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5.75" customHeight="1">
      <c r="A514" s="4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43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5.75" customHeight="1">
      <c r="A515" s="4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43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5.75" customHeight="1">
      <c r="A516" s="4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43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5.75" customHeight="1">
      <c r="A517" s="4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43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5.75" customHeight="1">
      <c r="A518" s="4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43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5.75" customHeight="1">
      <c r="A519" s="4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43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5.75" customHeight="1">
      <c r="A520" s="4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43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5.75" customHeight="1">
      <c r="A521" s="4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43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5.75" customHeight="1">
      <c r="A522" s="4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43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5.75" customHeight="1">
      <c r="A523" s="4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43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5.75" customHeight="1">
      <c r="A524" s="4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43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5.75" customHeight="1">
      <c r="A525" s="4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43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5.75" customHeight="1">
      <c r="A526" s="4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43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5.75" customHeight="1">
      <c r="A527" s="4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43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5.75" customHeight="1">
      <c r="A528" s="4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43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5.75" customHeight="1">
      <c r="A529" s="4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43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5.75" customHeight="1">
      <c r="A530" s="4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43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5.75" customHeight="1">
      <c r="A531" s="4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43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5.75" customHeight="1">
      <c r="A532" s="4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43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5.75" customHeight="1">
      <c r="A533" s="4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43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5.75" customHeight="1">
      <c r="A534" s="4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43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5.75" customHeight="1">
      <c r="A535" s="4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43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5.75" customHeight="1">
      <c r="A536" s="4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43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5.75" customHeight="1">
      <c r="A537" s="4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43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5.75" customHeight="1">
      <c r="A538" s="4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43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5.75" customHeight="1">
      <c r="A539" s="4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43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5.75" customHeight="1">
      <c r="A540" s="4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43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5.75" customHeight="1">
      <c r="A541" s="4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43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5.75" customHeight="1">
      <c r="A542" s="4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43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5.75" customHeight="1">
      <c r="A543" s="4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43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5.75" customHeight="1">
      <c r="A544" s="4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43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5.75" customHeight="1">
      <c r="A545" s="4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43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5.75" customHeight="1">
      <c r="A546" s="4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43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5.75" customHeight="1">
      <c r="A547" s="4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43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5.75" customHeight="1">
      <c r="A548" s="4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43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5.75" customHeight="1">
      <c r="A549" s="4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43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5.75" customHeight="1">
      <c r="A550" s="4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43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5.75" customHeight="1">
      <c r="A551" s="4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43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5.75" customHeight="1">
      <c r="A552" s="4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43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5.75" customHeight="1">
      <c r="A553" s="4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43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5.75" customHeight="1">
      <c r="A554" s="4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43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5.75" customHeight="1">
      <c r="A555" s="4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43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5.75" customHeight="1">
      <c r="A556" s="4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43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5.75" customHeight="1">
      <c r="A557" s="4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43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5.75" customHeight="1">
      <c r="A558" s="4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43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5.75" customHeight="1">
      <c r="A559" s="4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43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5.75" customHeight="1">
      <c r="A560" s="4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43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5.75" customHeight="1">
      <c r="A561" s="4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43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5.75" customHeight="1">
      <c r="A562" s="4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43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5.75" customHeight="1">
      <c r="A563" s="4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43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5.75" customHeight="1">
      <c r="A564" s="4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43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5.75" customHeight="1">
      <c r="A565" s="4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43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5.75" customHeight="1">
      <c r="A566" s="4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43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5.75" customHeight="1">
      <c r="A567" s="4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43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5.75" customHeight="1">
      <c r="A568" s="4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43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5.75" customHeight="1">
      <c r="A569" s="4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43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5.75" customHeight="1">
      <c r="A570" s="4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43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5.75" customHeight="1">
      <c r="A571" s="4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43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5.75" customHeight="1">
      <c r="A572" s="4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43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5.75" customHeight="1">
      <c r="A573" s="4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43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5.75" customHeight="1">
      <c r="A574" s="4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43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5.75" customHeight="1">
      <c r="A575" s="4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43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5.75" customHeight="1">
      <c r="A576" s="4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43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5.75" customHeight="1">
      <c r="A577" s="4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43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5.75" customHeight="1">
      <c r="A578" s="4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43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5.75" customHeight="1">
      <c r="A579" s="4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43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5.75" customHeight="1">
      <c r="A580" s="4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43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5.75" customHeight="1">
      <c r="A581" s="4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43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5.75" customHeight="1">
      <c r="A582" s="4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43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5.75" customHeight="1">
      <c r="A583" s="4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43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5.75" customHeight="1">
      <c r="A584" s="4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43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5.75" customHeight="1">
      <c r="A585" s="4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43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5.75" customHeight="1">
      <c r="A586" s="4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43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5.75" customHeight="1">
      <c r="A587" s="4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43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5.75" customHeight="1">
      <c r="A588" s="4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43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5.75" customHeight="1">
      <c r="A589" s="4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43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5.75" customHeight="1">
      <c r="A590" s="4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43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5.75" customHeight="1">
      <c r="A591" s="4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43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5.75" customHeight="1">
      <c r="A592" s="4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43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5.75" customHeight="1">
      <c r="A593" s="4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43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5.75" customHeight="1">
      <c r="A594" s="4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43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5.75" customHeight="1">
      <c r="A595" s="4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43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5.75" customHeight="1">
      <c r="A596" s="4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43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5.75" customHeight="1">
      <c r="A597" s="4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43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5.75" customHeight="1">
      <c r="A598" s="4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43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5.75" customHeight="1">
      <c r="A599" s="4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43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5.75" customHeight="1">
      <c r="A600" s="4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43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5.75" customHeight="1">
      <c r="A601" s="4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43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5.75" customHeight="1">
      <c r="A602" s="4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43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5.75" customHeight="1">
      <c r="A603" s="4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43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5.75" customHeight="1">
      <c r="A604" s="4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43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5.75" customHeight="1">
      <c r="A605" s="4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43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5.75" customHeight="1">
      <c r="A606" s="4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43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5.75" customHeight="1">
      <c r="A607" s="4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43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5.75" customHeight="1">
      <c r="A608" s="4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43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5.75" customHeight="1">
      <c r="A609" s="4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43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5.75" customHeight="1">
      <c r="A610" s="4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43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5.75" customHeight="1">
      <c r="A611" s="4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43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5.75" customHeight="1">
      <c r="A612" s="4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43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5.75" customHeight="1">
      <c r="A613" s="4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43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5.75" customHeight="1">
      <c r="A614" s="4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43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5.75" customHeight="1">
      <c r="A615" s="4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43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5.75" customHeight="1">
      <c r="A616" s="4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43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5.75" customHeight="1">
      <c r="A617" s="4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43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5.75" customHeight="1">
      <c r="A618" s="4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43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5.75" customHeight="1">
      <c r="A619" s="4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43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5.75" customHeight="1">
      <c r="A620" s="4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43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5.75" customHeight="1">
      <c r="A621" s="4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43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5.75" customHeight="1">
      <c r="A622" s="4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43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5.75" customHeight="1">
      <c r="A623" s="4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43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5.75" customHeight="1">
      <c r="A624" s="4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43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5.75" customHeight="1">
      <c r="A625" s="4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43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5.75" customHeight="1">
      <c r="A626" s="4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5.75" customHeight="1">
      <c r="A627" s="4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5.75" customHeight="1">
      <c r="A628" s="4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5.75" customHeight="1">
      <c r="A629" s="4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5.75" customHeight="1">
      <c r="A630" s="4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5.75" customHeight="1">
      <c r="A631" s="4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</row>
    <row r="633" spans="1:25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</row>
    <row r="634" spans="1:25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</row>
    <row r="635" spans="1:2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</row>
    <row r="636" spans="1:25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</row>
    <row r="637" spans="1:25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</row>
    <row r="638" spans="1:25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</row>
    <row r="639" spans="1:25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</row>
    <row r="640" spans="1:25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3"/>
  </mergeCells>
  <conditionalFormatting sqref="B1:K1 C2:J3">
    <cfRule type="cellIs" dxfId="3" priority="2" operator="lessThan">
      <formula>0</formula>
    </cfRule>
  </conditionalFormatting>
  <conditionalFormatting sqref="L1:L3">
    <cfRule type="cellIs" dxfId="2" priority="1" operator="lessThan">
      <formula>0</formula>
    </cfRule>
  </conditionalFormatting>
  <hyperlinks>
    <hyperlink ref="B1" r:id="rId1" xr:uid="{17BF6D39-75EE-454D-8C50-FA3FFB45E16A}"/>
  </hyperlinks>
  <pageMargins left="0.511811024" right="0.511811024" top="0.78740157499999996" bottom="0.78740157499999996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0639B"/>
    <outlinePr summaryBelow="0" summaryRight="0"/>
    <pageSetUpPr fitToPage="1"/>
  </sheetPr>
  <dimension ref="A1:AI903"/>
  <sheetViews>
    <sheetView showGridLines="0" workbookViewId="0">
      <pane ySplit="5" topLeftCell="A6" activePane="bottomLeft" state="frozen"/>
      <selection pane="bottomLeft" activeCell="I10" sqref="I10"/>
    </sheetView>
  </sheetViews>
  <sheetFormatPr defaultColWidth="12.7109375" defaultRowHeight="15" customHeight="1"/>
  <cols>
    <col min="2" max="2" width="21.140625" customWidth="1"/>
    <col min="3" max="6" width="9.7109375" customWidth="1"/>
    <col min="7" max="7" width="12.28515625" customWidth="1"/>
    <col min="8" max="9" width="9.7109375" customWidth="1"/>
    <col min="10" max="10" width="21.85546875" customWidth="1"/>
    <col min="11" max="14" width="9.7109375" customWidth="1"/>
    <col min="15" max="15" width="14.140625" customWidth="1"/>
    <col min="16" max="35" width="9.7109375" customWidth="1"/>
  </cols>
  <sheetData>
    <row r="1" spans="1:35" ht="15.75" customHeight="1">
      <c r="A1" s="233"/>
      <c r="B1" s="234" t="s">
        <v>0</v>
      </c>
      <c r="C1" s="235"/>
      <c r="D1" s="235"/>
      <c r="E1" s="235"/>
      <c r="F1" s="235"/>
      <c r="G1" s="235"/>
      <c r="H1" s="235"/>
      <c r="I1" s="235"/>
      <c r="J1" s="30"/>
      <c r="K1" s="30"/>
      <c r="L1" s="30"/>
      <c r="M1" s="30"/>
      <c r="N1" s="30"/>
      <c r="O1" s="30"/>
      <c r="P1" s="3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</row>
    <row r="2" spans="1:35" ht="15.75" customHeight="1">
      <c r="A2" s="236"/>
      <c r="B2" s="2" t="s">
        <v>1</v>
      </c>
      <c r="C2" s="3"/>
      <c r="D2" s="3"/>
      <c r="E2" s="1"/>
      <c r="F2" s="1"/>
      <c r="G2" s="3"/>
      <c r="H2" s="1"/>
      <c r="I2" s="30"/>
      <c r="J2" s="30"/>
      <c r="K2" s="30"/>
      <c r="L2" s="30"/>
      <c r="M2" s="30"/>
      <c r="N2" s="30"/>
      <c r="O2" s="30"/>
      <c r="P2" s="3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</row>
    <row r="3" spans="1:35" ht="15.75" customHeight="1">
      <c r="A3" s="236"/>
      <c r="B3" s="4" t="s">
        <v>2</v>
      </c>
      <c r="C3" s="3"/>
      <c r="D3" s="3"/>
      <c r="E3" s="3"/>
      <c r="F3" s="3"/>
      <c r="G3" s="1"/>
      <c r="H3" s="1"/>
      <c r="I3" s="44"/>
      <c r="J3" s="30"/>
      <c r="K3" s="30"/>
      <c r="L3" s="30"/>
      <c r="M3" s="30"/>
      <c r="N3" s="30"/>
      <c r="O3" s="30"/>
      <c r="P3" s="3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</row>
    <row r="4" spans="1:35" ht="15.75" customHeight="1">
      <c r="A4" s="35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6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spans="1:35" ht="15.75" customHeight="1">
      <c r="A5" s="35"/>
      <c r="B5" s="252" t="s">
        <v>274</v>
      </c>
      <c r="C5" s="252"/>
      <c r="D5" s="252"/>
      <c r="E5" s="252" t="s">
        <v>275</v>
      </c>
      <c r="F5" s="252" t="s">
        <v>276</v>
      </c>
      <c r="G5" s="252" t="s">
        <v>277</v>
      </c>
      <c r="H5" s="30"/>
      <c r="I5" s="30"/>
      <c r="J5" s="252" t="s">
        <v>278</v>
      </c>
      <c r="K5" s="252"/>
      <c r="L5" s="252"/>
      <c r="M5" s="252" t="s">
        <v>275</v>
      </c>
      <c r="N5" s="252" t="s">
        <v>276</v>
      </c>
      <c r="O5" s="252" t="s">
        <v>277</v>
      </c>
      <c r="P5" s="36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spans="1:35" ht="15.75" customHeight="1">
      <c r="A6" s="216"/>
      <c r="B6" s="230" t="s">
        <v>279</v>
      </c>
      <c r="C6" s="230"/>
      <c r="D6" s="230"/>
      <c r="E6" s="176"/>
      <c r="F6" s="176"/>
      <c r="G6" s="176"/>
      <c r="H6" s="216"/>
      <c r="I6" s="216"/>
      <c r="J6" s="230" t="s">
        <v>279</v>
      </c>
      <c r="K6" s="230"/>
      <c r="L6" s="230"/>
      <c r="M6" s="176"/>
      <c r="N6" s="176"/>
      <c r="O6" s="176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</row>
    <row r="7" spans="1:35" ht="15.75" customHeight="1" thickBot="1">
      <c r="A7" s="216"/>
      <c r="B7" s="219" t="s">
        <v>280</v>
      </c>
      <c r="C7" s="219"/>
      <c r="D7" s="219"/>
      <c r="E7" s="217"/>
      <c r="F7" s="217"/>
      <c r="G7" s="214"/>
      <c r="H7" s="216"/>
      <c r="I7" s="216"/>
      <c r="J7" s="219" t="s">
        <v>280</v>
      </c>
      <c r="K7" s="219"/>
      <c r="L7" s="219"/>
      <c r="M7" s="217"/>
      <c r="N7" s="217"/>
      <c r="O7" s="214"/>
      <c r="P7" s="41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</row>
    <row r="8" spans="1:35" ht="15.75" customHeight="1">
      <c r="A8" s="216"/>
      <c r="B8" s="223" t="s">
        <v>281</v>
      </c>
      <c r="C8" s="223"/>
      <c r="D8" s="223"/>
      <c r="E8" s="177">
        <v>32.99</v>
      </c>
      <c r="F8" s="178">
        <v>21.24</v>
      </c>
      <c r="G8" s="177">
        <v>700.71</v>
      </c>
      <c r="H8" s="216"/>
      <c r="I8" s="216"/>
      <c r="J8" s="223" t="s">
        <v>282</v>
      </c>
      <c r="K8" s="223"/>
      <c r="L8" s="223"/>
      <c r="M8" s="177">
        <v>39</v>
      </c>
      <c r="N8" s="178">
        <v>28</v>
      </c>
      <c r="O8" s="177">
        <v>1092</v>
      </c>
      <c r="P8" s="41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</row>
    <row r="9" spans="1:35" ht="15.75" customHeight="1">
      <c r="A9" s="216"/>
      <c r="B9" s="222" t="s">
        <v>283</v>
      </c>
      <c r="C9" s="222"/>
      <c r="D9" s="222"/>
      <c r="E9" s="177">
        <v>21.99</v>
      </c>
      <c r="F9" s="178">
        <v>8</v>
      </c>
      <c r="G9" s="177">
        <v>175.92</v>
      </c>
      <c r="H9" s="216"/>
      <c r="I9" s="216"/>
      <c r="J9" s="222" t="s">
        <v>284</v>
      </c>
      <c r="K9" s="222"/>
      <c r="L9" s="222"/>
      <c r="M9" s="177">
        <v>239</v>
      </c>
      <c r="N9" s="178">
        <v>1</v>
      </c>
      <c r="O9" s="177">
        <v>239</v>
      </c>
      <c r="P9" s="41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</row>
    <row r="10" spans="1:35" ht="15.75" customHeight="1">
      <c r="A10" s="216"/>
      <c r="B10" s="222" t="s">
        <v>285</v>
      </c>
      <c r="C10" s="222"/>
      <c r="D10" s="222"/>
      <c r="E10" s="177">
        <v>24.99</v>
      </c>
      <c r="F10" s="178">
        <v>3</v>
      </c>
      <c r="G10" s="177">
        <v>74.97</v>
      </c>
      <c r="H10" s="216"/>
      <c r="I10" s="216"/>
      <c r="J10" s="222" t="s">
        <v>285</v>
      </c>
      <c r="K10" s="222"/>
      <c r="L10" s="222"/>
      <c r="M10" s="177">
        <v>24.9</v>
      </c>
      <c r="N10" s="178">
        <v>1</v>
      </c>
      <c r="O10" s="177">
        <v>24.9</v>
      </c>
      <c r="P10" s="41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</row>
    <row r="11" spans="1:35" ht="15.75" customHeight="1">
      <c r="A11" s="216"/>
      <c r="B11" s="222" t="s">
        <v>286</v>
      </c>
      <c r="C11" s="222"/>
      <c r="D11" s="222"/>
      <c r="E11" s="177">
        <v>20.99</v>
      </c>
      <c r="F11" s="178">
        <v>5</v>
      </c>
      <c r="G11" s="177">
        <v>104.95</v>
      </c>
      <c r="H11" s="216"/>
      <c r="I11" s="215"/>
      <c r="J11" s="222" t="s">
        <v>286</v>
      </c>
      <c r="K11" s="222"/>
      <c r="L11" s="222"/>
      <c r="M11" s="177">
        <v>16.989999999999998</v>
      </c>
      <c r="N11" s="178">
        <v>8</v>
      </c>
      <c r="O11" s="177">
        <v>135.91999999999999</v>
      </c>
      <c r="P11" s="41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</row>
    <row r="12" spans="1:35" ht="15.75" customHeight="1">
      <c r="A12" s="216"/>
      <c r="B12" s="215" t="s">
        <v>287</v>
      </c>
      <c r="C12" s="215"/>
      <c r="D12" s="215"/>
      <c r="E12" s="177">
        <v>26.99</v>
      </c>
      <c r="F12" s="178">
        <v>1</v>
      </c>
      <c r="G12" s="177">
        <v>26.99</v>
      </c>
      <c r="H12" s="216"/>
      <c r="I12" s="215"/>
      <c r="J12" s="215" t="s">
        <v>287</v>
      </c>
      <c r="K12" s="215"/>
      <c r="L12" s="215"/>
      <c r="M12" s="177">
        <v>26.99</v>
      </c>
      <c r="N12" s="178">
        <v>1</v>
      </c>
      <c r="O12" s="177">
        <v>26.99</v>
      </c>
      <c r="P12" s="41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</row>
    <row r="13" spans="1:35" ht="15.75" customHeight="1">
      <c r="A13" s="216"/>
      <c r="B13" s="222" t="s">
        <v>226</v>
      </c>
      <c r="C13" s="222"/>
      <c r="D13" s="222"/>
      <c r="E13" s="177">
        <v>110</v>
      </c>
      <c r="F13" s="178">
        <v>1</v>
      </c>
      <c r="G13" s="177">
        <v>110</v>
      </c>
      <c r="H13" s="216"/>
      <c r="I13" s="215"/>
      <c r="J13" s="222" t="s">
        <v>226</v>
      </c>
      <c r="K13" s="222"/>
      <c r="L13" s="222"/>
      <c r="M13" s="177">
        <v>90</v>
      </c>
      <c r="N13" s="178">
        <v>1</v>
      </c>
      <c r="O13" s="177">
        <v>90</v>
      </c>
      <c r="P13" s="41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</row>
    <row r="14" spans="1:35" ht="15.75" customHeight="1">
      <c r="A14" s="216"/>
      <c r="B14" s="222" t="s">
        <v>288</v>
      </c>
      <c r="C14" s="222"/>
      <c r="D14" s="222"/>
      <c r="E14" s="177">
        <v>50</v>
      </c>
      <c r="F14" s="178">
        <v>22</v>
      </c>
      <c r="G14" s="177">
        <v>1100</v>
      </c>
      <c r="H14" s="216"/>
      <c r="I14" s="215"/>
      <c r="J14" s="222" t="s">
        <v>288</v>
      </c>
      <c r="K14" s="222"/>
      <c r="L14" s="222"/>
      <c r="M14" s="177">
        <v>50</v>
      </c>
      <c r="N14" s="178">
        <v>20</v>
      </c>
      <c r="O14" s="177">
        <v>1000</v>
      </c>
      <c r="P14" s="41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</row>
    <row r="15" spans="1:35" ht="15.75" customHeight="1">
      <c r="A15" s="216"/>
      <c r="B15" s="222" t="s">
        <v>289</v>
      </c>
      <c r="C15" s="222"/>
      <c r="D15" s="222"/>
      <c r="E15" s="177">
        <v>17</v>
      </c>
      <c r="F15" s="178">
        <v>12</v>
      </c>
      <c r="G15" s="177">
        <v>204</v>
      </c>
      <c r="H15" s="216"/>
      <c r="I15" s="215"/>
      <c r="J15" s="222" t="s">
        <v>289</v>
      </c>
      <c r="K15" s="222"/>
      <c r="L15" s="222"/>
      <c r="M15" s="177">
        <v>25</v>
      </c>
      <c r="N15" s="178">
        <v>12</v>
      </c>
      <c r="O15" s="177">
        <v>300</v>
      </c>
      <c r="P15" s="41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</row>
    <row r="16" spans="1:35" ht="15.75" customHeight="1">
      <c r="A16" s="216"/>
      <c r="B16" s="216"/>
      <c r="C16" s="216"/>
      <c r="D16" s="216"/>
      <c r="E16" s="216"/>
      <c r="F16" s="216"/>
      <c r="G16" s="179">
        <v>2497.54</v>
      </c>
      <c r="H16" s="216"/>
      <c r="I16" s="215"/>
      <c r="J16" s="216"/>
      <c r="K16" s="216"/>
      <c r="L16" s="216"/>
      <c r="M16" s="216"/>
      <c r="N16" s="216"/>
      <c r="O16" s="179">
        <v>2908.81</v>
      </c>
      <c r="P16" s="41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</row>
    <row r="17" spans="1:35" ht="15.75" customHeight="1" thickBot="1">
      <c r="A17" s="216"/>
      <c r="B17" s="219" t="s">
        <v>290</v>
      </c>
      <c r="C17" s="219"/>
      <c r="D17" s="219"/>
      <c r="E17" s="217"/>
      <c r="F17" s="217"/>
      <c r="G17" s="217"/>
      <c r="H17" s="216"/>
      <c r="I17" s="215"/>
      <c r="J17" s="219" t="s">
        <v>290</v>
      </c>
      <c r="K17" s="219"/>
      <c r="L17" s="219"/>
      <c r="M17" s="217"/>
      <c r="N17" s="217"/>
      <c r="O17" s="217"/>
      <c r="P17" s="41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</row>
    <row r="18" spans="1:35" ht="15.75" customHeight="1">
      <c r="A18" s="216"/>
      <c r="B18" s="223" t="s">
        <v>291</v>
      </c>
      <c r="C18" s="223"/>
      <c r="D18" s="223"/>
      <c r="E18" s="177">
        <v>64.900000000000006</v>
      </c>
      <c r="F18" s="178">
        <v>4</v>
      </c>
      <c r="G18" s="177">
        <v>259.60000000000002</v>
      </c>
      <c r="H18" s="216"/>
      <c r="I18" s="215"/>
      <c r="J18" s="223" t="s">
        <v>292</v>
      </c>
      <c r="K18" s="223"/>
      <c r="L18" s="223"/>
      <c r="M18" s="177">
        <v>56.9</v>
      </c>
      <c r="N18" s="178">
        <v>4</v>
      </c>
      <c r="O18" s="177">
        <v>227.6</v>
      </c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</row>
    <row r="19" spans="1:35" ht="15.75" customHeight="1">
      <c r="A19" s="216"/>
      <c r="B19" s="222" t="s">
        <v>285</v>
      </c>
      <c r="C19" s="222"/>
      <c r="D19" s="222"/>
      <c r="E19" s="177">
        <v>23.49</v>
      </c>
      <c r="F19" s="178">
        <v>3</v>
      </c>
      <c r="G19" s="177">
        <v>70.47</v>
      </c>
      <c r="H19" s="216"/>
      <c r="I19" s="215"/>
      <c r="J19" s="222" t="s">
        <v>293</v>
      </c>
      <c r="K19" s="222"/>
      <c r="L19" s="222"/>
      <c r="M19" s="177">
        <v>82.9</v>
      </c>
      <c r="N19" s="178">
        <v>2</v>
      </c>
      <c r="O19" s="177">
        <v>165.8</v>
      </c>
      <c r="P19" s="41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</row>
    <row r="20" spans="1:35" ht="15.75" customHeight="1">
      <c r="A20" s="216"/>
      <c r="B20" s="222" t="s">
        <v>286</v>
      </c>
      <c r="C20" s="222"/>
      <c r="D20" s="222"/>
      <c r="E20" s="177">
        <v>22.99</v>
      </c>
      <c r="F20" s="178">
        <v>1</v>
      </c>
      <c r="G20" s="177">
        <v>22.99</v>
      </c>
      <c r="H20" s="216"/>
      <c r="I20" s="216"/>
      <c r="J20" s="222" t="s">
        <v>285</v>
      </c>
      <c r="K20" s="222"/>
      <c r="L20" s="222"/>
      <c r="M20" s="177">
        <v>6.99</v>
      </c>
      <c r="N20" s="178">
        <v>2</v>
      </c>
      <c r="O20" s="177">
        <v>13.98</v>
      </c>
      <c r="P20" s="4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</row>
    <row r="21" spans="1:35" ht="15.75" customHeight="1">
      <c r="A21" s="216"/>
      <c r="B21" s="222" t="s">
        <v>226</v>
      </c>
      <c r="C21" s="222"/>
      <c r="D21" s="222"/>
      <c r="E21" s="177">
        <v>100</v>
      </c>
      <c r="F21" s="178">
        <v>1</v>
      </c>
      <c r="G21" s="177">
        <v>100</v>
      </c>
      <c r="H21" s="216"/>
      <c r="I21" s="216"/>
      <c r="J21" s="222" t="s">
        <v>286</v>
      </c>
      <c r="K21" s="222"/>
      <c r="L21" s="222"/>
      <c r="M21" s="177">
        <v>23.9</v>
      </c>
      <c r="N21" s="178">
        <v>1</v>
      </c>
      <c r="O21" s="177">
        <v>23.9</v>
      </c>
      <c r="P21" s="41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</row>
    <row r="22" spans="1:35" ht="15.75" customHeight="1">
      <c r="A22" s="216"/>
      <c r="B22" s="222" t="s">
        <v>294</v>
      </c>
      <c r="C22" s="222"/>
      <c r="D22" s="222"/>
      <c r="E22" s="177">
        <v>300</v>
      </c>
      <c r="F22" s="178">
        <v>1</v>
      </c>
      <c r="G22" s="177">
        <v>300</v>
      </c>
      <c r="H22" s="216"/>
      <c r="I22" s="216"/>
      <c r="J22" s="222" t="s">
        <v>226</v>
      </c>
      <c r="K22" s="222"/>
      <c r="L22" s="222"/>
      <c r="M22" s="177">
        <v>170</v>
      </c>
      <c r="N22" s="178">
        <v>1</v>
      </c>
      <c r="O22" s="177">
        <v>170</v>
      </c>
      <c r="P22" s="41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</row>
    <row r="23" spans="1:35" ht="15.75" customHeight="1">
      <c r="A23" s="216"/>
      <c r="B23" s="216"/>
      <c r="C23" s="216"/>
      <c r="D23" s="216"/>
      <c r="E23" s="216"/>
      <c r="F23" s="216"/>
      <c r="G23" s="179">
        <v>753.06</v>
      </c>
      <c r="H23" s="216"/>
      <c r="I23" s="216"/>
      <c r="J23" s="222" t="s">
        <v>294</v>
      </c>
      <c r="K23" s="222"/>
      <c r="L23" s="222"/>
      <c r="M23" s="177">
        <v>400</v>
      </c>
      <c r="N23" s="178">
        <v>1</v>
      </c>
      <c r="O23" s="177">
        <v>400</v>
      </c>
      <c r="P23" s="41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</row>
    <row r="24" spans="1:35" ht="15.75" customHeight="1" thickBot="1">
      <c r="A24" s="216"/>
      <c r="B24" s="219" t="s">
        <v>295</v>
      </c>
      <c r="C24" s="219"/>
      <c r="D24" s="219"/>
      <c r="E24" s="217"/>
      <c r="F24" s="217"/>
      <c r="G24" s="217"/>
      <c r="H24" s="216"/>
      <c r="I24" s="216"/>
      <c r="J24" s="216"/>
      <c r="K24" s="216"/>
      <c r="L24" s="216"/>
      <c r="M24" s="216"/>
      <c r="N24" s="216"/>
      <c r="O24" s="179">
        <v>1001.28</v>
      </c>
      <c r="P24" s="41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</row>
    <row r="25" spans="1:35" ht="15.75" customHeight="1">
      <c r="A25" s="216"/>
      <c r="B25" s="223" t="s">
        <v>296</v>
      </c>
      <c r="C25" s="223"/>
      <c r="D25" s="223"/>
      <c r="E25" s="177">
        <v>182</v>
      </c>
      <c r="F25" s="178">
        <v>1</v>
      </c>
      <c r="G25" s="177">
        <v>182</v>
      </c>
      <c r="H25" s="216"/>
      <c r="I25" s="216"/>
      <c r="J25" s="230" t="s">
        <v>297</v>
      </c>
      <c r="K25" s="230"/>
      <c r="L25" s="230"/>
      <c r="M25" s="176"/>
      <c r="N25" s="176"/>
      <c r="O25" s="176"/>
      <c r="P25" s="41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</row>
    <row r="26" spans="1:35" ht="15.75" customHeight="1" thickBot="1">
      <c r="A26" s="216"/>
      <c r="B26" s="222" t="s">
        <v>298</v>
      </c>
      <c r="C26" s="222"/>
      <c r="D26" s="222"/>
      <c r="E26" s="177">
        <v>0</v>
      </c>
      <c r="F26" s="178">
        <v>1</v>
      </c>
      <c r="G26" s="177">
        <v>0</v>
      </c>
      <c r="H26" s="216"/>
      <c r="I26" s="216"/>
      <c r="J26" s="219" t="s">
        <v>299</v>
      </c>
      <c r="K26" s="219"/>
      <c r="L26" s="219"/>
      <c r="M26" s="217"/>
      <c r="N26" s="217"/>
      <c r="O26" s="217"/>
      <c r="P26" s="41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</row>
    <row r="27" spans="1:35" ht="15.75" customHeight="1">
      <c r="A27" s="216"/>
      <c r="B27" s="215"/>
      <c r="C27" s="215"/>
      <c r="D27" s="215"/>
      <c r="E27" s="216"/>
      <c r="F27" s="216"/>
      <c r="G27" s="179">
        <v>182</v>
      </c>
      <c r="H27" s="216"/>
      <c r="I27" s="216"/>
      <c r="J27" s="223" t="s">
        <v>300</v>
      </c>
      <c r="K27" s="223"/>
      <c r="L27" s="223"/>
      <c r="M27" s="177">
        <v>590</v>
      </c>
      <c r="N27" s="178">
        <v>1</v>
      </c>
      <c r="O27" s="177">
        <v>590</v>
      </c>
      <c r="P27" s="41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</row>
    <row r="28" spans="1:35" ht="15.75" customHeight="1">
      <c r="A28" s="216"/>
      <c r="B28" s="230" t="s">
        <v>297</v>
      </c>
      <c r="C28" s="230"/>
      <c r="D28" s="230"/>
      <c r="E28" s="176"/>
      <c r="F28" s="176"/>
      <c r="G28" s="176"/>
      <c r="H28" s="216"/>
      <c r="I28" s="216"/>
      <c r="J28" s="222" t="s">
        <v>226</v>
      </c>
      <c r="K28" s="222"/>
      <c r="L28" s="222"/>
      <c r="M28" s="177">
        <v>350</v>
      </c>
      <c r="N28" s="178">
        <v>1</v>
      </c>
      <c r="O28" s="177">
        <v>350</v>
      </c>
      <c r="P28" s="41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spans="1:35" ht="15.75" customHeight="1" thickBot="1">
      <c r="A29" s="216"/>
      <c r="B29" s="219" t="s">
        <v>299</v>
      </c>
      <c r="C29" s="219"/>
      <c r="D29" s="219"/>
      <c r="E29" s="217"/>
      <c r="F29" s="217"/>
      <c r="G29" s="217"/>
      <c r="H29" s="216"/>
      <c r="I29" s="216"/>
      <c r="J29" s="222" t="s">
        <v>301</v>
      </c>
      <c r="K29" s="222"/>
      <c r="L29" s="222"/>
      <c r="M29" s="177">
        <v>1400</v>
      </c>
      <c r="N29" s="178">
        <v>1</v>
      </c>
      <c r="O29" s="177">
        <v>1400</v>
      </c>
      <c r="P29" s="41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spans="1:35" ht="15.75" customHeight="1">
      <c r="A30" s="216"/>
      <c r="B30" s="223" t="s">
        <v>302</v>
      </c>
      <c r="C30" s="223"/>
      <c r="D30" s="223"/>
      <c r="E30" s="177">
        <v>300</v>
      </c>
      <c r="F30" s="178">
        <v>1</v>
      </c>
      <c r="G30" s="177">
        <v>300</v>
      </c>
      <c r="H30" s="216"/>
      <c r="I30" s="216"/>
      <c r="J30" s="215"/>
      <c r="K30" s="215"/>
      <c r="L30" s="215"/>
      <c r="M30" s="216"/>
      <c r="N30" s="216"/>
      <c r="O30" s="179">
        <v>2340</v>
      </c>
      <c r="P30" s="41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</row>
    <row r="31" spans="1:35" ht="15.75" customHeight="1">
      <c r="A31" s="216"/>
      <c r="B31" s="222" t="s">
        <v>226</v>
      </c>
      <c r="C31" s="222"/>
      <c r="D31" s="222"/>
      <c r="E31" s="177">
        <v>240</v>
      </c>
      <c r="F31" s="178">
        <v>1</v>
      </c>
      <c r="G31" s="177">
        <v>240</v>
      </c>
      <c r="H31" s="216"/>
      <c r="I31" s="216"/>
      <c r="J31" s="230" t="s">
        <v>303</v>
      </c>
      <c r="K31" s="230"/>
      <c r="L31" s="230"/>
      <c r="M31" s="176"/>
      <c r="N31" s="176"/>
      <c r="O31" s="176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</row>
    <row r="32" spans="1:35" ht="15.75" customHeight="1" thickBot="1">
      <c r="A32" s="216"/>
      <c r="B32" s="222" t="s">
        <v>301</v>
      </c>
      <c r="C32" s="222"/>
      <c r="D32" s="222"/>
      <c r="E32" s="177">
        <v>1000</v>
      </c>
      <c r="F32" s="178">
        <v>1</v>
      </c>
      <c r="G32" s="177">
        <v>1000</v>
      </c>
      <c r="H32" s="216"/>
      <c r="I32" s="216"/>
      <c r="J32" s="219" t="s">
        <v>304</v>
      </c>
      <c r="K32" s="219"/>
      <c r="L32" s="219"/>
      <c r="M32" s="217"/>
      <c r="N32" s="217"/>
      <c r="O32" s="217"/>
      <c r="P32" s="41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</row>
    <row r="33" spans="1:35" ht="15.75" customHeight="1">
      <c r="A33" s="216"/>
      <c r="B33" s="215"/>
      <c r="C33" s="215"/>
      <c r="D33" s="215"/>
      <c r="E33" s="216"/>
      <c r="F33" s="216"/>
      <c r="G33" s="179">
        <v>1540</v>
      </c>
      <c r="H33" s="216"/>
      <c r="I33" s="216"/>
      <c r="J33" s="223" t="s">
        <v>305</v>
      </c>
      <c r="K33" s="223"/>
      <c r="L33" s="223"/>
      <c r="M33" s="177">
        <v>0</v>
      </c>
      <c r="N33" s="178">
        <v>0</v>
      </c>
      <c r="O33" s="177">
        <v>0</v>
      </c>
      <c r="P33" s="41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</row>
    <row r="34" spans="1:35" ht="15.75" customHeight="1">
      <c r="A34" s="216"/>
      <c r="B34" s="230" t="s">
        <v>303</v>
      </c>
      <c r="C34" s="230"/>
      <c r="D34" s="230"/>
      <c r="E34" s="176"/>
      <c r="F34" s="176"/>
      <c r="G34" s="176"/>
      <c r="H34" s="216"/>
      <c r="I34" s="216"/>
      <c r="J34" s="215"/>
      <c r="K34" s="215"/>
      <c r="L34" s="215"/>
      <c r="M34" s="216"/>
      <c r="N34" s="216"/>
      <c r="O34" s="179">
        <v>0</v>
      </c>
      <c r="P34" s="41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</row>
    <row r="35" spans="1:35" ht="15.75" customHeight="1" thickBot="1">
      <c r="A35" s="216"/>
      <c r="B35" s="219" t="s">
        <v>304</v>
      </c>
      <c r="C35" s="219"/>
      <c r="D35" s="219"/>
      <c r="E35" s="217"/>
      <c r="F35" s="217"/>
      <c r="G35" s="217"/>
      <c r="H35" s="216"/>
      <c r="I35" s="216"/>
      <c r="J35" s="230" t="s">
        <v>306</v>
      </c>
      <c r="K35" s="230"/>
      <c r="L35" s="230"/>
      <c r="M35" s="176"/>
      <c r="N35" s="176"/>
      <c r="O35" s="176"/>
      <c r="P35" s="41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</row>
    <row r="36" spans="1:35" ht="15.75" customHeight="1" thickBot="1">
      <c r="A36" s="216"/>
      <c r="B36" s="223" t="s">
        <v>305</v>
      </c>
      <c r="C36" s="223"/>
      <c r="D36" s="223"/>
      <c r="E36" s="177">
        <v>0</v>
      </c>
      <c r="F36" s="178">
        <v>0</v>
      </c>
      <c r="G36" s="177">
        <v>0</v>
      </c>
      <c r="H36" s="216"/>
      <c r="I36" s="216"/>
      <c r="J36" s="219" t="s">
        <v>307</v>
      </c>
      <c r="K36" s="219"/>
      <c r="L36" s="219"/>
      <c r="M36" s="217"/>
      <c r="N36" s="217"/>
      <c r="O36" s="217"/>
      <c r="P36" s="41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</row>
    <row r="37" spans="1:35" ht="15.75" customHeight="1">
      <c r="A37" s="216"/>
      <c r="B37" s="215"/>
      <c r="C37" s="215"/>
      <c r="D37" s="215"/>
      <c r="E37" s="216"/>
      <c r="F37" s="216"/>
      <c r="G37" s="179">
        <v>0</v>
      </c>
      <c r="H37" s="216"/>
      <c r="I37" s="216"/>
      <c r="J37" s="223" t="s">
        <v>308</v>
      </c>
      <c r="K37" s="223"/>
      <c r="L37" s="223"/>
      <c r="M37" s="177">
        <v>88</v>
      </c>
      <c r="N37" s="178">
        <v>3</v>
      </c>
      <c r="O37" s="177">
        <v>264</v>
      </c>
      <c r="P37" s="41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</row>
    <row r="38" spans="1:35" ht="15.75" customHeight="1">
      <c r="A38" s="216"/>
      <c r="B38" s="230" t="s">
        <v>306</v>
      </c>
      <c r="C38" s="230"/>
      <c r="D38" s="230"/>
      <c r="E38" s="176"/>
      <c r="F38" s="176"/>
      <c r="G38" s="176"/>
      <c r="H38" s="216"/>
      <c r="I38" s="216"/>
      <c r="J38" s="222" t="s">
        <v>309</v>
      </c>
      <c r="K38" s="222"/>
      <c r="L38" s="222"/>
      <c r="M38" s="177">
        <v>161</v>
      </c>
      <c r="N38" s="178">
        <v>1</v>
      </c>
      <c r="O38" s="177">
        <v>161</v>
      </c>
      <c r="P38" s="41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</row>
    <row r="39" spans="1:35" ht="15.75" customHeight="1" thickBot="1">
      <c r="A39" s="216"/>
      <c r="B39" s="219" t="s">
        <v>307</v>
      </c>
      <c r="C39" s="219"/>
      <c r="D39" s="219"/>
      <c r="E39" s="217"/>
      <c r="F39" s="217"/>
      <c r="G39" s="217"/>
      <c r="H39" s="216"/>
      <c r="I39" s="216"/>
      <c r="J39" s="222" t="s">
        <v>310</v>
      </c>
      <c r="K39" s="222"/>
      <c r="L39" s="222"/>
      <c r="M39" s="177">
        <v>8</v>
      </c>
      <c r="N39" s="178">
        <v>10</v>
      </c>
      <c r="O39" s="177">
        <v>80</v>
      </c>
      <c r="P39" s="41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</row>
    <row r="40" spans="1:35" ht="15.75" customHeight="1">
      <c r="A40" s="216"/>
      <c r="B40" s="223" t="s">
        <v>311</v>
      </c>
      <c r="C40" s="223"/>
      <c r="D40" s="223"/>
      <c r="E40" s="177">
        <v>180</v>
      </c>
      <c r="F40" s="178">
        <v>2</v>
      </c>
      <c r="G40" s="177">
        <v>360</v>
      </c>
      <c r="H40" s="216"/>
      <c r="I40" s="216"/>
      <c r="J40" s="222" t="s">
        <v>312</v>
      </c>
      <c r="K40" s="222"/>
      <c r="L40" s="222"/>
      <c r="M40" s="177">
        <v>59.9</v>
      </c>
      <c r="N40" s="178">
        <v>1</v>
      </c>
      <c r="O40" s="177">
        <v>59.9</v>
      </c>
      <c r="P40" s="41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</row>
    <row r="41" spans="1:35" ht="15.75" customHeight="1">
      <c r="A41" s="216"/>
      <c r="B41" s="222" t="s">
        <v>309</v>
      </c>
      <c r="C41" s="222"/>
      <c r="D41" s="222"/>
      <c r="E41" s="177">
        <v>290</v>
      </c>
      <c r="F41" s="178">
        <v>1</v>
      </c>
      <c r="G41" s="177">
        <v>290</v>
      </c>
      <c r="H41" s="216"/>
      <c r="I41" s="216"/>
      <c r="J41" s="222" t="s">
        <v>313</v>
      </c>
      <c r="K41" s="222"/>
      <c r="L41" s="222"/>
      <c r="M41" s="177">
        <v>28.5</v>
      </c>
      <c r="N41" s="178">
        <v>2</v>
      </c>
      <c r="O41" s="177">
        <v>57</v>
      </c>
      <c r="P41" s="41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</row>
    <row r="42" spans="1:35" ht="15.75" customHeight="1">
      <c r="A42" s="216"/>
      <c r="B42" s="222" t="s">
        <v>312</v>
      </c>
      <c r="C42" s="222"/>
      <c r="D42" s="222"/>
      <c r="E42" s="177">
        <v>110</v>
      </c>
      <c r="F42" s="178">
        <v>2</v>
      </c>
      <c r="G42" s="177">
        <v>220</v>
      </c>
      <c r="H42" s="216"/>
      <c r="I42" s="216"/>
      <c r="J42" s="222" t="s">
        <v>226</v>
      </c>
      <c r="K42" s="222"/>
      <c r="L42" s="222"/>
      <c r="M42" s="177">
        <v>320</v>
      </c>
      <c r="N42" s="178">
        <v>1</v>
      </c>
      <c r="O42" s="177">
        <v>320</v>
      </c>
      <c r="P42" s="41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</row>
    <row r="43" spans="1:35" ht="15.75" customHeight="1">
      <c r="A43" s="216"/>
      <c r="B43" s="222" t="s">
        <v>314</v>
      </c>
      <c r="C43" s="222"/>
      <c r="D43" s="222"/>
      <c r="E43" s="177">
        <v>35</v>
      </c>
      <c r="F43" s="178">
        <v>3</v>
      </c>
      <c r="G43" s="177">
        <v>105</v>
      </c>
      <c r="H43" s="216"/>
      <c r="I43" s="216"/>
      <c r="J43" s="222" t="s">
        <v>315</v>
      </c>
      <c r="K43" s="222"/>
      <c r="L43" s="222"/>
      <c r="M43" s="177">
        <v>119</v>
      </c>
      <c r="N43" s="178">
        <v>1</v>
      </c>
      <c r="O43" s="177">
        <v>119</v>
      </c>
      <c r="P43" s="41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</row>
    <row r="44" spans="1:35" ht="15.75" customHeight="1">
      <c r="A44" s="216"/>
      <c r="B44" s="222" t="s">
        <v>226</v>
      </c>
      <c r="C44" s="222"/>
      <c r="D44" s="222"/>
      <c r="E44" s="177">
        <v>32</v>
      </c>
      <c r="F44" s="178">
        <v>1</v>
      </c>
      <c r="G44" s="177">
        <v>32</v>
      </c>
      <c r="H44" s="216"/>
      <c r="I44" s="216"/>
      <c r="J44" s="222" t="s">
        <v>316</v>
      </c>
      <c r="K44" s="222"/>
      <c r="L44" s="222"/>
      <c r="M44" s="177">
        <v>0</v>
      </c>
      <c r="N44" s="178">
        <v>0</v>
      </c>
      <c r="O44" s="177">
        <v>0</v>
      </c>
      <c r="P44" s="41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</row>
    <row r="45" spans="1:35" ht="15.75" customHeight="1">
      <c r="A45" s="216"/>
      <c r="B45" s="222" t="s">
        <v>316</v>
      </c>
      <c r="C45" s="222"/>
      <c r="D45" s="222"/>
      <c r="E45" s="177">
        <v>650</v>
      </c>
      <c r="F45" s="178">
        <v>1</v>
      </c>
      <c r="G45" s="177">
        <v>650</v>
      </c>
      <c r="H45" s="216"/>
      <c r="I45" s="216"/>
      <c r="J45" s="215"/>
      <c r="K45" s="215"/>
      <c r="L45" s="215"/>
      <c r="M45" s="216"/>
      <c r="N45" s="216"/>
      <c r="O45" s="179">
        <v>1060.9000000000001</v>
      </c>
      <c r="P45" s="41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</row>
    <row r="46" spans="1:35" ht="15.75" customHeight="1" thickBot="1">
      <c r="A46" s="216"/>
      <c r="B46" s="215"/>
      <c r="C46" s="215"/>
      <c r="D46" s="215"/>
      <c r="E46" s="216"/>
      <c r="F46" s="216"/>
      <c r="G46" s="179">
        <v>1657</v>
      </c>
      <c r="H46" s="216"/>
      <c r="I46" s="216"/>
      <c r="J46" s="219" t="s">
        <v>317</v>
      </c>
      <c r="K46" s="219"/>
      <c r="L46" s="219"/>
      <c r="M46" s="217"/>
      <c r="N46" s="217"/>
      <c r="O46" s="217"/>
      <c r="P46" s="41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</row>
    <row r="47" spans="1:35" ht="15.75" customHeight="1" thickBot="1">
      <c r="A47" s="216"/>
      <c r="B47" s="219" t="s">
        <v>317</v>
      </c>
      <c r="C47" s="219"/>
      <c r="D47" s="219"/>
      <c r="E47" s="217"/>
      <c r="F47" s="217"/>
      <c r="G47" s="217"/>
      <c r="H47" s="216"/>
      <c r="I47" s="216"/>
      <c r="J47" s="215" t="s">
        <v>318</v>
      </c>
      <c r="K47" s="215"/>
      <c r="L47" s="215"/>
      <c r="M47" s="177">
        <v>0</v>
      </c>
      <c r="N47" s="178">
        <v>0</v>
      </c>
      <c r="O47" s="177">
        <v>0</v>
      </c>
      <c r="P47" s="41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</row>
    <row r="48" spans="1:35" ht="15.75" customHeight="1">
      <c r="A48" s="216"/>
      <c r="B48" s="215" t="s">
        <v>318</v>
      </c>
      <c r="C48" s="215"/>
      <c r="D48" s="215"/>
      <c r="E48" s="177">
        <v>6.99</v>
      </c>
      <c r="F48" s="178">
        <v>2</v>
      </c>
      <c r="G48" s="177">
        <v>13.98</v>
      </c>
      <c r="H48" s="216"/>
      <c r="I48" s="216"/>
      <c r="J48" s="222" t="s">
        <v>319</v>
      </c>
      <c r="K48" s="222"/>
      <c r="L48" s="222"/>
      <c r="M48" s="177">
        <v>0</v>
      </c>
      <c r="N48" s="178">
        <v>0</v>
      </c>
      <c r="O48" s="177">
        <v>0</v>
      </c>
      <c r="P48" s="41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</row>
    <row r="49" spans="1:35" ht="15.75" customHeight="1">
      <c r="A49" s="216"/>
      <c r="B49" s="222" t="s">
        <v>319</v>
      </c>
      <c r="C49" s="222"/>
      <c r="D49" s="222"/>
      <c r="E49" s="177">
        <v>175</v>
      </c>
      <c r="F49" s="178">
        <v>1</v>
      </c>
      <c r="G49" s="177">
        <v>175</v>
      </c>
      <c r="H49" s="216"/>
      <c r="I49" s="216"/>
      <c r="J49" s="215"/>
      <c r="K49" s="215"/>
      <c r="L49" s="215"/>
      <c r="M49" s="216"/>
      <c r="N49" s="216"/>
      <c r="O49" s="179">
        <v>0</v>
      </c>
      <c r="P49" s="41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</row>
    <row r="50" spans="1:35" ht="15.75" customHeight="1">
      <c r="A50" s="216"/>
      <c r="B50" s="215"/>
      <c r="C50" s="215"/>
      <c r="D50" s="215"/>
      <c r="E50" s="216"/>
      <c r="F50" s="216"/>
      <c r="G50" s="179">
        <v>188.98</v>
      </c>
      <c r="H50" s="216"/>
      <c r="I50" s="216"/>
      <c r="J50" s="230" t="s">
        <v>320</v>
      </c>
      <c r="K50" s="230"/>
      <c r="L50" s="230"/>
      <c r="M50" s="176"/>
      <c r="N50" s="176"/>
      <c r="O50" s="176"/>
      <c r="P50" s="41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</row>
    <row r="51" spans="1:35" ht="15.75" customHeight="1" thickBot="1">
      <c r="A51" s="216"/>
      <c r="B51" s="230" t="s">
        <v>320</v>
      </c>
      <c r="C51" s="230"/>
      <c r="D51" s="230"/>
      <c r="E51" s="176"/>
      <c r="F51" s="176"/>
      <c r="G51" s="176"/>
      <c r="H51" s="216"/>
      <c r="I51" s="216"/>
      <c r="J51" s="219" t="s">
        <v>321</v>
      </c>
      <c r="K51" s="219"/>
      <c r="L51" s="219"/>
      <c r="M51" s="217"/>
      <c r="N51" s="217"/>
      <c r="O51" s="217"/>
      <c r="P51" s="4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</row>
    <row r="52" spans="1:35" ht="15.75" customHeight="1" thickBot="1">
      <c r="A52" s="216"/>
      <c r="B52" s="219" t="s">
        <v>321</v>
      </c>
      <c r="C52" s="219"/>
      <c r="D52" s="219"/>
      <c r="E52" s="217"/>
      <c r="F52" s="217"/>
      <c r="G52" s="217"/>
      <c r="H52" s="216"/>
      <c r="I52" s="216"/>
      <c r="J52" s="223" t="s">
        <v>322</v>
      </c>
      <c r="K52" s="223"/>
      <c r="L52" s="223"/>
      <c r="M52" s="177">
        <v>520</v>
      </c>
      <c r="N52" s="178">
        <v>1</v>
      </c>
      <c r="O52" s="177">
        <v>520</v>
      </c>
      <c r="P52" s="41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</row>
    <row r="53" spans="1:35" ht="15.75" customHeight="1">
      <c r="A53" s="216"/>
      <c r="B53" s="223" t="s">
        <v>323</v>
      </c>
      <c r="C53" s="223"/>
      <c r="D53" s="223"/>
      <c r="E53" s="177">
        <v>450</v>
      </c>
      <c r="F53" s="178">
        <v>1</v>
      </c>
      <c r="G53" s="177">
        <v>450</v>
      </c>
      <c r="H53" s="216"/>
      <c r="I53" s="216"/>
      <c r="J53" s="215"/>
      <c r="K53" s="215"/>
      <c r="L53" s="215"/>
      <c r="M53" s="216"/>
      <c r="N53" s="216"/>
      <c r="O53" s="179">
        <v>520</v>
      </c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</row>
    <row r="54" spans="1:35" ht="15.75" customHeight="1" thickBot="1">
      <c r="A54" s="216"/>
      <c r="B54" s="215"/>
      <c r="C54" s="215"/>
      <c r="D54" s="215"/>
      <c r="E54" s="216"/>
      <c r="F54" s="216"/>
      <c r="G54" s="179">
        <v>450</v>
      </c>
      <c r="H54" s="216"/>
      <c r="I54" s="216"/>
      <c r="J54" s="219" t="s">
        <v>324</v>
      </c>
      <c r="K54" s="219"/>
      <c r="L54" s="219"/>
      <c r="M54" s="217"/>
      <c r="N54" s="217"/>
      <c r="O54" s="217"/>
      <c r="P54" s="41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</row>
    <row r="55" spans="1:35" ht="15.75" customHeight="1" thickBot="1">
      <c r="A55" s="216"/>
      <c r="B55" s="219" t="s">
        <v>324</v>
      </c>
      <c r="C55" s="219"/>
      <c r="D55" s="219"/>
      <c r="E55" s="217"/>
      <c r="F55" s="217"/>
      <c r="G55" s="217"/>
      <c r="H55" s="216"/>
      <c r="I55" s="216"/>
      <c r="J55" s="223" t="s">
        <v>325</v>
      </c>
      <c r="K55" s="223"/>
      <c r="L55" s="223"/>
      <c r="M55" s="177">
        <v>95</v>
      </c>
      <c r="N55" s="178">
        <v>1</v>
      </c>
      <c r="O55" s="177">
        <v>95</v>
      </c>
      <c r="P55" s="41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</row>
    <row r="56" spans="1:35" ht="15.75" customHeight="1">
      <c r="A56" s="216"/>
      <c r="B56" s="223" t="s">
        <v>326</v>
      </c>
      <c r="C56" s="223"/>
      <c r="D56" s="223"/>
      <c r="E56" s="177">
        <v>360</v>
      </c>
      <c r="F56" s="178">
        <v>1</v>
      </c>
      <c r="G56" s="177">
        <v>360</v>
      </c>
      <c r="H56" s="216"/>
      <c r="I56" s="216"/>
      <c r="J56" s="215"/>
      <c r="K56" s="215"/>
      <c r="L56" s="215"/>
      <c r="M56" s="216"/>
      <c r="N56" s="216"/>
      <c r="O56" s="179">
        <v>95</v>
      </c>
      <c r="P56" s="41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</row>
    <row r="57" spans="1:35" ht="15.75" customHeight="1">
      <c r="A57" s="216"/>
      <c r="B57" s="215"/>
      <c r="C57" s="215"/>
      <c r="D57" s="215"/>
      <c r="E57" s="216"/>
      <c r="F57" s="216"/>
      <c r="G57" s="179">
        <v>360</v>
      </c>
      <c r="H57" s="216"/>
      <c r="I57" s="216"/>
      <c r="J57" s="230" t="s">
        <v>327</v>
      </c>
      <c r="K57" s="230"/>
      <c r="L57" s="230"/>
      <c r="M57" s="176"/>
      <c r="N57" s="176"/>
      <c r="O57" s="176"/>
      <c r="P57" s="41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</row>
    <row r="58" spans="1:35" ht="15.75" customHeight="1" thickBot="1">
      <c r="A58" s="216"/>
      <c r="B58" s="230" t="s">
        <v>327</v>
      </c>
      <c r="C58" s="230"/>
      <c r="D58" s="230"/>
      <c r="E58" s="176"/>
      <c r="F58" s="176"/>
      <c r="G58" s="176"/>
      <c r="H58" s="216"/>
      <c r="I58" s="216"/>
      <c r="J58" s="219" t="s">
        <v>328</v>
      </c>
      <c r="K58" s="219"/>
      <c r="L58" s="219"/>
      <c r="M58" s="217"/>
      <c r="N58" s="217"/>
      <c r="O58" s="217"/>
      <c r="P58" s="41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</row>
    <row r="59" spans="1:35" ht="15.75" customHeight="1" thickBot="1">
      <c r="A59" s="216"/>
      <c r="B59" s="219" t="s">
        <v>328</v>
      </c>
      <c r="C59" s="219"/>
      <c r="D59" s="219"/>
      <c r="E59" s="217"/>
      <c r="F59" s="217"/>
      <c r="G59" s="217"/>
      <c r="H59" s="216"/>
      <c r="I59" s="216"/>
      <c r="J59" s="223" t="s">
        <v>329</v>
      </c>
      <c r="K59" s="223"/>
      <c r="L59" s="223"/>
      <c r="M59" s="177">
        <v>0</v>
      </c>
      <c r="N59" s="178">
        <v>1</v>
      </c>
      <c r="O59" s="177">
        <v>0</v>
      </c>
      <c r="P59" s="41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</row>
    <row r="60" spans="1:35" ht="15.75" customHeight="1">
      <c r="A60" s="216"/>
      <c r="B60" s="223" t="s">
        <v>329</v>
      </c>
      <c r="C60" s="223"/>
      <c r="D60" s="223"/>
      <c r="E60" s="177">
        <v>250</v>
      </c>
      <c r="F60" s="178">
        <v>1</v>
      </c>
      <c r="G60" s="177">
        <v>250</v>
      </c>
      <c r="H60" s="216"/>
      <c r="I60" s="216"/>
      <c r="J60" s="215"/>
      <c r="K60" s="215"/>
      <c r="L60" s="215"/>
      <c r="M60" s="216"/>
      <c r="N60" s="216"/>
      <c r="O60" s="179">
        <v>0</v>
      </c>
      <c r="P60" s="41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</row>
    <row r="61" spans="1:35" ht="15.75" customHeight="1">
      <c r="A61" s="216"/>
      <c r="B61" s="215"/>
      <c r="C61" s="215"/>
      <c r="D61" s="215"/>
      <c r="E61" s="216"/>
      <c r="F61" s="216"/>
      <c r="G61" s="179">
        <v>250</v>
      </c>
      <c r="H61" s="216"/>
      <c r="I61" s="216"/>
      <c r="J61" s="230" t="s">
        <v>330</v>
      </c>
      <c r="K61" s="230"/>
      <c r="L61" s="230"/>
      <c r="M61" s="176"/>
      <c r="N61" s="176"/>
      <c r="O61" s="176"/>
      <c r="P61" s="41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</row>
    <row r="62" spans="1:35" ht="15.75" customHeight="1" thickBot="1">
      <c r="A62" s="216"/>
      <c r="B62" s="230" t="s">
        <v>330</v>
      </c>
      <c r="C62" s="230"/>
      <c r="D62" s="230"/>
      <c r="E62" s="176"/>
      <c r="F62" s="176"/>
      <c r="G62" s="176"/>
      <c r="H62" s="216"/>
      <c r="I62" s="216"/>
      <c r="J62" s="219" t="s">
        <v>331</v>
      </c>
      <c r="K62" s="219"/>
      <c r="L62" s="219"/>
      <c r="M62" s="220"/>
      <c r="N62" s="220"/>
      <c r="O62" s="217"/>
      <c r="P62" s="41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</row>
    <row r="63" spans="1:35" ht="15.75" customHeight="1" thickBot="1">
      <c r="A63" s="216"/>
      <c r="B63" s="219" t="s">
        <v>331</v>
      </c>
      <c r="C63" s="219"/>
      <c r="D63" s="219"/>
      <c r="E63" s="220"/>
      <c r="F63" s="220"/>
      <c r="G63" s="217"/>
      <c r="H63" s="216"/>
      <c r="I63" s="216"/>
      <c r="J63" s="223" t="s">
        <v>332</v>
      </c>
      <c r="K63" s="223"/>
      <c r="L63" s="223"/>
      <c r="M63" s="177">
        <v>1399</v>
      </c>
      <c r="N63" s="178">
        <v>1</v>
      </c>
      <c r="O63" s="177">
        <v>1399</v>
      </c>
      <c r="P63" s="41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</row>
    <row r="64" spans="1:35" ht="15.75" customHeight="1">
      <c r="A64" s="216"/>
      <c r="B64" s="223" t="s">
        <v>332</v>
      </c>
      <c r="C64" s="223"/>
      <c r="D64" s="223"/>
      <c r="E64" s="177">
        <v>1800</v>
      </c>
      <c r="F64" s="178">
        <v>1</v>
      </c>
      <c r="G64" s="177">
        <v>1800</v>
      </c>
      <c r="H64" s="216"/>
      <c r="I64" s="216"/>
      <c r="J64" s="215" t="s">
        <v>333</v>
      </c>
      <c r="K64" s="216"/>
      <c r="L64" s="216"/>
      <c r="M64" s="177">
        <v>399</v>
      </c>
      <c r="N64" s="178">
        <v>1</v>
      </c>
      <c r="O64" s="177">
        <v>399</v>
      </c>
      <c r="P64" s="41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</row>
    <row r="65" spans="1:35" ht="15.75" customHeight="1">
      <c r="A65" s="216"/>
      <c r="B65" s="222" t="s">
        <v>334</v>
      </c>
      <c r="C65" s="222"/>
      <c r="D65" s="222"/>
      <c r="E65" s="177">
        <v>249</v>
      </c>
      <c r="F65" s="178">
        <v>1</v>
      </c>
      <c r="G65" s="177">
        <v>249</v>
      </c>
      <c r="H65" s="216"/>
      <c r="I65" s="216"/>
      <c r="J65" s="222" t="s">
        <v>335</v>
      </c>
      <c r="K65" s="222"/>
      <c r="L65" s="222"/>
      <c r="M65" s="177">
        <v>253</v>
      </c>
      <c r="N65" s="178">
        <v>1</v>
      </c>
      <c r="O65" s="177">
        <v>253</v>
      </c>
      <c r="P65" s="41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</row>
    <row r="66" spans="1:35" ht="15.75" customHeight="1">
      <c r="A66" s="216"/>
      <c r="B66" s="222" t="s">
        <v>336</v>
      </c>
      <c r="C66" s="222"/>
      <c r="D66" s="222"/>
      <c r="E66" s="177">
        <v>1495</v>
      </c>
      <c r="F66" s="178">
        <v>1</v>
      </c>
      <c r="G66" s="177">
        <v>1495</v>
      </c>
      <c r="H66" s="216"/>
      <c r="I66" s="216"/>
      <c r="J66" s="222" t="s">
        <v>337</v>
      </c>
      <c r="K66" s="222"/>
      <c r="L66" s="222"/>
      <c r="M66" s="177">
        <v>1500</v>
      </c>
      <c r="N66" s="178">
        <v>1</v>
      </c>
      <c r="O66" s="177">
        <v>1500</v>
      </c>
      <c r="P66" s="41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</row>
    <row r="67" spans="1:35" ht="15.75" customHeight="1">
      <c r="A67" s="216"/>
      <c r="B67" s="222" t="s">
        <v>338</v>
      </c>
      <c r="C67" s="222"/>
      <c r="D67" s="222"/>
      <c r="E67" s="177">
        <v>500</v>
      </c>
      <c r="F67" s="178">
        <v>1</v>
      </c>
      <c r="G67" s="177">
        <v>500</v>
      </c>
      <c r="H67" s="216"/>
      <c r="I67" s="216"/>
      <c r="J67" s="222" t="s">
        <v>339</v>
      </c>
      <c r="K67" s="222"/>
      <c r="L67" s="222"/>
      <c r="M67" s="177">
        <v>320</v>
      </c>
      <c r="N67" s="178">
        <v>1</v>
      </c>
      <c r="O67" s="177">
        <v>320</v>
      </c>
      <c r="P67" s="41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</row>
    <row r="68" spans="1:35" ht="15.75" customHeight="1">
      <c r="A68" s="216"/>
      <c r="B68" s="222" t="s">
        <v>340</v>
      </c>
      <c r="C68" s="222"/>
      <c r="D68" s="222"/>
      <c r="E68" s="177">
        <v>1080</v>
      </c>
      <c r="F68" s="178">
        <v>1</v>
      </c>
      <c r="G68" s="177">
        <v>1080</v>
      </c>
      <c r="H68" s="216"/>
      <c r="I68" s="216"/>
      <c r="J68" s="222" t="s">
        <v>341</v>
      </c>
      <c r="K68" s="222"/>
      <c r="L68" s="222"/>
      <c r="M68" s="177">
        <v>317</v>
      </c>
      <c r="N68" s="178">
        <v>1</v>
      </c>
      <c r="O68" s="177">
        <v>317</v>
      </c>
      <c r="P68" s="41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</row>
    <row r="69" spans="1:35" ht="15.75" customHeight="1">
      <c r="A69" s="216"/>
      <c r="B69" s="215"/>
      <c r="C69" s="215"/>
      <c r="D69" s="215"/>
      <c r="E69" s="216"/>
      <c r="F69" s="216"/>
      <c r="G69" s="179">
        <v>5124</v>
      </c>
      <c r="H69" s="216"/>
      <c r="I69" s="216"/>
      <c r="J69" s="222" t="s">
        <v>342</v>
      </c>
      <c r="K69" s="222"/>
      <c r="L69" s="222"/>
      <c r="M69" s="177">
        <v>125</v>
      </c>
      <c r="N69" s="178">
        <v>1</v>
      </c>
      <c r="O69" s="177">
        <v>125</v>
      </c>
      <c r="P69" s="41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</row>
    <row r="70" spans="1:35" ht="15.75" customHeight="1">
      <c r="A70" s="216"/>
      <c r="B70" s="230" t="s">
        <v>343</v>
      </c>
      <c r="C70" s="230"/>
      <c r="D70" s="230"/>
      <c r="E70" s="176"/>
      <c r="F70" s="176"/>
      <c r="G70" s="176"/>
      <c r="H70" s="216"/>
      <c r="I70" s="216"/>
      <c r="J70" s="231"/>
      <c r="K70" s="231"/>
      <c r="L70" s="231"/>
      <c r="M70" s="177">
        <v>0</v>
      </c>
      <c r="N70" s="178">
        <v>1</v>
      </c>
      <c r="O70" s="177">
        <v>0</v>
      </c>
      <c r="P70" s="41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</row>
    <row r="71" spans="1:35" ht="15.75" customHeight="1" thickBot="1">
      <c r="A71" s="216"/>
      <c r="B71" s="219" t="s">
        <v>344</v>
      </c>
      <c r="C71" s="219"/>
      <c r="D71" s="219"/>
      <c r="E71" s="220"/>
      <c r="F71" s="220"/>
      <c r="G71" s="217"/>
      <c r="H71" s="216"/>
      <c r="I71" s="216"/>
      <c r="J71" s="215"/>
      <c r="K71" s="215"/>
      <c r="L71" s="215"/>
      <c r="M71" s="216"/>
      <c r="N71" s="216"/>
      <c r="O71" s="179">
        <v>4313</v>
      </c>
      <c r="P71" s="41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</row>
    <row r="72" spans="1:35" ht="15.75" customHeight="1">
      <c r="A72" s="216"/>
      <c r="B72" s="223" t="s">
        <v>345</v>
      </c>
      <c r="C72" s="223"/>
      <c r="D72" s="223"/>
      <c r="E72" s="177">
        <v>7720</v>
      </c>
      <c r="F72" s="178">
        <v>1</v>
      </c>
      <c r="G72" s="177">
        <v>7720</v>
      </c>
      <c r="H72" s="216"/>
      <c r="I72" s="216"/>
      <c r="J72" s="230" t="s">
        <v>343</v>
      </c>
      <c r="K72" s="230"/>
      <c r="L72" s="230"/>
      <c r="M72" s="176"/>
      <c r="N72" s="176"/>
      <c r="O72" s="176"/>
      <c r="P72" s="41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</row>
    <row r="73" spans="1:35" ht="15.75" customHeight="1" thickBot="1">
      <c r="A73" s="216"/>
      <c r="B73" s="222" t="s">
        <v>346</v>
      </c>
      <c r="C73" s="222"/>
      <c r="D73" s="222"/>
      <c r="E73" s="177">
        <v>350</v>
      </c>
      <c r="F73" s="178">
        <v>1</v>
      </c>
      <c r="G73" s="177">
        <v>350</v>
      </c>
      <c r="H73" s="216"/>
      <c r="I73" s="216"/>
      <c r="J73" s="219" t="s">
        <v>344</v>
      </c>
      <c r="K73" s="219"/>
      <c r="L73" s="219"/>
      <c r="M73" s="220"/>
      <c r="N73" s="220"/>
      <c r="O73" s="217"/>
      <c r="P73" s="41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</row>
    <row r="74" spans="1:35" ht="15.75" customHeight="1">
      <c r="A74" s="216"/>
      <c r="B74" s="222" t="s">
        <v>347</v>
      </c>
      <c r="C74" s="222"/>
      <c r="D74" s="222"/>
      <c r="E74" s="177">
        <v>100</v>
      </c>
      <c r="F74" s="178">
        <v>2</v>
      </c>
      <c r="G74" s="177">
        <v>200</v>
      </c>
      <c r="H74" s="216"/>
      <c r="I74" s="216"/>
      <c r="J74" s="223" t="s">
        <v>348</v>
      </c>
      <c r="K74" s="223"/>
      <c r="L74" s="223"/>
      <c r="M74" s="177">
        <v>1400</v>
      </c>
      <c r="N74" s="178">
        <v>1</v>
      </c>
      <c r="O74" s="177">
        <v>1400</v>
      </c>
      <c r="P74" s="41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</row>
    <row r="75" spans="1:35" ht="15.75" customHeight="1">
      <c r="A75" s="216"/>
      <c r="B75" s="222" t="s">
        <v>349</v>
      </c>
      <c r="C75" s="222"/>
      <c r="D75" s="222"/>
      <c r="E75" s="177">
        <v>100</v>
      </c>
      <c r="F75" s="178">
        <v>1</v>
      </c>
      <c r="G75" s="177">
        <v>100</v>
      </c>
      <c r="H75" s="216"/>
      <c r="I75" s="216"/>
      <c r="J75" s="222" t="s">
        <v>350</v>
      </c>
      <c r="K75" s="222"/>
      <c r="L75" s="222"/>
      <c r="M75" s="177">
        <v>1000</v>
      </c>
      <c r="N75" s="178">
        <v>1</v>
      </c>
      <c r="O75" s="177">
        <v>1000</v>
      </c>
      <c r="P75" s="41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</row>
    <row r="76" spans="1:35" ht="15.75" customHeight="1">
      <c r="A76" s="216"/>
      <c r="B76" s="222" t="s">
        <v>351</v>
      </c>
      <c r="C76" s="222"/>
      <c r="D76" s="222"/>
      <c r="E76" s="177">
        <v>750</v>
      </c>
      <c r="F76" s="178">
        <v>1</v>
      </c>
      <c r="G76" s="177">
        <v>750</v>
      </c>
      <c r="H76" s="216"/>
      <c r="I76" s="216"/>
      <c r="J76" s="222" t="s">
        <v>352</v>
      </c>
      <c r="K76" s="222"/>
      <c r="L76" s="222"/>
      <c r="M76" s="177">
        <v>550</v>
      </c>
      <c r="N76" s="178">
        <v>1</v>
      </c>
      <c r="O76" s="177">
        <v>550</v>
      </c>
      <c r="P76" s="41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</row>
    <row r="77" spans="1:35" ht="15.75" customHeight="1">
      <c r="A77" s="216"/>
      <c r="B77" s="222" t="s">
        <v>353</v>
      </c>
      <c r="C77" s="222"/>
      <c r="D77" s="222"/>
      <c r="E77" s="177">
        <v>200</v>
      </c>
      <c r="F77" s="178">
        <v>1</v>
      </c>
      <c r="G77" s="177">
        <v>200</v>
      </c>
      <c r="H77" s="216"/>
      <c r="I77" s="216"/>
      <c r="J77" s="222" t="s">
        <v>354</v>
      </c>
      <c r="K77" s="222"/>
      <c r="L77" s="222"/>
      <c r="M77" s="177">
        <v>275</v>
      </c>
      <c r="N77" s="178">
        <v>2</v>
      </c>
      <c r="O77" s="177">
        <v>550</v>
      </c>
      <c r="P77" s="41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</row>
    <row r="78" spans="1:35" ht="15.75" customHeight="1">
      <c r="A78" s="216"/>
      <c r="B78" s="222" t="s">
        <v>355</v>
      </c>
      <c r="C78" s="222"/>
      <c r="D78" s="222"/>
      <c r="E78" s="177">
        <v>1000</v>
      </c>
      <c r="F78" s="178">
        <v>1</v>
      </c>
      <c r="G78" s="177">
        <v>1000</v>
      </c>
      <c r="H78" s="216"/>
      <c r="I78" s="216"/>
      <c r="J78" s="222" t="s">
        <v>356</v>
      </c>
      <c r="K78" s="222"/>
      <c r="L78" s="222"/>
      <c r="M78" s="177">
        <v>161</v>
      </c>
      <c r="N78" s="178">
        <v>1</v>
      </c>
      <c r="O78" s="177">
        <v>161</v>
      </c>
      <c r="P78" s="41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</row>
    <row r="79" spans="1:35" ht="15.75" customHeight="1">
      <c r="A79" s="216"/>
      <c r="B79" s="222" t="s">
        <v>357</v>
      </c>
      <c r="C79" s="222"/>
      <c r="D79" s="222"/>
      <c r="E79" s="177">
        <v>180</v>
      </c>
      <c r="F79" s="178">
        <v>1</v>
      </c>
      <c r="G79" s="177">
        <v>180</v>
      </c>
      <c r="H79" s="216"/>
      <c r="I79" s="216"/>
      <c r="J79" s="222" t="s">
        <v>351</v>
      </c>
      <c r="K79" s="222"/>
      <c r="L79" s="222"/>
      <c r="M79" s="177">
        <v>700</v>
      </c>
      <c r="N79" s="178">
        <v>1</v>
      </c>
      <c r="O79" s="177">
        <v>700</v>
      </c>
      <c r="P79" s="41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</row>
    <row r="80" spans="1:35" ht="15.75" customHeight="1">
      <c r="A80" s="216"/>
      <c r="B80" s="222" t="s">
        <v>358</v>
      </c>
      <c r="C80" s="222"/>
      <c r="D80" s="222"/>
      <c r="E80" s="177">
        <v>700</v>
      </c>
      <c r="F80" s="178">
        <v>1</v>
      </c>
      <c r="G80" s="177">
        <v>700</v>
      </c>
      <c r="H80" s="216"/>
      <c r="I80" s="216"/>
      <c r="J80" s="222" t="s">
        <v>359</v>
      </c>
      <c r="K80" s="222"/>
      <c r="L80" s="222"/>
      <c r="M80" s="177">
        <v>219</v>
      </c>
      <c r="N80" s="178">
        <v>1</v>
      </c>
      <c r="O80" s="177">
        <v>219</v>
      </c>
      <c r="P80" s="41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</row>
    <row r="81" spans="1:35" ht="15.75" customHeight="1">
      <c r="A81" s="216"/>
      <c r="B81" s="222" t="s">
        <v>360</v>
      </c>
      <c r="C81" s="222"/>
      <c r="D81" s="222"/>
      <c r="E81" s="177">
        <v>600</v>
      </c>
      <c r="F81" s="178">
        <v>1</v>
      </c>
      <c r="G81" s="177">
        <v>600</v>
      </c>
      <c r="H81" s="216"/>
      <c r="I81" s="216"/>
      <c r="J81" s="222" t="s">
        <v>353</v>
      </c>
      <c r="K81" s="222"/>
      <c r="L81" s="222"/>
      <c r="M81" s="177">
        <v>0</v>
      </c>
      <c r="N81" s="178">
        <v>1</v>
      </c>
      <c r="O81" s="177">
        <v>0</v>
      </c>
      <c r="P81" s="41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</row>
    <row r="82" spans="1:35" ht="15.75" customHeight="1">
      <c r="A82" s="216"/>
      <c r="B82" s="222" t="s">
        <v>226</v>
      </c>
      <c r="C82" s="222"/>
      <c r="D82" s="222"/>
      <c r="E82" s="177">
        <v>300</v>
      </c>
      <c r="F82" s="178">
        <v>1</v>
      </c>
      <c r="G82" s="177">
        <v>300</v>
      </c>
      <c r="H82" s="216"/>
      <c r="I82" s="216"/>
      <c r="J82" s="222" t="s">
        <v>355</v>
      </c>
      <c r="K82" s="222"/>
      <c r="L82" s="222"/>
      <c r="M82" s="177">
        <v>892</v>
      </c>
      <c r="N82" s="178">
        <v>1</v>
      </c>
      <c r="O82" s="177">
        <v>892</v>
      </c>
      <c r="P82" s="41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</row>
    <row r="83" spans="1:35" ht="15.75" customHeight="1">
      <c r="A83" s="216"/>
      <c r="B83" s="216"/>
      <c r="C83" s="216"/>
      <c r="D83" s="216"/>
      <c r="E83" s="216"/>
      <c r="F83" s="216"/>
      <c r="G83" s="179">
        <v>12100</v>
      </c>
      <c r="H83" s="216"/>
      <c r="I83" s="216"/>
      <c r="J83" s="222" t="s">
        <v>358</v>
      </c>
      <c r="K83" s="222"/>
      <c r="L83" s="222"/>
      <c r="M83" s="177">
        <v>305</v>
      </c>
      <c r="N83" s="178">
        <v>1</v>
      </c>
      <c r="O83" s="177">
        <v>305</v>
      </c>
      <c r="P83" s="41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</row>
    <row r="84" spans="1:35" ht="15.75" customHeight="1" thickBot="1">
      <c r="A84" s="216"/>
      <c r="B84" s="219" t="s">
        <v>361</v>
      </c>
      <c r="C84" s="219"/>
      <c r="D84" s="219"/>
      <c r="E84" s="220"/>
      <c r="F84" s="220"/>
      <c r="G84" s="217"/>
      <c r="H84" s="216"/>
      <c r="I84" s="216"/>
      <c r="J84" s="222" t="s">
        <v>360</v>
      </c>
      <c r="K84" s="222"/>
      <c r="L84" s="222"/>
      <c r="M84" s="177">
        <v>807</v>
      </c>
      <c r="N84" s="178">
        <v>1</v>
      </c>
      <c r="O84" s="177">
        <v>807</v>
      </c>
      <c r="P84" s="41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</row>
    <row r="85" spans="1:35" ht="15.75" customHeight="1">
      <c r="A85" s="216"/>
      <c r="B85" s="223" t="s">
        <v>362</v>
      </c>
      <c r="C85" s="223"/>
      <c r="D85" s="223"/>
      <c r="E85" s="177">
        <v>275</v>
      </c>
      <c r="F85" s="178">
        <v>1</v>
      </c>
      <c r="G85" s="177">
        <v>275</v>
      </c>
      <c r="H85" s="216"/>
      <c r="I85" s="216"/>
      <c r="J85" s="222" t="s">
        <v>363</v>
      </c>
      <c r="K85" s="222"/>
      <c r="L85" s="222"/>
      <c r="M85" s="177">
        <v>41</v>
      </c>
      <c r="N85" s="178">
        <v>1</v>
      </c>
      <c r="O85" s="177">
        <v>41</v>
      </c>
      <c r="P85" s="41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</row>
    <row r="86" spans="1:35" ht="15.75" customHeight="1">
      <c r="A86" s="216"/>
      <c r="B86" s="222" t="s">
        <v>364</v>
      </c>
      <c r="C86" s="222"/>
      <c r="D86" s="222"/>
      <c r="E86" s="177">
        <v>200</v>
      </c>
      <c r="F86" s="178">
        <v>1</v>
      </c>
      <c r="G86" s="177">
        <v>200</v>
      </c>
      <c r="H86" s="216"/>
      <c r="I86" s="216"/>
      <c r="J86" s="216"/>
      <c r="K86" s="216"/>
      <c r="L86" s="216"/>
      <c r="M86" s="216"/>
      <c r="N86" s="216"/>
      <c r="O86" s="179">
        <v>6625</v>
      </c>
      <c r="P86" s="41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</row>
    <row r="87" spans="1:35" ht="15.75" customHeight="1" thickBot="1">
      <c r="A87" s="216"/>
      <c r="B87" s="215"/>
      <c r="C87" s="215"/>
      <c r="D87" s="215"/>
      <c r="E87" s="216"/>
      <c r="F87" s="216"/>
      <c r="G87" s="179">
        <v>275</v>
      </c>
      <c r="H87" s="216"/>
      <c r="I87" s="216"/>
      <c r="J87" s="219" t="s">
        <v>361</v>
      </c>
      <c r="K87" s="219"/>
      <c r="L87" s="219"/>
      <c r="M87" s="220"/>
      <c r="N87" s="220"/>
      <c r="O87" s="217"/>
      <c r="P87" s="41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</row>
    <row r="88" spans="1:35" ht="15.75" customHeight="1">
      <c r="A88" s="216"/>
      <c r="B88" s="180" t="s">
        <v>365</v>
      </c>
      <c r="C88" s="181"/>
      <c r="D88" s="181"/>
      <c r="E88" s="181"/>
      <c r="F88" s="181"/>
      <c r="G88" s="182">
        <v>25377.58</v>
      </c>
      <c r="H88" s="216"/>
      <c r="I88" s="216"/>
      <c r="J88" s="223" t="s">
        <v>366</v>
      </c>
      <c r="K88" s="223"/>
      <c r="L88" s="223"/>
      <c r="M88" s="177">
        <v>1161</v>
      </c>
      <c r="N88" s="178">
        <v>1</v>
      </c>
      <c r="O88" s="177">
        <v>1161</v>
      </c>
      <c r="P88" s="41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</row>
    <row r="89" spans="1:35" ht="15.75" customHeight="1" thickBot="1">
      <c r="A89" s="216"/>
      <c r="B89" s="183"/>
      <c r="C89" s="217"/>
      <c r="D89" s="183"/>
      <c r="E89" s="183"/>
      <c r="F89" s="183"/>
      <c r="G89" s="183"/>
      <c r="H89" s="216"/>
      <c r="I89" s="216"/>
      <c r="J89" s="222" t="s">
        <v>367</v>
      </c>
      <c r="K89" s="222"/>
      <c r="L89" s="222"/>
      <c r="M89" s="177">
        <v>750</v>
      </c>
      <c r="N89" s="178">
        <v>1</v>
      </c>
      <c r="O89" s="177">
        <v>750</v>
      </c>
      <c r="P89" s="41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</row>
    <row r="90" spans="1:35" ht="23.65" customHeight="1">
      <c r="A90" s="184"/>
      <c r="B90" s="224" t="s">
        <v>368</v>
      </c>
      <c r="C90" s="225"/>
      <c r="D90" s="225"/>
      <c r="E90" s="225"/>
      <c r="F90" s="225"/>
      <c r="G90" s="226"/>
      <c r="H90" s="216"/>
      <c r="I90" s="216"/>
      <c r="J90" s="215" t="s">
        <v>369</v>
      </c>
      <c r="K90" s="215"/>
      <c r="L90" s="215"/>
      <c r="M90" s="177">
        <v>841</v>
      </c>
      <c r="N90" s="178">
        <v>1</v>
      </c>
      <c r="O90" s="177">
        <v>841</v>
      </c>
      <c r="P90" s="41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</row>
    <row r="91" spans="1:35" ht="15.75" customHeight="1" thickBot="1">
      <c r="A91" s="184"/>
      <c r="B91" s="227"/>
      <c r="C91" s="228"/>
      <c r="D91" s="228"/>
      <c r="E91" s="228"/>
      <c r="F91" s="228"/>
      <c r="G91" s="229"/>
      <c r="H91" s="216"/>
      <c r="I91" s="216"/>
      <c r="J91" s="215" t="s">
        <v>370</v>
      </c>
      <c r="K91" s="215"/>
      <c r="L91" s="215"/>
      <c r="M91" s="177">
        <v>150</v>
      </c>
      <c r="N91" s="178">
        <v>1</v>
      </c>
      <c r="O91" s="177">
        <v>150</v>
      </c>
      <c r="P91" s="41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</row>
    <row r="92" spans="1:35" ht="15.75" customHeight="1">
      <c r="A92" s="216"/>
      <c r="B92" s="215"/>
      <c r="C92" s="216"/>
      <c r="D92" s="215"/>
      <c r="E92" s="215"/>
      <c r="F92" s="215"/>
      <c r="G92" s="215"/>
      <c r="H92" s="216"/>
      <c r="I92" s="216"/>
      <c r="J92" s="215" t="s">
        <v>371</v>
      </c>
      <c r="K92" s="215"/>
      <c r="L92" s="215"/>
      <c r="M92" s="177">
        <v>45</v>
      </c>
      <c r="N92" s="178">
        <v>1</v>
      </c>
      <c r="O92" s="177">
        <v>45</v>
      </c>
      <c r="P92" s="41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</row>
    <row r="93" spans="1:35" ht="15.75" customHeight="1">
      <c r="A93" s="216"/>
      <c r="B93" s="180" t="s">
        <v>372</v>
      </c>
      <c r="C93" s="181"/>
      <c r="D93" s="181"/>
      <c r="E93" s="252" t="s">
        <v>275</v>
      </c>
      <c r="F93" s="252" t="s">
        <v>276</v>
      </c>
      <c r="G93" s="252" t="s">
        <v>277</v>
      </c>
      <c r="H93" s="216"/>
      <c r="I93" s="216"/>
      <c r="J93" s="215" t="s">
        <v>373</v>
      </c>
      <c r="K93" s="215"/>
      <c r="L93" s="215"/>
      <c r="M93" s="177">
        <v>100</v>
      </c>
      <c r="N93" s="178">
        <v>1</v>
      </c>
      <c r="O93" s="177">
        <v>100</v>
      </c>
      <c r="P93" s="41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</row>
    <row r="94" spans="1:35" ht="15.75" customHeight="1">
      <c r="A94" s="216"/>
      <c r="B94" s="230" t="s">
        <v>343</v>
      </c>
      <c r="C94" s="230"/>
      <c r="D94" s="230"/>
      <c r="E94" s="176"/>
      <c r="F94" s="176"/>
      <c r="G94" s="176"/>
      <c r="H94" s="216"/>
      <c r="I94" s="216"/>
      <c r="J94" s="215" t="s">
        <v>226</v>
      </c>
      <c r="K94" s="215"/>
      <c r="L94" s="215"/>
      <c r="M94" s="177">
        <v>600</v>
      </c>
      <c r="N94" s="178">
        <v>1</v>
      </c>
      <c r="O94" s="177">
        <v>600</v>
      </c>
      <c r="P94" s="41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</row>
    <row r="95" spans="1:35" ht="15.75" customHeight="1">
      <c r="A95" s="216"/>
      <c r="B95" s="215"/>
      <c r="C95" s="216"/>
      <c r="D95" s="215"/>
      <c r="E95" s="215"/>
      <c r="F95" s="215"/>
      <c r="G95" s="215"/>
      <c r="H95" s="216"/>
      <c r="I95" s="216"/>
      <c r="J95" s="215" t="s">
        <v>374</v>
      </c>
      <c r="K95" s="215"/>
      <c r="L95" s="215"/>
      <c r="M95" s="177">
        <v>731</v>
      </c>
      <c r="N95" s="178">
        <v>1</v>
      </c>
      <c r="O95" s="177">
        <v>731</v>
      </c>
      <c r="P95" s="41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</row>
    <row r="96" spans="1:35" ht="15.75" customHeight="1" thickBot="1">
      <c r="A96" s="216"/>
      <c r="B96" s="219" t="s">
        <v>375</v>
      </c>
      <c r="C96" s="219"/>
      <c r="D96" s="219"/>
      <c r="E96" s="220"/>
      <c r="F96" s="220"/>
      <c r="G96" s="217"/>
      <c r="H96" s="216"/>
      <c r="I96" s="216"/>
      <c r="J96" s="215"/>
      <c r="K96" s="215"/>
      <c r="L96" s="215"/>
      <c r="M96" s="216"/>
      <c r="N96" s="216"/>
      <c r="O96" s="179">
        <v>4378</v>
      </c>
      <c r="P96" s="41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</row>
    <row r="97" spans="1:35" ht="15.75" customHeight="1">
      <c r="A97" s="216"/>
      <c r="B97" s="215" t="s">
        <v>376</v>
      </c>
      <c r="C97" s="215"/>
      <c r="D97" s="215"/>
      <c r="E97" s="177">
        <v>49.79</v>
      </c>
      <c r="F97" s="178">
        <v>1</v>
      </c>
      <c r="G97" s="177">
        <v>49.79</v>
      </c>
      <c r="H97" s="216"/>
      <c r="I97" s="216"/>
      <c r="J97" s="221" t="s">
        <v>377</v>
      </c>
      <c r="K97" s="221"/>
      <c r="L97" s="221"/>
      <c r="M97" s="181"/>
      <c r="N97" s="181"/>
      <c r="O97" s="182">
        <v>23241.99</v>
      </c>
      <c r="P97" s="41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</row>
    <row r="98" spans="1:35" ht="15.75" customHeight="1">
      <c r="A98" s="216"/>
      <c r="B98" s="215" t="s">
        <v>367</v>
      </c>
      <c r="C98" s="215"/>
      <c r="D98" s="215"/>
      <c r="E98" s="177">
        <v>329.7</v>
      </c>
      <c r="F98" s="178">
        <v>1</v>
      </c>
      <c r="G98" s="177">
        <v>329.7</v>
      </c>
      <c r="H98" s="216"/>
      <c r="I98" s="216"/>
      <c r="J98" s="215"/>
      <c r="K98" s="215"/>
      <c r="L98" s="215"/>
      <c r="M98" s="215"/>
      <c r="N98" s="215"/>
      <c r="O98" s="215"/>
      <c r="P98" s="41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</row>
    <row r="99" spans="1:35" ht="15.75" customHeight="1">
      <c r="A99" s="216"/>
      <c r="B99" s="215" t="s">
        <v>378</v>
      </c>
      <c r="C99" s="215"/>
      <c r="D99" s="215"/>
      <c r="E99" s="177">
        <v>127.99</v>
      </c>
      <c r="F99" s="178">
        <v>1</v>
      </c>
      <c r="G99" s="177">
        <v>127.99</v>
      </c>
      <c r="H99" s="216"/>
      <c r="I99" s="216"/>
      <c r="J99" s="215"/>
      <c r="K99" s="215"/>
      <c r="L99" s="215"/>
      <c r="M99" s="215"/>
      <c r="N99" s="215"/>
      <c r="O99" s="215"/>
      <c r="P99" s="41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</row>
    <row r="100" spans="1:35" ht="15.75" customHeight="1">
      <c r="A100" s="216"/>
      <c r="B100" s="215" t="s">
        <v>341</v>
      </c>
      <c r="C100" s="216"/>
      <c r="D100" s="215"/>
      <c r="E100" s="177">
        <v>364.68</v>
      </c>
      <c r="F100" s="178">
        <v>1</v>
      </c>
      <c r="G100" s="177">
        <v>364.68</v>
      </c>
      <c r="H100" s="216"/>
      <c r="I100" s="216"/>
      <c r="J100" s="215"/>
      <c r="K100" s="215"/>
      <c r="L100" s="215"/>
      <c r="M100" s="215"/>
      <c r="N100" s="215"/>
      <c r="O100" s="215"/>
      <c r="P100" s="41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</row>
    <row r="101" spans="1:35" ht="15.75" customHeight="1">
      <c r="A101" s="216"/>
      <c r="B101" s="216" t="s">
        <v>379</v>
      </c>
      <c r="C101" s="216"/>
      <c r="D101" s="215"/>
      <c r="E101" s="177">
        <v>95</v>
      </c>
      <c r="F101" s="178">
        <v>1</v>
      </c>
      <c r="G101" s="177">
        <v>95</v>
      </c>
      <c r="H101" s="216"/>
      <c r="I101" s="216"/>
      <c r="J101" s="215"/>
      <c r="K101" s="215"/>
      <c r="L101" s="215"/>
      <c r="M101" s="215"/>
      <c r="N101" s="215"/>
      <c r="O101" s="215"/>
      <c r="P101" s="41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</row>
    <row r="102" spans="1:35" ht="15.75" customHeight="1">
      <c r="A102" s="216"/>
      <c r="B102" s="216" t="s">
        <v>380</v>
      </c>
      <c r="C102" s="216"/>
      <c r="D102" s="216"/>
      <c r="E102" s="177">
        <v>155</v>
      </c>
      <c r="F102" s="178">
        <v>1</v>
      </c>
      <c r="G102" s="177">
        <v>155</v>
      </c>
      <c r="H102" s="216"/>
      <c r="I102" s="216"/>
      <c r="J102" s="216"/>
      <c r="K102" s="216"/>
      <c r="L102" s="216"/>
      <c r="M102" s="216"/>
      <c r="N102" s="216"/>
      <c r="O102" s="216"/>
      <c r="P102" s="41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</row>
    <row r="103" spans="1:35" ht="15.75" customHeight="1">
      <c r="A103" s="216"/>
      <c r="B103" s="216" t="s">
        <v>381</v>
      </c>
      <c r="C103" s="216"/>
      <c r="D103" s="216"/>
      <c r="E103" s="177">
        <v>231</v>
      </c>
      <c r="F103" s="178">
        <v>1</v>
      </c>
      <c r="G103" s="177">
        <v>231</v>
      </c>
      <c r="H103" s="216"/>
      <c r="I103" s="216"/>
      <c r="J103" s="216"/>
      <c r="K103" s="216"/>
      <c r="L103" s="216"/>
      <c r="M103" s="216"/>
      <c r="N103" s="216"/>
      <c r="O103" s="216"/>
      <c r="P103" s="41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</row>
    <row r="104" spans="1:35" ht="15.75" customHeight="1">
      <c r="A104" s="216"/>
      <c r="B104" s="185" t="s">
        <v>382</v>
      </c>
      <c r="C104" s="216"/>
      <c r="D104" s="216"/>
      <c r="E104" s="177">
        <v>727.2</v>
      </c>
      <c r="F104" s="178">
        <v>1</v>
      </c>
      <c r="G104" s="177">
        <v>727.2</v>
      </c>
      <c r="H104" s="216"/>
      <c r="I104" s="216"/>
      <c r="J104" s="216"/>
      <c r="K104" s="216"/>
      <c r="L104" s="216"/>
      <c r="M104" s="216"/>
      <c r="N104" s="216"/>
      <c r="O104" s="216"/>
      <c r="P104" s="41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</row>
    <row r="105" spans="1:35" ht="15.75" customHeight="1">
      <c r="A105" s="216"/>
      <c r="B105" s="185" t="s">
        <v>383</v>
      </c>
      <c r="C105" s="216"/>
      <c r="D105" s="216"/>
      <c r="E105" s="177">
        <v>480</v>
      </c>
      <c r="F105" s="178">
        <v>1</v>
      </c>
      <c r="G105" s="177">
        <v>480</v>
      </c>
      <c r="H105" s="216"/>
      <c r="I105" s="216"/>
      <c r="J105" s="216"/>
      <c r="K105" s="216"/>
      <c r="L105" s="216"/>
      <c r="M105" s="216"/>
      <c r="N105" s="216"/>
      <c r="O105" s="216"/>
      <c r="P105" s="41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</row>
    <row r="106" spans="1:35" ht="15.75" customHeight="1">
      <c r="A106" s="216"/>
      <c r="B106" s="216" t="s">
        <v>333</v>
      </c>
      <c r="C106" s="216"/>
      <c r="D106" s="216"/>
      <c r="E106" s="177">
        <v>505</v>
      </c>
      <c r="F106" s="178">
        <v>1</v>
      </c>
      <c r="G106" s="177">
        <v>505</v>
      </c>
      <c r="H106" s="216"/>
      <c r="I106" s="216"/>
      <c r="J106" s="216"/>
      <c r="K106" s="216"/>
      <c r="L106" s="216"/>
      <c r="M106" s="216"/>
      <c r="N106" s="216"/>
      <c r="O106" s="216"/>
      <c r="P106" s="41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</row>
    <row r="107" spans="1:35" ht="15.75" customHeight="1">
      <c r="A107" s="216"/>
      <c r="B107" s="216" t="s">
        <v>384</v>
      </c>
      <c r="C107" s="216"/>
      <c r="D107" s="216"/>
      <c r="E107" s="177">
        <v>82</v>
      </c>
      <c r="F107" s="178">
        <v>1</v>
      </c>
      <c r="G107" s="177">
        <v>82</v>
      </c>
      <c r="H107" s="216"/>
      <c r="I107" s="216"/>
      <c r="J107" s="216"/>
      <c r="K107" s="216"/>
      <c r="L107" s="216"/>
      <c r="M107" s="216"/>
      <c r="N107" s="216"/>
      <c r="O107" s="216"/>
      <c r="P107" s="41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</row>
    <row r="108" spans="1:35" ht="15.75" customHeight="1">
      <c r="A108" s="216"/>
      <c r="B108" s="185" t="s">
        <v>385</v>
      </c>
      <c r="C108" s="216"/>
      <c r="D108" s="216"/>
      <c r="E108" s="177">
        <v>576.24</v>
      </c>
      <c r="F108" s="178">
        <v>1</v>
      </c>
      <c r="G108" s="177">
        <v>576.24</v>
      </c>
      <c r="H108" s="216"/>
      <c r="I108" s="216"/>
      <c r="J108" s="216"/>
      <c r="K108" s="216"/>
      <c r="L108" s="216"/>
      <c r="M108" s="216"/>
      <c r="N108" s="216"/>
      <c r="O108" s="216"/>
      <c r="P108" s="41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</row>
    <row r="109" spans="1:35" ht="15.75" customHeight="1">
      <c r="A109" s="216"/>
      <c r="B109" s="216" t="s">
        <v>386</v>
      </c>
      <c r="C109" s="216"/>
      <c r="D109" s="216"/>
      <c r="E109" s="177">
        <v>99</v>
      </c>
      <c r="F109" s="178">
        <v>1</v>
      </c>
      <c r="G109" s="177">
        <v>99</v>
      </c>
      <c r="H109" s="216"/>
      <c r="I109" s="216"/>
      <c r="J109" s="216"/>
      <c r="K109" s="216"/>
      <c r="L109" s="216"/>
      <c r="M109" s="216"/>
      <c r="N109" s="216"/>
      <c r="O109" s="216"/>
      <c r="P109" s="41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</row>
    <row r="110" spans="1:35" ht="15.75" customHeight="1">
      <c r="A110" s="216"/>
      <c r="B110" s="185" t="s">
        <v>387</v>
      </c>
      <c r="C110" s="216"/>
      <c r="D110" s="216"/>
      <c r="E110" s="177">
        <v>350</v>
      </c>
      <c r="F110" s="178">
        <v>1</v>
      </c>
      <c r="G110" s="177">
        <v>350</v>
      </c>
      <c r="H110" s="216"/>
      <c r="I110" s="216"/>
      <c r="J110" s="216"/>
      <c r="K110" s="216"/>
      <c r="L110" s="216"/>
      <c r="M110" s="216"/>
      <c r="N110" s="216"/>
      <c r="O110" s="216"/>
      <c r="P110" s="41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</row>
    <row r="111" spans="1:35" ht="15.75" customHeight="1">
      <c r="A111" s="216"/>
      <c r="B111" s="185" t="s">
        <v>388</v>
      </c>
      <c r="C111" s="216"/>
      <c r="D111" s="216"/>
      <c r="E111" s="177">
        <v>225.55</v>
      </c>
      <c r="F111" s="178">
        <v>1</v>
      </c>
      <c r="G111" s="177">
        <v>225.55</v>
      </c>
      <c r="H111" s="216"/>
      <c r="I111" s="216"/>
      <c r="J111" s="216"/>
      <c r="K111" s="216"/>
      <c r="L111" s="216"/>
      <c r="M111" s="216"/>
      <c r="N111" s="216"/>
      <c r="O111" s="216"/>
      <c r="P111" s="41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</row>
    <row r="112" spans="1:35" ht="15.75" customHeight="1">
      <c r="A112" s="216"/>
      <c r="B112" s="185" t="s">
        <v>389</v>
      </c>
      <c r="C112" s="216"/>
      <c r="D112" s="216"/>
      <c r="E112" s="177">
        <v>177.81</v>
      </c>
      <c r="F112" s="178">
        <v>1</v>
      </c>
      <c r="G112" s="177">
        <v>177.81</v>
      </c>
      <c r="H112" s="216"/>
      <c r="I112" s="216"/>
      <c r="J112" s="216"/>
      <c r="K112" s="216"/>
      <c r="L112" s="216"/>
      <c r="M112" s="216"/>
      <c r="N112" s="216"/>
      <c r="O112" s="216"/>
      <c r="P112" s="41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</row>
    <row r="113" spans="1:35" ht="15.75" customHeight="1">
      <c r="A113" s="216"/>
      <c r="B113" s="216"/>
      <c r="C113" s="216"/>
      <c r="D113" s="216"/>
      <c r="E113" s="216"/>
      <c r="F113" s="216"/>
      <c r="G113" s="179">
        <v>4575.96</v>
      </c>
      <c r="H113" s="216"/>
      <c r="I113" s="216"/>
      <c r="J113" s="216"/>
      <c r="K113" s="216"/>
      <c r="L113" s="216"/>
      <c r="M113" s="216"/>
      <c r="N113" s="216"/>
      <c r="O113" s="216"/>
      <c r="P113" s="41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</row>
    <row r="114" spans="1:35" ht="15.75" customHeight="1">
      <c r="A114" s="216"/>
      <c r="B114" s="180" t="s">
        <v>390</v>
      </c>
      <c r="C114" s="181"/>
      <c r="D114" s="181"/>
      <c r="E114" s="181"/>
      <c r="F114" s="181"/>
      <c r="G114" s="182">
        <v>29953.54</v>
      </c>
      <c r="H114" s="216"/>
      <c r="I114" s="216"/>
      <c r="J114" s="216"/>
      <c r="K114" s="216"/>
      <c r="L114" s="216"/>
      <c r="M114" s="216"/>
      <c r="N114" s="216"/>
      <c r="O114" s="216"/>
      <c r="P114" s="41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</row>
    <row r="115" spans="1:3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41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</row>
    <row r="116" spans="1:35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41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</row>
    <row r="117" spans="1:35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41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</row>
    <row r="118" spans="1:35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41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</row>
    <row r="119" spans="1:35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41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</row>
    <row r="120" spans="1:35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41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</row>
    <row r="121" spans="1:35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41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</row>
    <row r="122" spans="1:35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41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</row>
    <row r="123" spans="1:35" ht="15.75" customHeight="1">
      <c r="A123" s="40"/>
      <c r="B123" s="13"/>
      <c r="C123" s="11"/>
      <c r="D123" s="13"/>
      <c r="E123" s="13"/>
      <c r="F123" s="13"/>
      <c r="G123" s="13"/>
      <c r="H123" s="11"/>
      <c r="I123" s="11"/>
      <c r="J123" s="13"/>
      <c r="K123" s="13"/>
      <c r="L123" s="13"/>
      <c r="M123" s="13"/>
      <c r="N123" s="13"/>
      <c r="O123" s="13"/>
      <c r="P123" s="41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</row>
    <row r="124" spans="1:35" ht="15.75" customHeight="1">
      <c r="A124" s="40"/>
      <c r="B124" s="13"/>
      <c r="C124" s="11"/>
      <c r="D124" s="13"/>
      <c r="E124" s="13"/>
      <c r="F124" s="13"/>
      <c r="G124" s="13"/>
      <c r="H124" s="11"/>
      <c r="I124" s="11"/>
      <c r="J124" s="13"/>
      <c r="K124" s="13"/>
      <c r="L124" s="13"/>
      <c r="M124" s="13"/>
      <c r="N124" s="13"/>
      <c r="O124" s="13"/>
      <c r="P124" s="41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</row>
    <row r="125" spans="1:35" ht="15.75" customHeight="1">
      <c r="A125" s="40"/>
      <c r="B125" s="13"/>
      <c r="C125" s="11"/>
      <c r="D125" s="13"/>
      <c r="E125" s="13"/>
      <c r="F125" s="13"/>
      <c r="G125" s="13"/>
      <c r="H125" s="11"/>
      <c r="I125" s="11"/>
      <c r="J125" s="13"/>
      <c r="K125" s="13"/>
      <c r="L125" s="13"/>
      <c r="M125" s="13"/>
      <c r="N125" s="13"/>
      <c r="O125" s="13"/>
      <c r="P125" s="41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</row>
    <row r="126" spans="1:35" ht="15.75" customHeight="1">
      <c r="A126" s="40"/>
      <c r="B126" s="13"/>
      <c r="C126" s="11"/>
      <c r="D126" s="13"/>
      <c r="E126" s="13"/>
      <c r="F126" s="13"/>
      <c r="G126" s="13"/>
      <c r="H126" s="11"/>
      <c r="I126" s="11"/>
      <c r="J126" s="13"/>
      <c r="K126" s="13"/>
      <c r="L126" s="13"/>
      <c r="M126" s="13"/>
      <c r="N126" s="13"/>
      <c r="O126" s="13"/>
      <c r="P126" s="41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</row>
    <row r="127" spans="1:35" ht="15.75" customHeight="1">
      <c r="A127" s="40"/>
      <c r="B127" s="13"/>
      <c r="C127" s="11"/>
      <c r="D127" s="13"/>
      <c r="E127" s="13"/>
      <c r="F127" s="13"/>
      <c r="G127" s="13"/>
      <c r="H127" s="11"/>
      <c r="I127" s="11"/>
      <c r="J127" s="13"/>
      <c r="K127" s="13"/>
      <c r="L127" s="13"/>
      <c r="M127" s="13"/>
      <c r="N127" s="13"/>
      <c r="O127" s="13"/>
      <c r="P127" s="41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</row>
    <row r="128" spans="1:35" ht="15.75" customHeight="1">
      <c r="A128" s="40"/>
      <c r="B128" s="13"/>
      <c r="C128" s="11"/>
      <c r="D128" s="13"/>
      <c r="E128" s="13"/>
      <c r="F128" s="13"/>
      <c r="G128" s="13"/>
      <c r="H128" s="11"/>
      <c r="I128" s="11"/>
      <c r="J128" s="13"/>
      <c r="K128" s="13"/>
      <c r="L128" s="13"/>
      <c r="M128" s="13"/>
      <c r="N128" s="13"/>
      <c r="O128" s="13"/>
      <c r="P128" s="41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</row>
    <row r="129" spans="1:35" ht="15.75" customHeight="1">
      <c r="A129" s="40"/>
      <c r="B129" s="13"/>
      <c r="C129" s="11"/>
      <c r="D129" s="13"/>
      <c r="E129" s="13"/>
      <c r="F129" s="13"/>
      <c r="G129" s="13"/>
      <c r="H129" s="11"/>
      <c r="I129" s="11"/>
      <c r="J129" s="13"/>
      <c r="K129" s="13"/>
      <c r="L129" s="13"/>
      <c r="M129" s="13"/>
      <c r="N129" s="13"/>
      <c r="O129" s="13"/>
      <c r="P129" s="41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</row>
    <row r="130" spans="1:35" ht="15.75" customHeight="1">
      <c r="A130" s="40"/>
      <c r="B130" s="13"/>
      <c r="C130" s="11"/>
      <c r="D130" s="13"/>
      <c r="E130" s="13"/>
      <c r="F130" s="13"/>
      <c r="G130" s="13"/>
      <c r="H130" s="11"/>
      <c r="I130" s="11"/>
      <c r="J130" s="13"/>
      <c r="K130" s="13"/>
      <c r="L130" s="13"/>
      <c r="M130" s="13"/>
      <c r="N130" s="13"/>
      <c r="O130" s="13"/>
      <c r="P130" s="41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</row>
    <row r="131" spans="1:35" ht="15.75" customHeight="1">
      <c r="A131" s="40"/>
      <c r="B131" s="13"/>
      <c r="C131" s="11"/>
      <c r="D131" s="13"/>
      <c r="E131" s="13"/>
      <c r="F131" s="13"/>
      <c r="G131" s="13"/>
      <c r="H131" s="11"/>
      <c r="I131" s="11"/>
      <c r="J131" s="13"/>
      <c r="K131" s="13"/>
      <c r="L131" s="13"/>
      <c r="M131" s="13"/>
      <c r="N131" s="13"/>
      <c r="O131" s="13"/>
      <c r="P131" s="41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</row>
    <row r="132" spans="1:35" ht="15.75" customHeight="1">
      <c r="A132" s="40"/>
      <c r="B132" s="13"/>
      <c r="C132" s="11"/>
      <c r="D132" s="13"/>
      <c r="E132" s="13"/>
      <c r="F132" s="13"/>
      <c r="G132" s="13"/>
      <c r="H132" s="11"/>
      <c r="I132" s="11"/>
      <c r="J132" s="13"/>
      <c r="K132" s="13"/>
      <c r="L132" s="13"/>
      <c r="M132" s="13"/>
      <c r="N132" s="13"/>
      <c r="O132" s="13"/>
      <c r="P132" s="41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</row>
    <row r="133" spans="1:35" ht="15.75" customHeight="1">
      <c r="A133" s="40"/>
      <c r="B133" s="13"/>
      <c r="C133" s="11"/>
      <c r="D133" s="13"/>
      <c r="E133" s="13"/>
      <c r="F133" s="13"/>
      <c r="G133" s="13"/>
      <c r="H133" s="11"/>
      <c r="I133" s="11"/>
      <c r="J133" s="13"/>
      <c r="K133" s="13"/>
      <c r="L133" s="13"/>
      <c r="M133" s="13"/>
      <c r="N133" s="13"/>
      <c r="O133" s="13"/>
      <c r="P133" s="41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</row>
    <row r="134" spans="1:35" ht="15.75" customHeight="1">
      <c r="A134" s="40"/>
      <c r="B134" s="13"/>
      <c r="C134" s="11"/>
      <c r="D134" s="13"/>
      <c r="E134" s="13"/>
      <c r="F134" s="13"/>
      <c r="G134" s="13"/>
      <c r="H134" s="11"/>
      <c r="I134" s="11"/>
      <c r="J134" s="13"/>
      <c r="K134" s="13"/>
      <c r="L134" s="13"/>
      <c r="M134" s="13"/>
      <c r="N134" s="13"/>
      <c r="O134" s="13"/>
      <c r="P134" s="41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</row>
    <row r="135" spans="1:35" ht="15.75" customHeight="1">
      <c r="A135" s="40"/>
      <c r="B135" s="13"/>
      <c r="C135" s="11"/>
      <c r="D135" s="13"/>
      <c r="E135" s="13"/>
      <c r="F135" s="13"/>
      <c r="G135" s="13"/>
      <c r="H135" s="11"/>
      <c r="I135" s="11"/>
      <c r="J135" s="13"/>
      <c r="K135" s="13"/>
      <c r="L135" s="13"/>
      <c r="M135" s="13"/>
      <c r="N135" s="13"/>
      <c r="O135" s="13"/>
      <c r="P135" s="41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</row>
    <row r="136" spans="1:35" ht="15.75" customHeight="1">
      <c r="A136" s="40"/>
      <c r="B136" s="13"/>
      <c r="C136" s="11"/>
      <c r="D136" s="13"/>
      <c r="E136" s="13"/>
      <c r="F136" s="13"/>
      <c r="G136" s="13"/>
      <c r="H136" s="11"/>
      <c r="I136" s="11"/>
      <c r="J136" s="13"/>
      <c r="K136" s="13"/>
      <c r="L136" s="13"/>
      <c r="M136" s="13"/>
      <c r="N136" s="13"/>
      <c r="O136" s="13"/>
      <c r="P136" s="41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</row>
    <row r="137" spans="1:35" ht="15.75" customHeight="1">
      <c r="A137" s="40"/>
      <c r="B137" s="13"/>
      <c r="C137" s="11"/>
      <c r="D137" s="13"/>
      <c r="E137" s="13"/>
      <c r="F137" s="13"/>
      <c r="G137" s="13"/>
      <c r="H137" s="11"/>
      <c r="I137" s="11"/>
      <c r="J137" s="13"/>
      <c r="K137" s="13"/>
      <c r="L137" s="13"/>
      <c r="M137" s="13"/>
      <c r="N137" s="13"/>
      <c r="O137" s="13"/>
      <c r="P137" s="41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</row>
    <row r="138" spans="1:35" ht="15.75" customHeight="1">
      <c r="A138" s="40"/>
      <c r="B138" s="13"/>
      <c r="C138" s="11"/>
      <c r="D138" s="13"/>
      <c r="E138" s="13"/>
      <c r="F138" s="13"/>
      <c r="G138" s="13"/>
      <c r="H138" s="11"/>
      <c r="I138" s="11"/>
      <c r="J138" s="13"/>
      <c r="K138" s="13"/>
      <c r="L138" s="13"/>
      <c r="M138" s="13"/>
      <c r="N138" s="13"/>
      <c r="O138" s="13"/>
      <c r="P138" s="41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</row>
    <row r="139" spans="1:35" ht="15.75" customHeight="1">
      <c r="A139" s="40"/>
      <c r="B139" s="13"/>
      <c r="C139" s="11"/>
      <c r="D139" s="13"/>
      <c r="E139" s="13"/>
      <c r="F139" s="13"/>
      <c r="G139" s="13"/>
      <c r="H139" s="11"/>
      <c r="I139" s="11"/>
      <c r="J139" s="13"/>
      <c r="K139" s="13"/>
      <c r="L139" s="13"/>
      <c r="M139" s="13"/>
      <c r="N139" s="13"/>
      <c r="O139" s="13"/>
      <c r="P139" s="41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</row>
    <row r="140" spans="1:35" ht="15.75" customHeight="1">
      <c r="A140" s="40"/>
      <c r="B140" s="13"/>
      <c r="C140" s="11"/>
      <c r="D140" s="13"/>
      <c r="E140" s="13"/>
      <c r="F140" s="13"/>
      <c r="G140" s="13"/>
      <c r="H140" s="11"/>
      <c r="I140" s="11"/>
      <c r="J140" s="13"/>
      <c r="K140" s="13"/>
      <c r="L140" s="13"/>
      <c r="M140" s="13"/>
      <c r="N140" s="13"/>
      <c r="O140" s="13"/>
      <c r="P140" s="41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</row>
    <row r="141" spans="1:35" ht="15.75" customHeight="1">
      <c r="A141" s="40"/>
      <c r="B141" s="13"/>
      <c r="C141" s="11"/>
      <c r="D141" s="13"/>
      <c r="E141" s="13"/>
      <c r="F141" s="13"/>
      <c r="G141" s="13"/>
      <c r="H141" s="11"/>
      <c r="I141" s="11"/>
      <c r="J141" s="13"/>
      <c r="K141" s="13"/>
      <c r="L141" s="13"/>
      <c r="M141" s="13"/>
      <c r="N141" s="13"/>
      <c r="O141" s="13"/>
      <c r="P141" s="41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</row>
    <row r="142" spans="1:35" ht="15.75" customHeight="1">
      <c r="A142" s="40"/>
      <c r="B142" s="13"/>
      <c r="C142" s="11"/>
      <c r="D142" s="13"/>
      <c r="E142" s="13"/>
      <c r="F142" s="13"/>
      <c r="G142" s="13"/>
      <c r="H142" s="11"/>
      <c r="I142" s="11"/>
      <c r="J142" s="13"/>
      <c r="K142" s="13"/>
      <c r="L142" s="13"/>
      <c r="M142" s="13"/>
      <c r="N142" s="13"/>
      <c r="O142" s="13"/>
      <c r="P142" s="41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</row>
    <row r="143" spans="1:35" ht="15.75" customHeight="1">
      <c r="A143" s="40"/>
      <c r="B143" s="13"/>
      <c r="C143" s="11"/>
      <c r="D143" s="13"/>
      <c r="E143" s="13"/>
      <c r="F143" s="13"/>
      <c r="G143" s="13"/>
      <c r="H143" s="11"/>
      <c r="I143" s="11"/>
      <c r="J143" s="13"/>
      <c r="K143" s="13"/>
      <c r="L143" s="13"/>
      <c r="M143" s="13"/>
      <c r="N143" s="13"/>
      <c r="O143" s="13"/>
      <c r="P143" s="41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</row>
    <row r="144" spans="1:35" ht="15.75" customHeight="1">
      <c r="A144" s="40"/>
      <c r="B144" s="13"/>
      <c r="C144" s="11"/>
      <c r="D144" s="13"/>
      <c r="E144" s="13"/>
      <c r="F144" s="13"/>
      <c r="G144" s="13"/>
      <c r="H144" s="11"/>
      <c r="I144" s="11"/>
      <c r="J144" s="13"/>
      <c r="K144" s="13"/>
      <c r="L144" s="13"/>
      <c r="M144" s="13"/>
      <c r="N144" s="13"/>
      <c r="O144" s="13"/>
      <c r="P144" s="41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</row>
    <row r="145" spans="1:35" ht="15.75" customHeight="1">
      <c r="A145" s="40"/>
      <c r="B145" s="13"/>
      <c r="C145" s="11"/>
      <c r="D145" s="13"/>
      <c r="E145" s="13"/>
      <c r="F145" s="13"/>
      <c r="G145" s="13"/>
      <c r="H145" s="11"/>
      <c r="I145" s="11"/>
      <c r="J145" s="13"/>
      <c r="K145" s="13"/>
      <c r="L145" s="13"/>
      <c r="M145" s="13"/>
      <c r="N145" s="13"/>
      <c r="O145" s="13"/>
      <c r="P145" s="41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</row>
    <row r="146" spans="1:35" ht="15.75" customHeight="1">
      <c r="A146" s="40"/>
      <c r="B146" s="13"/>
      <c r="C146" s="11"/>
      <c r="D146" s="13"/>
      <c r="E146" s="13"/>
      <c r="F146" s="13"/>
      <c r="G146" s="13"/>
      <c r="H146" s="11"/>
      <c r="I146" s="11"/>
      <c r="J146" s="13"/>
      <c r="K146" s="13"/>
      <c r="L146" s="13"/>
      <c r="M146" s="13"/>
      <c r="N146" s="13"/>
      <c r="O146" s="13"/>
      <c r="P146" s="41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</row>
    <row r="147" spans="1:35" ht="15.75" customHeight="1">
      <c r="A147" s="40"/>
      <c r="B147" s="13"/>
      <c r="C147" s="11"/>
      <c r="D147" s="13"/>
      <c r="E147" s="13"/>
      <c r="F147" s="13"/>
      <c r="G147" s="13"/>
      <c r="H147" s="11"/>
      <c r="I147" s="11"/>
      <c r="J147" s="13"/>
      <c r="K147" s="13"/>
      <c r="L147" s="13"/>
      <c r="M147" s="13"/>
      <c r="N147" s="13"/>
      <c r="O147" s="13"/>
      <c r="P147" s="41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</row>
    <row r="148" spans="1:35" ht="15.75" customHeight="1">
      <c r="A148" s="40"/>
      <c r="B148" s="13"/>
      <c r="C148" s="11"/>
      <c r="D148" s="13"/>
      <c r="E148" s="13"/>
      <c r="F148" s="13"/>
      <c r="G148" s="13"/>
      <c r="H148" s="11"/>
      <c r="I148" s="11"/>
      <c r="J148" s="13"/>
      <c r="K148" s="13"/>
      <c r="L148" s="13"/>
      <c r="M148" s="13"/>
      <c r="N148" s="13"/>
      <c r="O148" s="13"/>
      <c r="P148" s="41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</row>
    <row r="149" spans="1:35" ht="15.75" customHeight="1">
      <c r="A149" s="40"/>
      <c r="B149" s="13"/>
      <c r="C149" s="11"/>
      <c r="D149" s="13"/>
      <c r="E149" s="13"/>
      <c r="F149" s="13"/>
      <c r="G149" s="13"/>
      <c r="H149" s="11"/>
      <c r="I149" s="11"/>
      <c r="J149" s="13"/>
      <c r="K149" s="13"/>
      <c r="L149" s="13"/>
      <c r="M149" s="13"/>
      <c r="N149" s="13"/>
      <c r="O149" s="13"/>
      <c r="P149" s="41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</row>
    <row r="150" spans="1:35" ht="15.75" customHeight="1">
      <c r="A150" s="40"/>
      <c r="B150" s="13"/>
      <c r="C150" s="11"/>
      <c r="D150" s="13"/>
      <c r="E150" s="13"/>
      <c r="F150" s="13"/>
      <c r="G150" s="13"/>
      <c r="H150" s="11"/>
      <c r="I150" s="11"/>
      <c r="J150" s="13"/>
      <c r="K150" s="13"/>
      <c r="L150" s="13"/>
      <c r="M150" s="13"/>
      <c r="N150" s="13"/>
      <c r="O150" s="13"/>
      <c r="P150" s="41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</row>
    <row r="151" spans="1:35" ht="15.75" customHeight="1">
      <c r="A151" s="40"/>
      <c r="B151" s="13"/>
      <c r="C151" s="11"/>
      <c r="D151" s="13"/>
      <c r="E151" s="13"/>
      <c r="F151" s="13"/>
      <c r="G151" s="13"/>
      <c r="H151" s="11"/>
      <c r="I151" s="11"/>
      <c r="J151" s="13"/>
      <c r="K151" s="13"/>
      <c r="L151" s="13"/>
      <c r="M151" s="13"/>
      <c r="N151" s="13"/>
      <c r="O151" s="13"/>
      <c r="P151" s="41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</row>
    <row r="152" spans="1:35" ht="15.75" customHeight="1">
      <c r="A152" s="40"/>
      <c r="B152" s="13"/>
      <c r="C152" s="11"/>
      <c r="D152" s="13"/>
      <c r="E152" s="13"/>
      <c r="F152" s="13"/>
      <c r="G152" s="13"/>
      <c r="H152" s="11"/>
      <c r="I152" s="11"/>
      <c r="J152" s="13"/>
      <c r="K152" s="13"/>
      <c r="L152" s="13"/>
      <c r="M152" s="13"/>
      <c r="N152" s="13"/>
      <c r="O152" s="13"/>
      <c r="P152" s="41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</row>
    <row r="153" spans="1:35" ht="15.75" customHeight="1">
      <c r="A153" s="40"/>
      <c r="B153" s="13"/>
      <c r="C153" s="11"/>
      <c r="D153" s="13"/>
      <c r="E153" s="13"/>
      <c r="F153" s="13"/>
      <c r="G153" s="13"/>
      <c r="H153" s="11"/>
      <c r="I153" s="11"/>
      <c r="J153" s="13"/>
      <c r="K153" s="13"/>
      <c r="L153" s="13"/>
      <c r="M153" s="13"/>
      <c r="N153" s="13"/>
      <c r="O153" s="13"/>
      <c r="P153" s="41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</row>
    <row r="154" spans="1:35" ht="15.75" customHeight="1">
      <c r="A154" s="40"/>
      <c r="B154" s="13"/>
      <c r="C154" s="11"/>
      <c r="D154" s="13"/>
      <c r="E154" s="13"/>
      <c r="F154" s="13"/>
      <c r="G154" s="13"/>
      <c r="H154" s="11"/>
      <c r="I154" s="11"/>
      <c r="J154" s="13"/>
      <c r="K154" s="13"/>
      <c r="L154" s="13"/>
      <c r="M154" s="13"/>
      <c r="N154" s="13"/>
      <c r="O154" s="13"/>
      <c r="P154" s="41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</row>
    <row r="155" spans="1:35" ht="15.75" customHeight="1">
      <c r="A155" s="40"/>
      <c r="B155" s="13"/>
      <c r="C155" s="11"/>
      <c r="D155" s="13"/>
      <c r="E155" s="13"/>
      <c r="F155" s="13"/>
      <c r="G155" s="13"/>
      <c r="H155" s="11"/>
      <c r="I155" s="11"/>
      <c r="J155" s="13"/>
      <c r="K155" s="13"/>
      <c r="L155" s="13"/>
      <c r="M155" s="13"/>
      <c r="N155" s="13"/>
      <c r="O155" s="13"/>
      <c r="P155" s="41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</row>
    <row r="156" spans="1:35" ht="15.75" customHeight="1">
      <c r="A156" s="40"/>
      <c r="B156" s="13"/>
      <c r="C156" s="11"/>
      <c r="D156" s="13"/>
      <c r="E156" s="13"/>
      <c r="F156" s="13"/>
      <c r="G156" s="13"/>
      <c r="H156" s="11"/>
      <c r="I156" s="11"/>
      <c r="J156" s="13"/>
      <c r="K156" s="13"/>
      <c r="L156" s="13"/>
      <c r="M156" s="13"/>
      <c r="N156" s="13"/>
      <c r="O156" s="13"/>
      <c r="P156" s="41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</row>
    <row r="157" spans="1:35" ht="15.75" customHeight="1">
      <c r="A157" s="40"/>
      <c r="B157" s="13"/>
      <c r="C157" s="11"/>
      <c r="D157" s="13"/>
      <c r="E157" s="13"/>
      <c r="F157" s="13"/>
      <c r="G157" s="13"/>
      <c r="H157" s="11"/>
      <c r="I157" s="11"/>
      <c r="J157" s="13"/>
      <c r="K157" s="13"/>
      <c r="L157" s="13"/>
      <c r="M157" s="13"/>
      <c r="N157" s="13"/>
      <c r="O157" s="13"/>
      <c r="P157" s="41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</row>
    <row r="158" spans="1:35" ht="15.75" customHeight="1">
      <c r="A158" s="40"/>
      <c r="B158" s="13"/>
      <c r="C158" s="11"/>
      <c r="D158" s="13"/>
      <c r="E158" s="13"/>
      <c r="F158" s="13"/>
      <c r="G158" s="13"/>
      <c r="H158" s="11"/>
      <c r="I158" s="11"/>
      <c r="J158" s="13"/>
      <c r="K158" s="13"/>
      <c r="L158" s="13"/>
      <c r="M158" s="13"/>
      <c r="N158" s="13"/>
      <c r="O158" s="13"/>
      <c r="P158" s="41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</row>
    <row r="159" spans="1:35" ht="15.75" customHeight="1">
      <c r="A159" s="40"/>
      <c r="B159" s="13"/>
      <c r="C159" s="11"/>
      <c r="D159" s="13"/>
      <c r="E159" s="13"/>
      <c r="F159" s="13"/>
      <c r="G159" s="13"/>
      <c r="H159" s="11"/>
      <c r="I159" s="11"/>
      <c r="J159" s="13"/>
      <c r="K159" s="13"/>
      <c r="L159" s="13"/>
      <c r="M159" s="13"/>
      <c r="N159" s="13"/>
      <c r="O159" s="13"/>
      <c r="P159" s="41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</row>
    <row r="160" spans="1:35" ht="15.75" customHeight="1">
      <c r="A160" s="40"/>
      <c r="B160" s="13"/>
      <c r="C160" s="11"/>
      <c r="D160" s="13"/>
      <c r="E160" s="13"/>
      <c r="F160" s="13"/>
      <c r="G160" s="13"/>
      <c r="H160" s="11"/>
      <c r="I160" s="11"/>
      <c r="J160" s="13"/>
      <c r="K160" s="13"/>
      <c r="L160" s="13"/>
      <c r="M160" s="13"/>
      <c r="N160" s="13"/>
      <c r="O160" s="13"/>
      <c r="P160" s="41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</row>
    <row r="161" spans="1:35" ht="15.75" customHeight="1">
      <c r="A161" s="40"/>
      <c r="B161" s="13"/>
      <c r="C161" s="11"/>
      <c r="D161" s="13"/>
      <c r="E161" s="13"/>
      <c r="F161" s="13"/>
      <c r="G161" s="13"/>
      <c r="H161" s="11"/>
      <c r="I161" s="11"/>
      <c r="J161" s="13"/>
      <c r="K161" s="13"/>
      <c r="L161" s="13"/>
      <c r="M161" s="13"/>
      <c r="N161" s="13"/>
      <c r="O161" s="13"/>
      <c r="P161" s="41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</row>
    <row r="162" spans="1:35" ht="15.75" customHeight="1">
      <c r="A162" s="40"/>
      <c r="B162" s="13"/>
      <c r="C162" s="11"/>
      <c r="D162" s="13"/>
      <c r="E162" s="13"/>
      <c r="F162" s="13"/>
      <c r="G162" s="13"/>
      <c r="H162" s="11"/>
      <c r="I162" s="11"/>
      <c r="J162" s="13"/>
      <c r="K162" s="13"/>
      <c r="L162" s="13"/>
      <c r="M162" s="13"/>
      <c r="N162" s="13"/>
      <c r="O162" s="13"/>
      <c r="P162" s="41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</row>
    <row r="163" spans="1:35" ht="15.75" customHeight="1">
      <c r="A163" s="40"/>
      <c r="B163" s="13"/>
      <c r="C163" s="11"/>
      <c r="D163" s="13"/>
      <c r="E163" s="13"/>
      <c r="F163" s="13"/>
      <c r="G163" s="13"/>
      <c r="H163" s="11"/>
      <c r="I163" s="11"/>
      <c r="J163" s="13"/>
      <c r="K163" s="13"/>
      <c r="L163" s="13"/>
      <c r="M163" s="13"/>
      <c r="N163" s="13"/>
      <c r="O163" s="13"/>
      <c r="P163" s="41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</row>
    <row r="164" spans="1:35" ht="15.75" customHeight="1">
      <c r="A164" s="40"/>
      <c r="B164" s="13"/>
      <c r="C164" s="11"/>
      <c r="D164" s="13"/>
      <c r="E164" s="13"/>
      <c r="F164" s="13"/>
      <c r="G164" s="13"/>
      <c r="H164" s="11"/>
      <c r="I164" s="11"/>
      <c r="J164" s="13"/>
      <c r="K164" s="13"/>
      <c r="L164" s="13"/>
      <c r="M164" s="13"/>
      <c r="N164" s="13"/>
      <c r="O164" s="13"/>
      <c r="P164" s="41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</row>
    <row r="165" spans="1:35" ht="15.75" customHeight="1">
      <c r="A165" s="40"/>
      <c r="B165" s="13"/>
      <c r="C165" s="11"/>
      <c r="D165" s="13"/>
      <c r="E165" s="13"/>
      <c r="F165" s="13"/>
      <c r="G165" s="13"/>
      <c r="H165" s="11"/>
      <c r="I165" s="11"/>
      <c r="J165" s="13"/>
      <c r="K165" s="13"/>
      <c r="L165" s="13"/>
      <c r="M165" s="13"/>
      <c r="N165" s="13"/>
      <c r="O165" s="13"/>
      <c r="P165" s="41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</row>
    <row r="166" spans="1:35" ht="15.75" customHeight="1">
      <c r="A166" s="40"/>
      <c r="B166" s="13"/>
      <c r="C166" s="11"/>
      <c r="D166" s="13"/>
      <c r="E166" s="13"/>
      <c r="F166" s="13"/>
      <c r="G166" s="13"/>
      <c r="H166" s="11"/>
      <c r="I166" s="11"/>
      <c r="J166" s="13"/>
      <c r="K166" s="13"/>
      <c r="L166" s="13"/>
      <c r="M166" s="13"/>
      <c r="N166" s="13"/>
      <c r="O166" s="13"/>
      <c r="P166" s="41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</row>
    <row r="167" spans="1:35" ht="15.75" customHeight="1">
      <c r="A167" s="40"/>
      <c r="B167" s="13"/>
      <c r="C167" s="11"/>
      <c r="D167" s="13"/>
      <c r="E167" s="13"/>
      <c r="F167" s="13"/>
      <c r="G167" s="13"/>
      <c r="H167" s="11"/>
      <c r="I167" s="11"/>
      <c r="J167" s="13"/>
      <c r="K167" s="13"/>
      <c r="L167" s="13"/>
      <c r="M167" s="13"/>
      <c r="N167" s="13"/>
      <c r="O167" s="13"/>
      <c r="P167" s="41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</row>
    <row r="168" spans="1:35" ht="15.75" customHeight="1">
      <c r="A168" s="40"/>
      <c r="B168" s="13"/>
      <c r="C168" s="11"/>
      <c r="D168" s="13"/>
      <c r="E168" s="13"/>
      <c r="F168" s="13"/>
      <c r="G168" s="13"/>
      <c r="H168" s="11"/>
      <c r="I168" s="11"/>
      <c r="J168" s="13"/>
      <c r="K168" s="13"/>
      <c r="L168" s="13"/>
      <c r="M168" s="13"/>
      <c r="N168" s="13"/>
      <c r="O168" s="13"/>
      <c r="P168" s="41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</row>
    <row r="169" spans="1:35" ht="15.75" customHeight="1">
      <c r="A169" s="40"/>
      <c r="B169" s="13"/>
      <c r="C169" s="11"/>
      <c r="D169" s="13"/>
      <c r="E169" s="13"/>
      <c r="F169" s="13"/>
      <c r="G169" s="13"/>
      <c r="H169" s="11"/>
      <c r="I169" s="11"/>
      <c r="J169" s="13"/>
      <c r="K169" s="13"/>
      <c r="L169" s="13"/>
      <c r="M169" s="13"/>
      <c r="N169" s="13"/>
      <c r="O169" s="13"/>
      <c r="P169" s="41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</row>
    <row r="170" spans="1:35" ht="15.75" customHeight="1">
      <c r="A170" s="40"/>
      <c r="B170" s="13"/>
      <c r="C170" s="11"/>
      <c r="D170" s="13"/>
      <c r="E170" s="13"/>
      <c r="F170" s="13"/>
      <c r="G170" s="13"/>
      <c r="H170" s="11"/>
      <c r="I170" s="11"/>
      <c r="J170" s="13"/>
      <c r="K170" s="13"/>
      <c r="L170" s="13"/>
      <c r="M170" s="13"/>
      <c r="N170" s="13"/>
      <c r="O170" s="13"/>
      <c r="P170" s="41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</row>
    <row r="171" spans="1:35" ht="15.75" customHeight="1">
      <c r="A171" s="40"/>
      <c r="B171" s="13"/>
      <c r="C171" s="11"/>
      <c r="D171" s="13"/>
      <c r="E171" s="13"/>
      <c r="F171" s="13"/>
      <c r="G171" s="13"/>
      <c r="H171" s="11"/>
      <c r="I171" s="11"/>
      <c r="J171" s="13"/>
      <c r="K171" s="13"/>
      <c r="L171" s="13"/>
      <c r="M171" s="13"/>
      <c r="N171" s="13"/>
      <c r="O171" s="13"/>
      <c r="P171" s="41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</row>
    <row r="172" spans="1:35" ht="15.75" customHeight="1">
      <c r="A172" s="40"/>
      <c r="B172" s="13"/>
      <c r="C172" s="11"/>
      <c r="D172" s="13"/>
      <c r="E172" s="13"/>
      <c r="F172" s="13"/>
      <c r="G172" s="13"/>
      <c r="H172" s="11"/>
      <c r="I172" s="11"/>
      <c r="J172" s="13"/>
      <c r="K172" s="13"/>
      <c r="L172" s="13"/>
      <c r="M172" s="13"/>
      <c r="N172" s="13"/>
      <c r="O172" s="13"/>
      <c r="P172" s="41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</row>
    <row r="173" spans="1:35" ht="15.75" customHeight="1">
      <c r="A173" s="40"/>
      <c r="B173" s="13"/>
      <c r="C173" s="11"/>
      <c r="D173" s="13"/>
      <c r="E173" s="13"/>
      <c r="F173" s="13"/>
      <c r="G173" s="13"/>
      <c r="H173" s="11"/>
      <c r="I173" s="11"/>
      <c r="J173" s="13"/>
      <c r="K173" s="13"/>
      <c r="L173" s="13"/>
      <c r="M173" s="13"/>
      <c r="N173" s="13"/>
      <c r="O173" s="13"/>
      <c r="P173" s="41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</row>
    <row r="174" spans="1:35" ht="15.75" customHeight="1">
      <c r="A174" s="40"/>
      <c r="B174" s="13"/>
      <c r="C174" s="11"/>
      <c r="D174" s="13"/>
      <c r="E174" s="13"/>
      <c r="F174" s="13"/>
      <c r="G174" s="13"/>
      <c r="H174" s="11"/>
      <c r="I174" s="11"/>
      <c r="J174" s="13"/>
      <c r="K174" s="13"/>
      <c r="L174" s="13"/>
      <c r="M174" s="13"/>
      <c r="N174" s="13"/>
      <c r="O174" s="13"/>
      <c r="P174" s="41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</row>
    <row r="175" spans="1:35" ht="15.75" customHeight="1">
      <c r="A175" s="40"/>
      <c r="B175" s="13"/>
      <c r="C175" s="11"/>
      <c r="D175" s="13"/>
      <c r="E175" s="13"/>
      <c r="F175" s="13"/>
      <c r="G175" s="13"/>
      <c r="H175" s="11"/>
      <c r="I175" s="11"/>
      <c r="J175" s="13"/>
      <c r="K175" s="13"/>
      <c r="L175" s="13"/>
      <c r="M175" s="13"/>
      <c r="N175" s="13"/>
      <c r="O175" s="13"/>
      <c r="P175" s="41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</row>
    <row r="176" spans="1:35" ht="15.75" customHeight="1">
      <c r="A176" s="40"/>
      <c r="B176" s="13"/>
      <c r="C176" s="11"/>
      <c r="D176" s="13"/>
      <c r="E176" s="13"/>
      <c r="F176" s="13"/>
      <c r="G176" s="13"/>
      <c r="H176" s="11"/>
      <c r="I176" s="11"/>
      <c r="J176" s="13"/>
      <c r="K176" s="13"/>
      <c r="L176" s="13"/>
      <c r="M176" s="13"/>
      <c r="N176" s="13"/>
      <c r="O176" s="13"/>
      <c r="P176" s="41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</row>
    <row r="177" spans="1:35" ht="15.75" customHeight="1">
      <c r="A177" s="40"/>
      <c r="B177" s="13"/>
      <c r="C177" s="11"/>
      <c r="D177" s="13"/>
      <c r="E177" s="13"/>
      <c r="F177" s="13"/>
      <c r="G177" s="13"/>
      <c r="H177" s="11"/>
      <c r="I177" s="11"/>
      <c r="J177" s="13"/>
      <c r="K177" s="13"/>
      <c r="L177" s="13"/>
      <c r="M177" s="13"/>
      <c r="N177" s="13"/>
      <c r="O177" s="13"/>
      <c r="P177" s="41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</row>
    <row r="178" spans="1:35" ht="15.75" customHeight="1">
      <c r="A178" s="40"/>
      <c r="B178" s="13"/>
      <c r="C178" s="11"/>
      <c r="D178" s="13"/>
      <c r="E178" s="13"/>
      <c r="F178" s="13"/>
      <c r="G178" s="13"/>
      <c r="H178" s="11"/>
      <c r="I178" s="11"/>
      <c r="J178" s="13"/>
      <c r="K178" s="13"/>
      <c r="L178" s="13"/>
      <c r="M178" s="13"/>
      <c r="N178" s="13"/>
      <c r="O178" s="13"/>
      <c r="P178" s="41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</row>
    <row r="179" spans="1:35" ht="15.75" customHeight="1">
      <c r="A179" s="40"/>
      <c r="B179" s="13"/>
      <c r="C179" s="11"/>
      <c r="D179" s="13"/>
      <c r="E179" s="13"/>
      <c r="F179" s="13"/>
      <c r="G179" s="13"/>
      <c r="H179" s="11"/>
      <c r="I179" s="11"/>
      <c r="J179" s="13"/>
      <c r="K179" s="13"/>
      <c r="L179" s="13"/>
      <c r="M179" s="13"/>
      <c r="N179" s="13"/>
      <c r="O179" s="13"/>
      <c r="P179" s="41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</row>
    <row r="180" spans="1:35" ht="15.75" customHeight="1">
      <c r="A180" s="40"/>
      <c r="B180" s="13"/>
      <c r="C180" s="11"/>
      <c r="D180" s="13"/>
      <c r="E180" s="13"/>
      <c r="F180" s="13"/>
      <c r="G180" s="13"/>
      <c r="H180" s="11"/>
      <c r="I180" s="11"/>
      <c r="J180" s="13"/>
      <c r="K180" s="13"/>
      <c r="L180" s="13"/>
      <c r="M180" s="13"/>
      <c r="N180" s="13"/>
      <c r="O180" s="13"/>
      <c r="P180" s="41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</row>
    <row r="181" spans="1:35" ht="15.75" customHeight="1">
      <c r="A181" s="40"/>
      <c r="B181" s="13"/>
      <c r="C181" s="11"/>
      <c r="D181" s="13"/>
      <c r="E181" s="13"/>
      <c r="F181" s="13"/>
      <c r="G181" s="13"/>
      <c r="H181" s="11"/>
      <c r="I181" s="11"/>
      <c r="J181" s="13"/>
      <c r="K181" s="13"/>
      <c r="L181" s="13"/>
      <c r="M181" s="13"/>
      <c r="N181" s="13"/>
      <c r="O181" s="13"/>
      <c r="P181" s="41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</row>
    <row r="182" spans="1:35" ht="15.75" customHeight="1">
      <c r="A182" s="40"/>
      <c r="B182" s="13"/>
      <c r="C182" s="11"/>
      <c r="D182" s="13"/>
      <c r="E182" s="13"/>
      <c r="F182" s="13"/>
      <c r="G182" s="13"/>
      <c r="H182" s="11"/>
      <c r="I182" s="11"/>
      <c r="J182" s="13"/>
      <c r="K182" s="13"/>
      <c r="L182" s="13"/>
      <c r="M182" s="13"/>
      <c r="N182" s="13"/>
      <c r="O182" s="13"/>
      <c r="P182" s="41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</row>
    <row r="183" spans="1:35" ht="15.75" customHeight="1">
      <c r="A183" s="40"/>
      <c r="B183" s="13"/>
      <c r="C183" s="11"/>
      <c r="D183" s="13"/>
      <c r="E183" s="13"/>
      <c r="F183" s="13"/>
      <c r="G183" s="13"/>
      <c r="H183" s="11"/>
      <c r="I183" s="11"/>
      <c r="J183" s="13"/>
      <c r="K183" s="13"/>
      <c r="L183" s="13"/>
      <c r="M183" s="13"/>
      <c r="N183" s="13"/>
      <c r="O183" s="13"/>
      <c r="P183" s="41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</row>
    <row r="184" spans="1:35" ht="15.75" customHeight="1">
      <c r="A184" s="40"/>
      <c r="B184" s="13"/>
      <c r="C184" s="11"/>
      <c r="D184" s="13"/>
      <c r="E184" s="13"/>
      <c r="F184" s="13"/>
      <c r="G184" s="13"/>
      <c r="H184" s="11"/>
      <c r="I184" s="11"/>
      <c r="J184" s="13"/>
      <c r="K184" s="13"/>
      <c r="L184" s="13"/>
      <c r="M184" s="13"/>
      <c r="N184" s="13"/>
      <c r="O184" s="13"/>
      <c r="P184" s="41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</row>
    <row r="185" spans="1:35" ht="15.75" customHeight="1">
      <c r="A185" s="40"/>
      <c r="B185" s="13"/>
      <c r="C185" s="11"/>
      <c r="D185" s="13"/>
      <c r="E185" s="13"/>
      <c r="F185" s="13"/>
      <c r="G185" s="13"/>
      <c r="H185" s="11"/>
      <c r="I185" s="11"/>
      <c r="J185" s="13"/>
      <c r="K185" s="13"/>
      <c r="L185" s="13"/>
      <c r="M185" s="13"/>
      <c r="N185" s="13"/>
      <c r="O185" s="13"/>
      <c r="P185" s="41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</row>
    <row r="186" spans="1:35" ht="15.75" customHeight="1">
      <c r="A186" s="40"/>
      <c r="B186" s="13"/>
      <c r="C186" s="11"/>
      <c r="D186" s="13"/>
      <c r="E186" s="13"/>
      <c r="F186" s="13"/>
      <c r="G186" s="13"/>
      <c r="H186" s="11"/>
      <c r="I186" s="11"/>
      <c r="J186" s="13"/>
      <c r="K186" s="13"/>
      <c r="L186" s="13"/>
      <c r="M186" s="13"/>
      <c r="N186" s="13"/>
      <c r="O186" s="13"/>
      <c r="P186" s="41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</row>
    <row r="187" spans="1:35" ht="15.75" customHeight="1">
      <c r="A187" s="40"/>
      <c r="B187" s="13"/>
      <c r="C187" s="11"/>
      <c r="D187" s="13"/>
      <c r="E187" s="13"/>
      <c r="F187" s="13"/>
      <c r="G187" s="13"/>
      <c r="H187" s="11"/>
      <c r="I187" s="11"/>
      <c r="J187" s="13"/>
      <c r="K187" s="13"/>
      <c r="L187" s="13"/>
      <c r="M187" s="13"/>
      <c r="N187" s="13"/>
      <c r="O187" s="13"/>
      <c r="P187" s="41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</row>
    <row r="188" spans="1:35" ht="15.75" customHeight="1">
      <c r="A188" s="40"/>
      <c r="B188" s="13"/>
      <c r="C188" s="11"/>
      <c r="D188" s="13"/>
      <c r="E188" s="13"/>
      <c r="F188" s="13"/>
      <c r="G188" s="13"/>
      <c r="H188" s="11"/>
      <c r="I188" s="11"/>
      <c r="J188" s="13"/>
      <c r="K188" s="13"/>
      <c r="L188" s="13"/>
      <c r="M188" s="13"/>
      <c r="N188" s="13"/>
      <c r="O188" s="13"/>
      <c r="P188" s="41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</row>
    <row r="189" spans="1:35" ht="15.75" customHeight="1">
      <c r="A189" s="40"/>
      <c r="B189" s="13"/>
      <c r="C189" s="11"/>
      <c r="D189" s="13"/>
      <c r="E189" s="13"/>
      <c r="F189" s="13"/>
      <c r="G189" s="13"/>
      <c r="H189" s="11"/>
      <c r="I189" s="11"/>
      <c r="J189" s="13"/>
      <c r="K189" s="13"/>
      <c r="L189" s="13"/>
      <c r="M189" s="13"/>
      <c r="N189" s="13"/>
      <c r="O189" s="13"/>
      <c r="P189" s="41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</row>
    <row r="190" spans="1:35" ht="15.75" customHeight="1">
      <c r="A190" s="40"/>
      <c r="B190" s="13"/>
      <c r="C190" s="11"/>
      <c r="D190" s="13"/>
      <c r="E190" s="13"/>
      <c r="F190" s="13"/>
      <c r="G190" s="13"/>
      <c r="H190" s="11"/>
      <c r="I190" s="11"/>
      <c r="J190" s="13"/>
      <c r="K190" s="13"/>
      <c r="L190" s="13"/>
      <c r="M190" s="13"/>
      <c r="N190" s="13"/>
      <c r="O190" s="13"/>
      <c r="P190" s="41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</row>
    <row r="191" spans="1:35" ht="15.75" customHeight="1">
      <c r="A191" s="40"/>
      <c r="B191" s="13"/>
      <c r="C191" s="11"/>
      <c r="D191" s="13"/>
      <c r="E191" s="13"/>
      <c r="F191" s="13"/>
      <c r="G191" s="13"/>
      <c r="H191" s="11"/>
      <c r="I191" s="11"/>
      <c r="J191" s="13"/>
      <c r="K191" s="13"/>
      <c r="L191" s="13"/>
      <c r="M191" s="13"/>
      <c r="N191" s="13"/>
      <c r="O191" s="13"/>
      <c r="P191" s="41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</row>
    <row r="192" spans="1:35" ht="15.75" customHeight="1">
      <c r="A192" s="40"/>
      <c r="B192" s="13"/>
      <c r="C192" s="11"/>
      <c r="D192" s="13"/>
      <c r="E192" s="13"/>
      <c r="F192" s="13"/>
      <c r="G192" s="13"/>
      <c r="H192" s="11"/>
      <c r="I192" s="11"/>
      <c r="J192" s="13"/>
      <c r="K192" s="13"/>
      <c r="L192" s="13"/>
      <c r="M192" s="13"/>
      <c r="N192" s="13"/>
      <c r="O192" s="13"/>
      <c r="P192" s="41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</row>
    <row r="193" spans="1:35" ht="15.75" customHeight="1">
      <c r="A193" s="40"/>
      <c r="B193" s="13"/>
      <c r="C193" s="11"/>
      <c r="D193" s="13"/>
      <c r="E193" s="13"/>
      <c r="F193" s="13"/>
      <c r="G193" s="13"/>
      <c r="H193" s="11"/>
      <c r="I193" s="11"/>
      <c r="J193" s="13"/>
      <c r="K193" s="13"/>
      <c r="L193" s="13"/>
      <c r="M193" s="13"/>
      <c r="N193" s="13"/>
      <c r="O193" s="13"/>
      <c r="P193" s="41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</row>
    <row r="194" spans="1:35" ht="15.75" customHeight="1">
      <c r="A194" s="40"/>
      <c r="B194" s="13"/>
      <c r="C194" s="11"/>
      <c r="D194" s="13"/>
      <c r="E194" s="13"/>
      <c r="F194" s="13"/>
      <c r="G194" s="13"/>
      <c r="H194" s="11"/>
      <c r="I194" s="11"/>
      <c r="J194" s="13"/>
      <c r="K194" s="13"/>
      <c r="L194" s="13"/>
      <c r="M194" s="13"/>
      <c r="N194" s="13"/>
      <c r="O194" s="13"/>
      <c r="P194" s="41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</row>
    <row r="195" spans="1:35" ht="15.75" customHeight="1">
      <c r="A195" s="40"/>
      <c r="B195" s="13"/>
      <c r="C195" s="11"/>
      <c r="D195" s="13"/>
      <c r="E195" s="13"/>
      <c r="F195" s="13"/>
      <c r="G195" s="13"/>
      <c r="H195" s="11"/>
      <c r="I195" s="11"/>
      <c r="J195" s="13"/>
      <c r="K195" s="13"/>
      <c r="L195" s="13"/>
      <c r="M195" s="13"/>
      <c r="N195" s="13"/>
      <c r="O195" s="13"/>
      <c r="P195" s="41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</row>
    <row r="196" spans="1:35" ht="15.75" customHeight="1">
      <c r="A196" s="40"/>
      <c r="B196" s="13"/>
      <c r="C196" s="11"/>
      <c r="D196" s="13"/>
      <c r="E196" s="13"/>
      <c r="F196" s="13"/>
      <c r="G196" s="13"/>
      <c r="H196" s="11"/>
      <c r="I196" s="11"/>
      <c r="J196" s="13"/>
      <c r="K196" s="13"/>
      <c r="L196" s="13"/>
      <c r="M196" s="13"/>
      <c r="N196" s="13"/>
      <c r="O196" s="13"/>
      <c r="P196" s="41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</row>
    <row r="197" spans="1:35" ht="15.75" customHeight="1">
      <c r="A197" s="40"/>
      <c r="B197" s="13"/>
      <c r="C197" s="11"/>
      <c r="D197" s="13"/>
      <c r="E197" s="13"/>
      <c r="F197" s="13"/>
      <c r="G197" s="13"/>
      <c r="H197" s="11"/>
      <c r="I197" s="11"/>
      <c r="J197" s="13"/>
      <c r="K197" s="13"/>
      <c r="L197" s="13"/>
      <c r="M197" s="13"/>
      <c r="N197" s="13"/>
      <c r="O197" s="13"/>
      <c r="P197" s="41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</row>
    <row r="198" spans="1:35" ht="15.75" customHeight="1">
      <c r="A198" s="40"/>
      <c r="B198" s="13"/>
      <c r="C198" s="11"/>
      <c r="D198" s="13"/>
      <c r="E198" s="13"/>
      <c r="F198" s="13"/>
      <c r="G198" s="13"/>
      <c r="H198" s="11"/>
      <c r="I198" s="11"/>
      <c r="J198" s="13"/>
      <c r="K198" s="13"/>
      <c r="L198" s="13"/>
      <c r="M198" s="13"/>
      <c r="N198" s="13"/>
      <c r="O198" s="13"/>
      <c r="P198" s="41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</row>
    <row r="199" spans="1:35" ht="15.75" customHeight="1">
      <c r="A199" s="40"/>
      <c r="B199" s="13"/>
      <c r="C199" s="11"/>
      <c r="D199" s="13"/>
      <c r="E199" s="13"/>
      <c r="F199" s="13"/>
      <c r="G199" s="13"/>
      <c r="H199" s="11"/>
      <c r="I199" s="11"/>
      <c r="J199" s="13"/>
      <c r="K199" s="13"/>
      <c r="L199" s="13"/>
      <c r="M199" s="13"/>
      <c r="N199" s="13"/>
      <c r="O199" s="13"/>
      <c r="P199" s="41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</row>
    <row r="200" spans="1:35" ht="15.75" customHeight="1">
      <c r="A200" s="40"/>
      <c r="B200" s="13"/>
      <c r="C200" s="11"/>
      <c r="D200" s="13"/>
      <c r="E200" s="13"/>
      <c r="F200" s="13"/>
      <c r="G200" s="13"/>
      <c r="H200" s="11"/>
      <c r="I200" s="11"/>
      <c r="J200" s="13"/>
      <c r="K200" s="13"/>
      <c r="L200" s="13"/>
      <c r="M200" s="13"/>
      <c r="N200" s="13"/>
      <c r="O200" s="13"/>
      <c r="P200" s="41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</row>
    <row r="201" spans="1:35" ht="15.75" customHeight="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</row>
    <row r="202" spans="1:35" ht="15.75" customHeight="1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</row>
    <row r="203" spans="1:35" ht="15.75" customHeight="1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</row>
    <row r="204" spans="1:35" ht="15.75" customHeight="1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</row>
    <row r="205" spans="1:35" ht="15.75" customHeight="1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</row>
    <row r="206" spans="1:35" ht="15.75" customHeight="1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</row>
    <row r="207" spans="1:35" ht="15.75" customHeight="1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</row>
    <row r="208" spans="1:35" ht="15.75" customHeight="1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149">
    <mergeCell ref="B24:D24"/>
    <mergeCell ref="B25:D25"/>
    <mergeCell ref="B26:D26"/>
    <mergeCell ref="B28:D28"/>
    <mergeCell ref="B29:D29"/>
    <mergeCell ref="B30:D30"/>
    <mergeCell ref="B31:D31"/>
    <mergeCell ref="B32:D32"/>
    <mergeCell ref="B34:D34"/>
    <mergeCell ref="B52:D52"/>
    <mergeCell ref="B53:D53"/>
    <mergeCell ref="B55:D55"/>
    <mergeCell ref="B56:D56"/>
    <mergeCell ref="B58:D58"/>
    <mergeCell ref="B35:D35"/>
    <mergeCell ref="B36:D36"/>
    <mergeCell ref="B38:D38"/>
    <mergeCell ref="B39:D39"/>
    <mergeCell ref="B40:D40"/>
    <mergeCell ref="B41:D41"/>
    <mergeCell ref="B42:D42"/>
    <mergeCell ref="B43:D43"/>
    <mergeCell ref="B44:D44"/>
    <mergeCell ref="B79:D79"/>
    <mergeCell ref="B80:D80"/>
    <mergeCell ref="B81:D81"/>
    <mergeCell ref="B82:D82"/>
    <mergeCell ref="B59:D59"/>
    <mergeCell ref="B60:D60"/>
    <mergeCell ref="B62:D62"/>
    <mergeCell ref="B63:D63"/>
    <mergeCell ref="B64:D64"/>
    <mergeCell ref="B65:D65"/>
    <mergeCell ref="B66:D66"/>
    <mergeCell ref="B67:D67"/>
    <mergeCell ref="B68:D68"/>
    <mergeCell ref="J80:L80"/>
    <mergeCell ref="J81:L81"/>
    <mergeCell ref="J82:L82"/>
    <mergeCell ref="J83:L83"/>
    <mergeCell ref="J63:L63"/>
    <mergeCell ref="J65:L65"/>
    <mergeCell ref="J66:L66"/>
    <mergeCell ref="J67:L67"/>
    <mergeCell ref="J68:L68"/>
    <mergeCell ref="J69:L69"/>
    <mergeCell ref="A1:A3"/>
    <mergeCell ref="B6:D6"/>
    <mergeCell ref="B7:D7"/>
    <mergeCell ref="B8:D8"/>
    <mergeCell ref="B9:D9"/>
    <mergeCell ref="B10:D10"/>
    <mergeCell ref="J6:L6"/>
    <mergeCell ref="J70:L70"/>
    <mergeCell ref="J79:L79"/>
    <mergeCell ref="J41:L41"/>
    <mergeCell ref="J42:L42"/>
    <mergeCell ref="J43:L43"/>
    <mergeCell ref="J44:L44"/>
    <mergeCell ref="J46:L46"/>
    <mergeCell ref="J40:L40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11:D11"/>
    <mergeCell ref="B13:D13"/>
    <mergeCell ref="B14:D14"/>
    <mergeCell ref="J7:L7"/>
    <mergeCell ref="J8:L8"/>
    <mergeCell ref="J9:L9"/>
    <mergeCell ref="J10:L10"/>
    <mergeCell ref="J11:L11"/>
    <mergeCell ref="J13:L13"/>
    <mergeCell ref="J14:L14"/>
    <mergeCell ref="B15:D15"/>
    <mergeCell ref="B17:D17"/>
    <mergeCell ref="B18:D18"/>
    <mergeCell ref="B19:D19"/>
    <mergeCell ref="B20:D20"/>
    <mergeCell ref="B21:D21"/>
    <mergeCell ref="J15:L15"/>
    <mergeCell ref="J17:L17"/>
    <mergeCell ref="J18:L18"/>
    <mergeCell ref="J19:L19"/>
    <mergeCell ref="J20:L20"/>
    <mergeCell ref="J21:L21"/>
    <mergeCell ref="J61:L61"/>
    <mergeCell ref="J62:L62"/>
    <mergeCell ref="M62:N62"/>
    <mergeCell ref="E63:F63"/>
    <mergeCell ref="B22:D22"/>
    <mergeCell ref="J22:L22"/>
    <mergeCell ref="J23:L23"/>
    <mergeCell ref="J25:L25"/>
    <mergeCell ref="J26:L26"/>
    <mergeCell ref="J27:L27"/>
    <mergeCell ref="J28:L28"/>
    <mergeCell ref="J29:L29"/>
    <mergeCell ref="J31:L31"/>
    <mergeCell ref="J32:L32"/>
    <mergeCell ref="J33:L33"/>
    <mergeCell ref="J35:L35"/>
    <mergeCell ref="J36:L36"/>
    <mergeCell ref="J37:L37"/>
    <mergeCell ref="J38:L38"/>
    <mergeCell ref="J39:L39"/>
    <mergeCell ref="B45:D45"/>
    <mergeCell ref="B47:D47"/>
    <mergeCell ref="B49:D49"/>
    <mergeCell ref="B51:D51"/>
    <mergeCell ref="J48:L48"/>
    <mergeCell ref="J50:L50"/>
    <mergeCell ref="J51:L51"/>
    <mergeCell ref="J52:L52"/>
    <mergeCell ref="J54:L54"/>
    <mergeCell ref="J55:L55"/>
    <mergeCell ref="J57:L57"/>
    <mergeCell ref="J58:L58"/>
    <mergeCell ref="J59:L59"/>
    <mergeCell ref="E71:F71"/>
    <mergeCell ref="J72:L72"/>
    <mergeCell ref="J73:L73"/>
    <mergeCell ref="M73:N73"/>
    <mergeCell ref="J74:L74"/>
    <mergeCell ref="J75:L75"/>
    <mergeCell ref="J76:L76"/>
    <mergeCell ref="J77:L77"/>
    <mergeCell ref="J78:L78"/>
    <mergeCell ref="B96:D96"/>
    <mergeCell ref="E96:F96"/>
    <mergeCell ref="J97:L97"/>
    <mergeCell ref="E84:F84"/>
    <mergeCell ref="J84:L84"/>
    <mergeCell ref="J85:L85"/>
    <mergeCell ref="J87:L87"/>
    <mergeCell ref="M87:N87"/>
    <mergeCell ref="J88:L88"/>
    <mergeCell ref="J89:L89"/>
    <mergeCell ref="B90:G91"/>
    <mergeCell ref="B94:D94"/>
    <mergeCell ref="B84:D84"/>
    <mergeCell ref="B85:D85"/>
    <mergeCell ref="B86:D86"/>
  </mergeCells>
  <conditionalFormatting sqref="B1:I1 J1:J3 C2:H3">
    <cfRule type="cellIs" dxfId="1" priority="1" operator="lessThan">
      <formula>0</formula>
    </cfRule>
  </conditionalFormatting>
  <hyperlinks>
    <hyperlink ref="B1" r:id="rId1" xr:uid="{84042472-509E-4457-82CD-8425F0AE9C7B}"/>
  </hyperlinks>
  <printOptions horizontalCentered="1" gridLines="1"/>
  <pageMargins left="0.25" right="0.25" top="0.75" bottom="0.75" header="0" footer="0"/>
  <pageSetup paperSize="9" fitToHeight="0" pageOrder="overThenDown" orientation="portrait" cellComments="atEnd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0639B"/>
    <outlinePr summaryBelow="0" summaryRight="0"/>
  </sheetPr>
  <dimension ref="A1:F983"/>
  <sheetViews>
    <sheetView showGridLines="0" workbookViewId="0">
      <pane ySplit="4" topLeftCell="A5" activePane="bottomLeft" state="frozen"/>
      <selection pane="bottomLeft" activeCell="I29" sqref="I29"/>
    </sheetView>
  </sheetViews>
  <sheetFormatPr defaultColWidth="12.7109375" defaultRowHeight="15" customHeight="1"/>
  <cols>
    <col min="1" max="1" width="17" customWidth="1"/>
    <col min="4" max="4" width="21.5703125" customWidth="1"/>
    <col min="5" max="6" width="12.7109375" style="191"/>
  </cols>
  <sheetData>
    <row r="1" spans="1:6" ht="15.75" customHeight="1">
      <c r="A1" s="233"/>
      <c r="B1" s="234" t="s">
        <v>0</v>
      </c>
      <c r="C1" s="235"/>
      <c r="D1" s="235"/>
    </row>
    <row r="2" spans="1:6" ht="15.75" customHeight="1">
      <c r="A2" s="236"/>
      <c r="B2" s="2" t="s">
        <v>1</v>
      </c>
      <c r="C2" s="3"/>
      <c r="D2" s="3"/>
    </row>
    <row r="3" spans="1:6" ht="15.75" customHeight="1">
      <c r="A3" s="236"/>
      <c r="B3" s="4" t="s">
        <v>2</v>
      </c>
      <c r="C3" s="3"/>
      <c r="D3" s="3"/>
    </row>
    <row r="4" spans="1:6" ht="15.75" customHeight="1" thickBot="1">
      <c r="A4" s="232" t="s">
        <v>391</v>
      </c>
      <c r="B4" s="232"/>
      <c r="C4" s="216"/>
      <c r="D4" s="216"/>
      <c r="E4" s="192">
        <v>44774</v>
      </c>
      <c r="F4" s="192">
        <v>44805</v>
      </c>
    </row>
    <row r="5" spans="1:6" ht="15.75" customHeight="1" thickBot="1">
      <c r="A5" s="216"/>
      <c r="B5" s="216"/>
      <c r="C5" s="216"/>
      <c r="D5" s="186" t="s">
        <v>392</v>
      </c>
      <c r="E5" s="193">
        <v>4421.6000000000004</v>
      </c>
      <c r="F5" s="193">
        <v>3713.25</v>
      </c>
    </row>
    <row r="6" spans="1:6" ht="15.75" customHeight="1">
      <c r="A6" s="187" t="s">
        <v>393</v>
      </c>
      <c r="B6" s="203">
        <v>43313</v>
      </c>
      <c r="C6" s="216"/>
      <c r="D6" s="188" t="s">
        <v>78</v>
      </c>
      <c r="E6" s="194">
        <v>347.45</v>
      </c>
      <c r="F6" s="194">
        <v>356.5</v>
      </c>
    </row>
    <row r="7" spans="1:6" ht="15.75" customHeight="1">
      <c r="A7" s="187" t="s">
        <v>394</v>
      </c>
      <c r="B7" s="203">
        <v>43344</v>
      </c>
      <c r="C7" s="216"/>
      <c r="D7" s="188" t="s">
        <v>195</v>
      </c>
      <c r="E7" s="194">
        <v>0</v>
      </c>
      <c r="F7" s="194">
        <v>0</v>
      </c>
    </row>
    <row r="8" spans="1:6" ht="15.75" customHeight="1">
      <c r="A8" s="216"/>
      <c r="B8" s="197"/>
      <c r="C8" s="216"/>
      <c r="D8" s="188" t="s">
        <v>395</v>
      </c>
      <c r="E8" s="194">
        <v>60.74</v>
      </c>
      <c r="F8" s="194">
        <v>37</v>
      </c>
    </row>
    <row r="9" spans="1:6" ht="15.75" customHeight="1">
      <c r="A9" s="187" t="s">
        <v>396</v>
      </c>
      <c r="B9" s="204">
        <v>209500</v>
      </c>
      <c r="C9" s="216"/>
      <c r="D9" s="188" t="s">
        <v>397</v>
      </c>
      <c r="E9" s="194">
        <v>884.32</v>
      </c>
      <c r="F9" s="194">
        <v>742.65</v>
      </c>
    </row>
    <row r="10" spans="1:6" ht="15.75" customHeight="1">
      <c r="A10" s="216"/>
      <c r="B10" s="197"/>
      <c r="C10" s="216"/>
      <c r="D10" s="188" t="s">
        <v>224</v>
      </c>
      <c r="E10" s="194">
        <v>99</v>
      </c>
      <c r="F10" s="194">
        <v>133.9</v>
      </c>
    </row>
    <row r="11" spans="1:6" ht="15.75" customHeight="1" thickBot="1">
      <c r="A11" s="187" t="s">
        <v>398</v>
      </c>
      <c r="B11" s="205">
        <v>209500</v>
      </c>
      <c r="C11" s="216"/>
      <c r="D11" s="188" t="s">
        <v>226</v>
      </c>
      <c r="E11" s="195">
        <v>25</v>
      </c>
      <c r="F11" s="195">
        <v>184</v>
      </c>
    </row>
    <row r="12" spans="1:6" ht="15.75" customHeight="1" thickBot="1">
      <c r="A12" s="187" t="s">
        <v>399</v>
      </c>
      <c r="B12" s="205">
        <v>11354</v>
      </c>
      <c r="C12" s="216"/>
      <c r="D12" s="186" t="s">
        <v>400</v>
      </c>
      <c r="E12" s="202">
        <f>E6+E7+E8+E9+E10+E11</f>
        <v>1416.51</v>
      </c>
      <c r="F12" s="202">
        <f>F6+F7+F8+F9+F10+F11</f>
        <v>1454.0500000000002</v>
      </c>
    </row>
    <row r="13" spans="1:6" ht="15.75" customHeight="1" thickBot="1">
      <c r="A13" s="187" t="s">
        <v>39</v>
      </c>
      <c r="B13" s="205">
        <v>161189</v>
      </c>
      <c r="C13" s="216"/>
      <c r="D13" s="189" t="s">
        <v>401</v>
      </c>
      <c r="E13" s="193">
        <f>E5-E12</f>
        <v>3005.09</v>
      </c>
      <c r="F13" s="193">
        <f>F5-F12</f>
        <v>2259.1999999999998</v>
      </c>
    </row>
    <row r="14" spans="1:6" ht="15.75" customHeight="1" thickBot="1">
      <c r="A14" s="190" t="s">
        <v>402</v>
      </c>
      <c r="B14" s="206">
        <v>29953</v>
      </c>
      <c r="C14" s="216"/>
      <c r="D14" s="216"/>
      <c r="E14" s="196"/>
      <c r="F14" s="196"/>
    </row>
    <row r="15" spans="1:6" ht="15.75" customHeight="1" thickBot="1">
      <c r="A15" s="187" t="s">
        <v>119</v>
      </c>
      <c r="B15" s="204">
        <v>247354</v>
      </c>
      <c r="C15" s="216"/>
      <c r="D15" s="186" t="s">
        <v>403</v>
      </c>
      <c r="E15" s="201">
        <f>E13/$B$15</f>
        <v>1.214894442782409E-2</v>
      </c>
      <c r="F15" s="201">
        <f>F13/$B$15</f>
        <v>9.1334686320010995E-3</v>
      </c>
    </row>
    <row r="16" spans="1:6" ht="15.75" customHeight="1">
      <c r="A16" s="216"/>
      <c r="B16" s="197"/>
      <c r="C16" s="216"/>
      <c r="D16" s="216"/>
      <c r="E16" s="197"/>
      <c r="F16" s="197"/>
    </row>
    <row r="17" spans="1:6" ht="15.75" customHeight="1" thickBot="1">
      <c r="A17" s="187" t="s">
        <v>222</v>
      </c>
      <c r="B17" s="204">
        <f>(B11-B13)+B12+B14</f>
        <v>89618</v>
      </c>
      <c r="C17" s="216"/>
      <c r="D17" s="188" t="s">
        <v>39</v>
      </c>
      <c r="E17" s="199">
        <v>1341.62</v>
      </c>
      <c r="F17" s="199">
        <v>1341.26</v>
      </c>
    </row>
    <row r="18" spans="1:6" ht="15.75" customHeight="1" thickBot="1">
      <c r="A18" s="216"/>
      <c r="B18" s="194"/>
      <c r="C18" s="216"/>
      <c r="D18" s="189" t="s">
        <v>404</v>
      </c>
      <c r="E18" s="193">
        <f>E13-E17</f>
        <v>1663.4700000000003</v>
      </c>
      <c r="F18" s="193">
        <f t="shared" ref="F18" si="0">F13-F17</f>
        <v>917.93999999999983</v>
      </c>
    </row>
    <row r="19" spans="1:6" ht="15.75" customHeight="1" thickBot="1">
      <c r="A19" s="216"/>
      <c r="B19" s="197"/>
      <c r="C19" s="216"/>
      <c r="D19" s="186" t="s">
        <v>405</v>
      </c>
      <c r="E19" s="200">
        <f>E18/$B$17</f>
        <v>1.8561784462942717E-2</v>
      </c>
      <c r="F19" s="200">
        <f>F18/$B$17</f>
        <v>1.0242808364391081E-2</v>
      </c>
    </row>
    <row r="20" spans="1:6" ht="15.75" customHeight="1">
      <c r="A20" s="216"/>
      <c r="B20" s="216"/>
      <c r="C20" s="216"/>
      <c r="D20" s="216"/>
      <c r="E20" s="197"/>
      <c r="F20" s="197"/>
    </row>
    <row r="21" spans="1:6" ht="15.75" customHeight="1">
      <c r="A21" s="216"/>
      <c r="B21" s="212"/>
      <c r="C21" s="216"/>
      <c r="D21" s="188" t="s">
        <v>406</v>
      </c>
      <c r="E21" s="197">
        <v>31</v>
      </c>
      <c r="F21" s="197">
        <v>30</v>
      </c>
    </row>
    <row r="22" spans="1:6" ht="15.75" customHeight="1">
      <c r="A22" s="216"/>
      <c r="B22" s="216"/>
      <c r="C22" s="216"/>
      <c r="D22" s="188" t="s">
        <v>407</v>
      </c>
      <c r="E22" s="197">
        <v>30</v>
      </c>
      <c r="F22" s="197">
        <v>29</v>
      </c>
    </row>
    <row r="23" spans="1:6" ht="15.75" customHeight="1">
      <c r="A23" s="216"/>
      <c r="B23" s="212"/>
      <c r="C23" s="216"/>
      <c r="D23" s="188" t="s">
        <v>408</v>
      </c>
      <c r="E23" s="198">
        <f>E22/E21</f>
        <v>0.967741935483871</v>
      </c>
      <c r="F23" s="198">
        <f>F22/F21</f>
        <v>0.96666666666666667</v>
      </c>
    </row>
    <row r="24" spans="1:6" ht="15.75" customHeight="1">
      <c r="A24" s="216"/>
      <c r="B24" s="216"/>
      <c r="C24" s="216"/>
      <c r="D24" s="188" t="s">
        <v>409</v>
      </c>
      <c r="E24" s="194">
        <f>E5/E22</f>
        <v>147.38666666666668</v>
      </c>
      <c r="F24" s="194">
        <f>F5/F22</f>
        <v>128.04310344827587</v>
      </c>
    </row>
    <row r="25" spans="1:6" ht="15.75" customHeight="1">
      <c r="A25" s="216"/>
      <c r="B25" s="216"/>
      <c r="C25" s="216"/>
      <c r="D25" s="216"/>
      <c r="E25" s="197"/>
      <c r="F25" s="197"/>
    </row>
    <row r="26" spans="1:6" ht="15.75" customHeight="1">
      <c r="A26" s="216"/>
      <c r="B26" s="216"/>
      <c r="C26" s="216"/>
      <c r="D26" s="216"/>
      <c r="E26" s="197"/>
      <c r="F26" s="197"/>
    </row>
    <row r="27" spans="1:6" ht="15.75" customHeight="1">
      <c r="A27" s="216"/>
      <c r="B27" s="216"/>
      <c r="C27" s="216"/>
      <c r="D27" s="216"/>
      <c r="E27" s="197"/>
      <c r="F27" s="197"/>
    </row>
    <row r="28" spans="1:6" ht="15.75" customHeight="1">
      <c r="A28" s="216"/>
      <c r="B28" s="216"/>
      <c r="C28" s="216"/>
      <c r="D28" s="216"/>
      <c r="E28" s="197"/>
      <c r="F28" s="197"/>
    </row>
    <row r="29" spans="1:6" ht="15.75" customHeight="1">
      <c r="A29" s="216"/>
      <c r="B29" s="216"/>
      <c r="C29" s="216"/>
      <c r="D29" s="216"/>
      <c r="E29" s="197"/>
      <c r="F29" s="197"/>
    </row>
    <row r="30" spans="1:6" ht="15.75" customHeight="1">
      <c r="A30" s="216"/>
      <c r="B30" s="216"/>
      <c r="C30" s="216"/>
      <c r="D30" s="216"/>
      <c r="E30" s="197"/>
      <c r="F30" s="197"/>
    </row>
    <row r="31" spans="1:6" ht="15.75" customHeight="1">
      <c r="A31" s="216"/>
      <c r="B31" s="216"/>
      <c r="C31" s="216"/>
      <c r="D31" s="216"/>
      <c r="E31" s="197"/>
      <c r="F31" s="197"/>
    </row>
    <row r="32" spans="1:6" ht="15.75" customHeight="1">
      <c r="A32" s="216"/>
      <c r="B32" s="216"/>
      <c r="C32" s="216"/>
      <c r="D32" s="216"/>
      <c r="E32" s="197"/>
      <c r="F32" s="197"/>
    </row>
    <row r="33" spans="1:6" ht="15.75" customHeight="1">
      <c r="A33" s="216"/>
      <c r="B33" s="216"/>
      <c r="C33" s="216"/>
      <c r="D33" s="216"/>
      <c r="E33" s="197"/>
      <c r="F33" s="197"/>
    </row>
    <row r="34" spans="1:6" ht="15.75" customHeight="1">
      <c r="A34" s="216"/>
      <c r="B34" s="216"/>
      <c r="C34" s="216"/>
      <c r="D34" s="216"/>
      <c r="E34" s="197"/>
      <c r="F34" s="197"/>
    </row>
    <row r="35" spans="1:6" ht="15.75" customHeight="1">
      <c r="A35" s="216"/>
      <c r="B35" s="216"/>
      <c r="C35" s="216"/>
      <c r="D35" s="216"/>
      <c r="E35" s="197"/>
      <c r="F35" s="197"/>
    </row>
    <row r="36" spans="1:6" ht="15.75" customHeight="1">
      <c r="A36" s="216"/>
      <c r="B36" s="216"/>
      <c r="C36" s="216"/>
      <c r="D36" s="216"/>
      <c r="E36" s="197"/>
      <c r="F36" s="197"/>
    </row>
    <row r="37" spans="1:6" ht="15.75" customHeight="1">
      <c r="A37" s="216"/>
      <c r="B37" s="216"/>
      <c r="C37" s="216"/>
      <c r="D37" s="216"/>
      <c r="E37" s="197"/>
      <c r="F37" s="197"/>
    </row>
    <row r="38" spans="1:6" ht="15.75" customHeight="1">
      <c r="A38" s="216"/>
      <c r="B38" s="216"/>
      <c r="C38" s="216"/>
      <c r="D38" s="216"/>
      <c r="E38" s="197"/>
      <c r="F38" s="197"/>
    </row>
    <row r="39" spans="1:6" ht="15.75" customHeight="1">
      <c r="A39" s="216"/>
      <c r="B39" s="216"/>
      <c r="C39" s="216"/>
      <c r="D39" s="216"/>
      <c r="E39" s="197"/>
      <c r="F39" s="197"/>
    </row>
    <row r="40" spans="1:6" ht="15.75" customHeight="1">
      <c r="A40" s="216"/>
      <c r="B40" s="216"/>
      <c r="C40" s="216"/>
      <c r="D40" s="216"/>
      <c r="E40" s="197"/>
      <c r="F40" s="197"/>
    </row>
    <row r="41" spans="1:6" ht="15.75" customHeight="1">
      <c r="A41" s="216"/>
      <c r="B41" s="216"/>
      <c r="C41" s="216"/>
      <c r="D41" s="216"/>
      <c r="E41" s="197"/>
      <c r="F41" s="197"/>
    </row>
    <row r="42" spans="1:6" ht="15.75" customHeight="1">
      <c r="A42" s="216"/>
      <c r="B42" s="216"/>
      <c r="C42" s="216"/>
      <c r="D42" s="216"/>
      <c r="E42" s="197"/>
      <c r="F42" s="197"/>
    </row>
    <row r="43" spans="1:6" ht="15.75" customHeight="1">
      <c r="A43" s="216"/>
      <c r="B43" s="216"/>
      <c r="C43" s="216"/>
      <c r="D43" s="216"/>
      <c r="E43" s="197"/>
      <c r="F43" s="197"/>
    </row>
    <row r="44" spans="1:6" ht="15.75" customHeight="1">
      <c r="A44" s="216"/>
      <c r="B44" s="216"/>
      <c r="C44" s="216"/>
      <c r="D44" s="216"/>
      <c r="E44" s="197"/>
      <c r="F44" s="197"/>
    </row>
    <row r="45" spans="1:6" ht="15.75" customHeight="1">
      <c r="A45" s="216"/>
      <c r="B45" s="216"/>
      <c r="C45" s="216"/>
      <c r="D45" s="216"/>
      <c r="E45" s="197"/>
      <c r="F45" s="197"/>
    </row>
    <row r="46" spans="1:6" ht="15.75" customHeight="1">
      <c r="A46" s="216"/>
      <c r="B46" s="216"/>
      <c r="C46" s="216"/>
      <c r="D46" s="216"/>
      <c r="E46" s="197"/>
      <c r="F46" s="197"/>
    </row>
    <row r="47" spans="1:6" ht="15.75" customHeight="1">
      <c r="A47" s="216"/>
      <c r="B47" s="216"/>
      <c r="C47" s="216"/>
      <c r="D47" s="216"/>
      <c r="E47" s="197"/>
      <c r="F47" s="197"/>
    </row>
    <row r="48" spans="1:6" ht="15.75" customHeight="1">
      <c r="A48" s="216"/>
      <c r="B48" s="216"/>
      <c r="C48" s="216"/>
      <c r="D48" s="216"/>
      <c r="E48" s="197"/>
      <c r="F48" s="197"/>
    </row>
    <row r="49" spans="1:6" ht="15.75" customHeight="1">
      <c r="A49" s="216"/>
      <c r="B49" s="216"/>
      <c r="C49" s="216"/>
      <c r="D49" s="216"/>
      <c r="E49" s="197"/>
      <c r="F49" s="197"/>
    </row>
    <row r="50" spans="1:6" ht="15.75" customHeight="1">
      <c r="A50" s="216"/>
      <c r="B50" s="216"/>
      <c r="C50" s="216"/>
      <c r="D50" s="216"/>
      <c r="E50" s="197"/>
      <c r="F50" s="197"/>
    </row>
    <row r="51" spans="1:6" ht="15.75" customHeight="1">
      <c r="A51" s="216"/>
      <c r="B51" s="216"/>
      <c r="C51" s="216"/>
      <c r="D51" s="216"/>
      <c r="E51" s="197"/>
      <c r="F51" s="197"/>
    </row>
    <row r="52" spans="1:6" ht="15.75" customHeight="1">
      <c r="A52" s="216"/>
      <c r="B52" s="216"/>
      <c r="C52" s="216"/>
      <c r="D52" s="216"/>
      <c r="E52" s="197"/>
      <c r="F52" s="197"/>
    </row>
    <row r="53" spans="1:6" ht="15.75" customHeight="1">
      <c r="A53" s="216"/>
      <c r="B53" s="216"/>
      <c r="C53" s="216"/>
      <c r="D53" s="216"/>
      <c r="E53" s="197"/>
      <c r="F53" s="197"/>
    </row>
    <row r="54" spans="1:6" ht="15.75" customHeight="1">
      <c r="A54" s="216"/>
      <c r="B54" s="216"/>
      <c r="C54" s="216"/>
      <c r="D54" s="216"/>
      <c r="E54" s="197"/>
      <c r="F54" s="197"/>
    </row>
    <row r="55" spans="1:6" ht="15.75" customHeight="1">
      <c r="A55" s="216"/>
      <c r="B55" s="216"/>
      <c r="C55" s="216"/>
      <c r="D55" s="216"/>
      <c r="E55" s="197"/>
      <c r="F55" s="197"/>
    </row>
    <row r="56" spans="1:6" ht="15.75" customHeight="1">
      <c r="A56" s="216"/>
      <c r="B56" s="216"/>
      <c r="C56" s="216"/>
      <c r="D56" s="216"/>
      <c r="E56" s="197"/>
      <c r="F56" s="197"/>
    </row>
    <row r="57" spans="1:6" ht="15.75" customHeight="1">
      <c r="A57" s="216"/>
      <c r="B57" s="216"/>
      <c r="C57" s="216"/>
      <c r="D57" s="216"/>
      <c r="E57" s="197"/>
      <c r="F57" s="197"/>
    </row>
    <row r="58" spans="1:6" ht="15.75" customHeight="1">
      <c r="A58" s="216"/>
      <c r="B58" s="216"/>
      <c r="C58" s="216"/>
      <c r="D58" s="216"/>
      <c r="E58" s="197"/>
      <c r="F58" s="197"/>
    </row>
    <row r="59" spans="1:6" ht="15.75" customHeight="1">
      <c r="A59" s="216"/>
      <c r="B59" s="216"/>
      <c r="C59" s="216"/>
      <c r="D59" s="216"/>
      <c r="E59" s="197"/>
      <c r="F59" s="197"/>
    </row>
    <row r="60" spans="1:6" ht="15.75" customHeight="1">
      <c r="A60" s="216"/>
      <c r="B60" s="216"/>
      <c r="C60" s="216"/>
      <c r="D60" s="216"/>
      <c r="E60" s="197"/>
      <c r="F60" s="197"/>
    </row>
    <row r="61" spans="1:6" ht="15.75" customHeight="1">
      <c r="A61" s="216"/>
      <c r="B61" s="216"/>
      <c r="C61" s="216"/>
      <c r="D61" s="216"/>
      <c r="E61" s="197"/>
      <c r="F61" s="197"/>
    </row>
    <row r="62" spans="1:6" ht="15.75" customHeight="1">
      <c r="A62" s="216"/>
      <c r="B62" s="216"/>
      <c r="C62" s="216"/>
      <c r="D62" s="216"/>
      <c r="E62" s="197"/>
      <c r="F62" s="197"/>
    </row>
    <row r="63" spans="1:6" ht="15.75" customHeight="1">
      <c r="A63" s="216"/>
      <c r="B63" s="216"/>
      <c r="C63" s="216"/>
      <c r="D63" s="216"/>
      <c r="E63" s="197"/>
      <c r="F63" s="197"/>
    </row>
    <row r="64" spans="1:6" ht="15.75" customHeight="1">
      <c r="A64" s="216"/>
      <c r="B64" s="216"/>
      <c r="C64" s="216"/>
      <c r="D64" s="216"/>
      <c r="E64" s="197"/>
      <c r="F64" s="197"/>
    </row>
    <row r="65" spans="1:6" ht="15.75" customHeight="1">
      <c r="A65" s="216"/>
      <c r="B65" s="216"/>
      <c r="C65" s="216"/>
      <c r="D65" s="216"/>
      <c r="E65" s="197"/>
      <c r="F65" s="197"/>
    </row>
    <row r="66" spans="1:6" ht="15.75" customHeight="1">
      <c r="A66" s="216"/>
      <c r="B66" s="216"/>
      <c r="C66" s="216"/>
      <c r="D66" s="216"/>
      <c r="E66" s="197"/>
      <c r="F66" s="197"/>
    </row>
    <row r="67" spans="1:6" ht="15.75" customHeight="1">
      <c r="A67" s="216"/>
      <c r="B67" s="216"/>
      <c r="C67" s="216"/>
      <c r="D67" s="216"/>
      <c r="E67" s="197"/>
      <c r="F67" s="197"/>
    </row>
    <row r="68" spans="1:6" ht="15.75" customHeight="1">
      <c r="A68" s="216"/>
      <c r="B68" s="216"/>
      <c r="C68" s="216"/>
      <c r="D68" s="216"/>
      <c r="E68" s="197"/>
      <c r="F68" s="197"/>
    </row>
    <row r="69" spans="1:6" ht="15.75" customHeight="1">
      <c r="A69" s="216"/>
      <c r="B69" s="216"/>
      <c r="C69" s="216"/>
      <c r="D69" s="216"/>
      <c r="E69" s="197"/>
      <c r="F69" s="197"/>
    </row>
    <row r="70" spans="1:6" ht="15.75" customHeight="1">
      <c r="A70" s="216"/>
      <c r="B70" s="216"/>
      <c r="C70" s="216"/>
      <c r="D70" s="216"/>
      <c r="E70" s="197"/>
      <c r="F70" s="197"/>
    </row>
    <row r="71" spans="1:6" ht="15.75" customHeight="1">
      <c r="A71" s="216"/>
      <c r="B71" s="216"/>
      <c r="C71" s="216"/>
      <c r="D71" s="216"/>
      <c r="E71" s="197"/>
      <c r="F71" s="197"/>
    </row>
    <row r="72" spans="1:6" ht="15.75" customHeight="1">
      <c r="A72" s="216"/>
      <c r="B72" s="216"/>
      <c r="C72" s="216"/>
      <c r="D72" s="216"/>
      <c r="E72" s="197"/>
      <c r="F72" s="197"/>
    </row>
    <row r="73" spans="1:6" ht="15.75" customHeight="1">
      <c r="A73" s="216"/>
      <c r="B73" s="216"/>
      <c r="C73" s="216"/>
      <c r="D73" s="216"/>
      <c r="E73" s="197"/>
      <c r="F73" s="197"/>
    </row>
    <row r="74" spans="1:6" ht="15.75" customHeight="1">
      <c r="A74" s="216"/>
      <c r="B74" s="216"/>
      <c r="C74" s="216"/>
      <c r="D74" s="216"/>
      <c r="E74" s="197"/>
      <c r="F74" s="197"/>
    </row>
    <row r="75" spans="1:6" ht="15.75" customHeight="1">
      <c r="A75" s="216"/>
      <c r="B75" s="216"/>
      <c r="C75" s="216"/>
      <c r="D75" s="216"/>
      <c r="E75" s="197"/>
      <c r="F75" s="197"/>
    </row>
    <row r="76" spans="1:6" ht="15.75" customHeight="1">
      <c r="A76" s="216"/>
      <c r="B76" s="216"/>
      <c r="C76" s="216"/>
      <c r="D76" s="216"/>
      <c r="E76" s="197"/>
      <c r="F76" s="197"/>
    </row>
    <row r="77" spans="1:6" ht="15.75" customHeight="1">
      <c r="A77" s="216"/>
      <c r="B77" s="216"/>
      <c r="C77" s="216"/>
      <c r="D77" s="216"/>
      <c r="E77" s="197"/>
      <c r="F77" s="197"/>
    </row>
    <row r="78" spans="1:6" ht="15.75" customHeight="1">
      <c r="A78" s="216"/>
      <c r="B78" s="216"/>
      <c r="C78" s="216"/>
      <c r="D78" s="216"/>
      <c r="E78" s="197"/>
      <c r="F78" s="197"/>
    </row>
    <row r="79" spans="1:6" ht="15.75" customHeight="1">
      <c r="A79" s="216"/>
      <c r="B79" s="216"/>
      <c r="C79" s="216"/>
      <c r="D79" s="216"/>
      <c r="E79" s="197"/>
      <c r="F79" s="197"/>
    </row>
    <row r="80" spans="1:6" ht="15.75" customHeight="1">
      <c r="A80" s="216"/>
      <c r="B80" s="216"/>
      <c r="C80" s="216"/>
      <c r="D80" s="216"/>
      <c r="E80" s="197"/>
      <c r="F80" s="197"/>
    </row>
    <row r="81" spans="1:6" ht="15.75" customHeight="1">
      <c r="A81" s="216"/>
      <c r="B81" s="216"/>
      <c r="C81" s="216"/>
      <c r="D81" s="216"/>
      <c r="E81" s="197"/>
      <c r="F81" s="197"/>
    </row>
    <row r="82" spans="1:6" ht="15.75" customHeight="1">
      <c r="A82" s="216"/>
      <c r="B82" s="216"/>
      <c r="C82" s="216"/>
      <c r="D82" s="216"/>
      <c r="E82" s="197"/>
      <c r="F82" s="197"/>
    </row>
    <row r="83" spans="1:6" ht="15.75" customHeight="1">
      <c r="A83" s="216"/>
      <c r="B83" s="216"/>
      <c r="C83" s="216"/>
      <c r="D83" s="216"/>
      <c r="E83" s="197"/>
      <c r="F83" s="197"/>
    </row>
    <row r="84" spans="1:6" ht="15.75" customHeight="1">
      <c r="A84" s="216"/>
      <c r="B84" s="216"/>
      <c r="C84" s="216"/>
      <c r="D84" s="216"/>
      <c r="E84" s="197"/>
      <c r="F84" s="197"/>
    </row>
    <row r="85" spans="1:6" ht="15.75" customHeight="1">
      <c r="A85" s="216"/>
      <c r="B85" s="216"/>
      <c r="C85" s="216"/>
      <c r="D85" s="216"/>
      <c r="E85" s="197"/>
      <c r="F85" s="197"/>
    </row>
    <row r="86" spans="1:6" ht="15.75" customHeight="1">
      <c r="A86" s="216"/>
      <c r="B86" s="216"/>
      <c r="C86" s="216"/>
      <c r="D86" s="216"/>
      <c r="E86" s="197"/>
      <c r="F86" s="197"/>
    </row>
    <row r="87" spans="1:6" ht="15.75" customHeight="1">
      <c r="A87" s="216"/>
      <c r="B87" s="216"/>
      <c r="C87" s="216"/>
      <c r="D87" s="216"/>
      <c r="E87" s="197"/>
      <c r="F87" s="197"/>
    </row>
    <row r="88" spans="1:6" ht="15.75" customHeight="1">
      <c r="A88" s="216"/>
      <c r="B88" s="216"/>
      <c r="C88" s="216"/>
      <c r="D88" s="216"/>
      <c r="E88" s="197"/>
      <c r="F88" s="197"/>
    </row>
    <row r="89" spans="1:6" ht="15.75" customHeight="1">
      <c r="A89" s="216"/>
      <c r="B89" s="216"/>
      <c r="C89" s="216"/>
      <c r="D89" s="216"/>
      <c r="E89" s="197"/>
      <c r="F89" s="197"/>
    </row>
    <row r="90" spans="1:6" ht="15.75" customHeight="1">
      <c r="A90" s="216"/>
      <c r="B90" s="216"/>
      <c r="C90" s="216"/>
      <c r="D90" s="216"/>
      <c r="E90" s="197"/>
      <c r="F90" s="197"/>
    </row>
    <row r="91" spans="1:6" ht="15.75" customHeight="1">
      <c r="A91" s="216"/>
      <c r="B91" s="216"/>
      <c r="C91" s="216"/>
      <c r="D91" s="216"/>
      <c r="E91" s="197"/>
      <c r="F91" s="197"/>
    </row>
    <row r="92" spans="1:6" ht="15.75" customHeight="1">
      <c r="A92" s="216"/>
      <c r="B92" s="216"/>
      <c r="C92" s="216"/>
      <c r="D92" s="216"/>
      <c r="E92" s="197"/>
      <c r="F92" s="197"/>
    </row>
    <row r="93" spans="1:6" ht="15.75" customHeight="1">
      <c r="A93" s="216"/>
      <c r="B93" s="216"/>
      <c r="C93" s="216"/>
      <c r="D93" s="216"/>
      <c r="E93" s="197"/>
      <c r="F93" s="197"/>
    </row>
    <row r="94" spans="1:6" ht="15.75" customHeight="1">
      <c r="A94" s="216"/>
      <c r="B94" s="216"/>
      <c r="C94" s="216"/>
      <c r="D94" s="216"/>
      <c r="E94" s="197"/>
      <c r="F94" s="197"/>
    </row>
    <row r="95" spans="1:6" ht="15.75" customHeight="1">
      <c r="A95" s="216"/>
      <c r="B95" s="216"/>
      <c r="C95" s="216"/>
      <c r="D95" s="216"/>
      <c r="E95" s="197"/>
      <c r="F95" s="197"/>
    </row>
    <row r="96" spans="1:6" ht="15.75" customHeight="1">
      <c r="A96" s="216"/>
      <c r="B96" s="216"/>
      <c r="C96" s="216"/>
      <c r="D96" s="216"/>
      <c r="E96" s="197"/>
      <c r="F96" s="197"/>
    </row>
    <row r="97" spans="1:6" ht="15.75" customHeight="1">
      <c r="A97" s="216"/>
      <c r="B97" s="216"/>
      <c r="C97" s="216"/>
      <c r="D97" s="216"/>
      <c r="E97" s="197"/>
      <c r="F97" s="197"/>
    </row>
    <row r="98" spans="1:6" ht="15.75" customHeight="1">
      <c r="A98" s="216"/>
      <c r="B98" s="216"/>
      <c r="C98" s="216"/>
      <c r="D98" s="216"/>
      <c r="E98" s="197"/>
      <c r="F98" s="197"/>
    </row>
    <row r="99" spans="1:6" ht="15.75" customHeight="1">
      <c r="A99" s="216"/>
      <c r="B99" s="216"/>
      <c r="C99" s="216"/>
      <c r="D99" s="216"/>
      <c r="E99" s="197"/>
      <c r="F99" s="197"/>
    </row>
    <row r="100" spans="1:6" ht="15.75" customHeight="1">
      <c r="A100" s="216"/>
      <c r="B100" s="216"/>
      <c r="C100" s="216"/>
      <c r="D100" s="216"/>
      <c r="E100" s="197"/>
      <c r="F100" s="197"/>
    </row>
    <row r="101" spans="1:6" ht="15.75" customHeight="1">
      <c r="A101" s="216"/>
      <c r="B101" s="216"/>
      <c r="C101" s="216"/>
      <c r="D101" s="216"/>
      <c r="E101" s="197"/>
      <c r="F101" s="197"/>
    </row>
    <row r="102" spans="1:6" ht="15.75" customHeight="1">
      <c r="A102" s="216"/>
      <c r="B102" s="216"/>
      <c r="C102" s="216"/>
      <c r="D102" s="216"/>
      <c r="E102" s="197"/>
      <c r="F102" s="197"/>
    </row>
    <row r="103" spans="1:6" ht="15.75" customHeight="1">
      <c r="A103" s="216"/>
      <c r="B103" s="216"/>
      <c r="C103" s="216"/>
      <c r="D103" s="216"/>
      <c r="E103" s="197"/>
      <c r="F103" s="197"/>
    </row>
    <row r="104" spans="1:6" ht="15.75" customHeight="1">
      <c r="A104" s="216"/>
      <c r="B104" s="216"/>
      <c r="C104" s="216"/>
      <c r="D104" s="216"/>
      <c r="E104" s="197"/>
      <c r="F104" s="197"/>
    </row>
    <row r="105" spans="1:6" ht="15.75" customHeight="1">
      <c r="A105" s="216"/>
      <c r="B105" s="216"/>
      <c r="C105" s="216"/>
      <c r="D105" s="216"/>
      <c r="E105" s="197"/>
      <c r="F105" s="197"/>
    </row>
    <row r="106" spans="1:6" ht="15.75" customHeight="1">
      <c r="A106" s="216"/>
      <c r="B106" s="216"/>
      <c r="C106" s="216"/>
      <c r="D106" s="216"/>
      <c r="E106" s="197"/>
      <c r="F106" s="197"/>
    </row>
    <row r="107" spans="1:6" ht="15.75" customHeight="1">
      <c r="A107" s="216"/>
      <c r="B107" s="216"/>
      <c r="C107" s="216"/>
      <c r="D107" s="216"/>
      <c r="E107" s="197"/>
      <c r="F107" s="197"/>
    </row>
    <row r="108" spans="1:6" ht="15.75" customHeight="1">
      <c r="A108" s="216"/>
      <c r="B108" s="216"/>
      <c r="C108" s="216"/>
      <c r="D108" s="216"/>
      <c r="E108" s="197"/>
      <c r="F108" s="197"/>
    </row>
    <row r="109" spans="1:6" ht="15.75" customHeight="1">
      <c r="A109" s="216"/>
      <c r="B109" s="216"/>
      <c r="C109" s="216"/>
      <c r="D109" s="216"/>
      <c r="E109" s="197"/>
      <c r="F109" s="197"/>
    </row>
    <row r="110" spans="1:6" ht="15.75" customHeight="1">
      <c r="A110" s="216"/>
      <c r="B110" s="216"/>
      <c r="C110" s="216"/>
      <c r="D110" s="216"/>
      <c r="E110" s="197"/>
      <c r="F110" s="197"/>
    </row>
    <row r="111" spans="1:6" ht="15.75" customHeight="1">
      <c r="A111" s="216"/>
      <c r="B111" s="216"/>
      <c r="C111" s="216"/>
      <c r="D111" s="216"/>
      <c r="E111" s="197"/>
      <c r="F111" s="197"/>
    </row>
    <row r="112" spans="1:6" ht="15.75" customHeight="1">
      <c r="A112" s="216"/>
      <c r="B112" s="216"/>
      <c r="C112" s="216"/>
      <c r="D112" s="216"/>
      <c r="E112" s="197"/>
      <c r="F112" s="197"/>
    </row>
    <row r="113" spans="1:6" ht="15.75" customHeight="1">
      <c r="A113" s="216"/>
      <c r="B113" s="216"/>
      <c r="C113" s="216"/>
      <c r="D113" s="216"/>
      <c r="E113" s="197"/>
      <c r="F113" s="197"/>
    </row>
    <row r="114" spans="1:6" ht="15.75" customHeight="1">
      <c r="A114" s="216"/>
      <c r="B114" s="216"/>
      <c r="C114" s="216"/>
      <c r="D114" s="216"/>
      <c r="E114" s="197"/>
      <c r="F114" s="197"/>
    </row>
    <row r="115" spans="1:6" ht="15.75" customHeight="1">
      <c r="A115" s="216"/>
      <c r="B115" s="216"/>
      <c r="C115" s="216"/>
      <c r="D115" s="216"/>
      <c r="E115" s="197"/>
      <c r="F115" s="197"/>
    </row>
    <row r="116" spans="1:6" ht="15.75" customHeight="1">
      <c r="A116" s="216"/>
      <c r="B116" s="216"/>
      <c r="C116" s="216"/>
      <c r="D116" s="216"/>
      <c r="E116" s="197"/>
      <c r="F116" s="197"/>
    </row>
    <row r="117" spans="1:6" ht="15.75" customHeight="1">
      <c r="A117" s="216"/>
      <c r="B117" s="216"/>
      <c r="C117" s="216"/>
      <c r="D117" s="216"/>
      <c r="E117" s="197"/>
      <c r="F117" s="197"/>
    </row>
    <row r="118" spans="1:6" ht="15.75" customHeight="1">
      <c r="A118" s="216"/>
      <c r="B118" s="216"/>
      <c r="C118" s="216"/>
      <c r="D118" s="216"/>
      <c r="E118" s="197"/>
      <c r="F118" s="197"/>
    </row>
    <row r="119" spans="1:6" ht="15.75" customHeight="1">
      <c r="A119" s="216"/>
      <c r="B119" s="216"/>
      <c r="C119" s="216"/>
      <c r="D119" s="216"/>
      <c r="E119" s="197"/>
      <c r="F119" s="197"/>
    </row>
    <row r="120" spans="1:6" ht="15.75" customHeight="1">
      <c r="A120" s="216"/>
      <c r="B120" s="216"/>
      <c r="C120" s="216"/>
      <c r="D120" s="216"/>
      <c r="E120" s="197"/>
      <c r="F120" s="197"/>
    </row>
    <row r="121" spans="1:6" ht="15.75" customHeight="1">
      <c r="A121" s="216"/>
      <c r="B121" s="216"/>
      <c r="C121" s="216"/>
      <c r="D121" s="216"/>
      <c r="E121" s="197"/>
      <c r="F121" s="197"/>
    </row>
    <row r="122" spans="1:6" ht="15.75" customHeight="1">
      <c r="A122" s="216"/>
      <c r="B122" s="216"/>
      <c r="C122" s="216"/>
      <c r="D122" s="216"/>
      <c r="E122" s="197"/>
      <c r="F122" s="197"/>
    </row>
    <row r="123" spans="1:6" ht="15.75" customHeight="1">
      <c r="A123" s="216"/>
      <c r="B123" s="216"/>
      <c r="C123" s="216"/>
      <c r="D123" s="216"/>
      <c r="E123" s="197"/>
      <c r="F123" s="197"/>
    </row>
    <row r="124" spans="1:6" ht="15.75" customHeight="1">
      <c r="A124" s="216"/>
      <c r="B124" s="216"/>
      <c r="C124" s="216"/>
      <c r="D124" s="216"/>
      <c r="E124" s="197"/>
      <c r="F124" s="197"/>
    </row>
    <row r="125" spans="1:6" ht="15.75" customHeight="1">
      <c r="A125" s="216"/>
      <c r="B125" s="216"/>
      <c r="C125" s="216"/>
      <c r="D125" s="216"/>
      <c r="E125" s="197"/>
      <c r="F125" s="197"/>
    </row>
    <row r="126" spans="1:6" ht="15.75" customHeight="1">
      <c r="A126" s="216"/>
      <c r="B126" s="216"/>
      <c r="C126" s="216"/>
      <c r="D126" s="216"/>
      <c r="E126" s="197"/>
      <c r="F126" s="197"/>
    </row>
    <row r="127" spans="1:6" ht="15.75" customHeight="1">
      <c r="A127" s="216"/>
      <c r="B127" s="216"/>
      <c r="C127" s="216"/>
      <c r="D127" s="216"/>
      <c r="E127" s="197"/>
      <c r="F127" s="197"/>
    </row>
    <row r="128" spans="1:6" ht="15.75" customHeight="1">
      <c r="A128" s="216"/>
      <c r="B128" s="216"/>
      <c r="C128" s="216"/>
      <c r="D128" s="216"/>
      <c r="E128" s="197"/>
      <c r="F128" s="197"/>
    </row>
    <row r="129" spans="1:6" ht="15.75" customHeight="1">
      <c r="A129" s="216"/>
      <c r="B129" s="216"/>
      <c r="C129" s="216"/>
      <c r="D129" s="216"/>
      <c r="E129" s="197"/>
      <c r="F129" s="197"/>
    </row>
    <row r="130" spans="1:6" ht="15.75" customHeight="1">
      <c r="A130" s="216"/>
      <c r="B130" s="216"/>
      <c r="C130" s="216"/>
      <c r="D130" s="216"/>
      <c r="E130" s="197"/>
      <c r="F130" s="197"/>
    </row>
    <row r="131" spans="1:6" ht="15.75" customHeight="1">
      <c r="A131" s="216"/>
      <c r="B131" s="216"/>
      <c r="C131" s="216"/>
      <c r="D131" s="216"/>
      <c r="E131" s="197"/>
      <c r="F131" s="197"/>
    </row>
    <row r="132" spans="1:6" ht="15.75" customHeight="1">
      <c r="A132" s="216"/>
      <c r="B132" s="216"/>
      <c r="C132" s="216"/>
      <c r="D132" s="216"/>
      <c r="E132" s="197"/>
      <c r="F132" s="197"/>
    </row>
    <row r="133" spans="1:6" ht="15.75" customHeight="1">
      <c r="A133" s="216"/>
      <c r="B133" s="216"/>
      <c r="C133" s="216"/>
      <c r="D133" s="216"/>
      <c r="E133" s="197"/>
      <c r="F133" s="197"/>
    </row>
    <row r="134" spans="1:6" ht="15.75" customHeight="1">
      <c r="A134" s="216"/>
      <c r="B134" s="216"/>
      <c r="C134" s="216"/>
      <c r="D134" s="216"/>
      <c r="E134" s="197"/>
      <c r="F134" s="197"/>
    </row>
    <row r="135" spans="1:6" ht="15.75" customHeight="1">
      <c r="A135" s="216"/>
      <c r="B135" s="216"/>
      <c r="C135" s="216"/>
      <c r="D135" s="216"/>
      <c r="E135" s="197"/>
      <c r="F135" s="197"/>
    </row>
    <row r="136" spans="1:6" ht="15.75" customHeight="1">
      <c r="A136" s="216"/>
      <c r="B136" s="216"/>
      <c r="C136" s="216"/>
      <c r="D136" s="216"/>
      <c r="E136" s="197"/>
      <c r="F136" s="197"/>
    </row>
    <row r="137" spans="1:6" ht="15.75" customHeight="1">
      <c r="A137" s="216"/>
      <c r="B137" s="216"/>
      <c r="C137" s="216"/>
      <c r="D137" s="216"/>
      <c r="E137" s="197"/>
      <c r="F137" s="197"/>
    </row>
    <row r="138" spans="1:6" ht="15.75" customHeight="1">
      <c r="A138" s="216"/>
      <c r="B138" s="216"/>
      <c r="C138" s="216"/>
      <c r="D138" s="216"/>
      <c r="E138" s="197"/>
      <c r="F138" s="197"/>
    </row>
    <row r="139" spans="1:6" ht="15.75" customHeight="1">
      <c r="A139" s="216"/>
      <c r="B139" s="216"/>
      <c r="C139" s="216"/>
      <c r="D139" s="216"/>
      <c r="E139" s="197"/>
      <c r="F139" s="197"/>
    </row>
    <row r="140" spans="1:6" ht="15.75" customHeight="1">
      <c r="A140" s="216"/>
      <c r="B140" s="216"/>
      <c r="C140" s="216"/>
      <c r="D140" s="216"/>
      <c r="E140" s="197"/>
      <c r="F140" s="197"/>
    </row>
    <row r="141" spans="1:6" ht="15.75" customHeight="1">
      <c r="A141" s="216"/>
      <c r="B141" s="216"/>
      <c r="C141" s="216"/>
      <c r="D141" s="216"/>
      <c r="E141" s="197"/>
      <c r="F141" s="197"/>
    </row>
    <row r="142" spans="1:6" ht="15.75" customHeight="1">
      <c r="A142" s="216"/>
      <c r="B142" s="216"/>
      <c r="C142" s="216"/>
      <c r="D142" s="216"/>
      <c r="E142" s="197"/>
      <c r="F142" s="197"/>
    </row>
    <row r="143" spans="1:6" ht="15.75" customHeight="1">
      <c r="A143" s="216"/>
      <c r="B143" s="216"/>
      <c r="C143" s="216"/>
      <c r="D143" s="216"/>
      <c r="E143" s="197"/>
      <c r="F143" s="197"/>
    </row>
    <row r="144" spans="1:6" ht="15.75" customHeight="1">
      <c r="A144" s="216"/>
      <c r="B144" s="216"/>
      <c r="C144" s="216"/>
      <c r="D144" s="216"/>
      <c r="E144" s="197"/>
      <c r="F144" s="197"/>
    </row>
    <row r="145" spans="1:6" ht="15.75" customHeight="1">
      <c r="A145" s="216"/>
      <c r="B145" s="216"/>
      <c r="C145" s="216"/>
      <c r="D145" s="216"/>
      <c r="E145" s="197"/>
      <c r="F145" s="197"/>
    </row>
    <row r="146" spans="1:6" ht="15.75" customHeight="1">
      <c r="A146" s="216"/>
      <c r="B146" s="216"/>
      <c r="C146" s="216"/>
      <c r="D146" s="216"/>
      <c r="E146" s="197"/>
      <c r="F146" s="197"/>
    </row>
    <row r="147" spans="1:6" ht="15.75" customHeight="1">
      <c r="A147" s="216"/>
      <c r="B147" s="216"/>
      <c r="C147" s="216"/>
      <c r="D147" s="216"/>
      <c r="E147" s="197"/>
      <c r="F147" s="197"/>
    </row>
    <row r="148" spans="1:6" ht="15.75" customHeight="1">
      <c r="A148" s="216"/>
      <c r="B148" s="216"/>
      <c r="C148" s="216"/>
      <c r="D148" s="216"/>
      <c r="E148" s="197"/>
      <c r="F148" s="197"/>
    </row>
    <row r="149" spans="1:6" ht="15.75" customHeight="1">
      <c r="A149" s="216"/>
      <c r="B149" s="216"/>
      <c r="C149" s="216"/>
      <c r="D149" s="216"/>
      <c r="E149" s="197"/>
      <c r="F149" s="197"/>
    </row>
    <row r="150" spans="1:6" ht="15.75" customHeight="1">
      <c r="A150" s="216"/>
      <c r="B150" s="216"/>
      <c r="C150" s="216"/>
      <c r="D150" s="216"/>
      <c r="E150" s="197"/>
      <c r="F150" s="197"/>
    </row>
    <row r="151" spans="1:6" ht="15.75" customHeight="1">
      <c r="A151" s="216"/>
      <c r="B151" s="216"/>
      <c r="C151" s="216"/>
      <c r="D151" s="216"/>
      <c r="E151" s="197"/>
      <c r="F151" s="197"/>
    </row>
    <row r="152" spans="1:6" ht="15.75" customHeight="1">
      <c r="A152" s="216"/>
      <c r="B152" s="216"/>
      <c r="C152" s="216"/>
      <c r="D152" s="216"/>
      <c r="E152" s="197"/>
      <c r="F152" s="197"/>
    </row>
    <row r="153" spans="1:6" ht="15.75" customHeight="1">
      <c r="A153" s="216"/>
      <c r="B153" s="216"/>
      <c r="C153" s="216"/>
      <c r="D153" s="216"/>
      <c r="E153" s="197"/>
      <c r="F153" s="197"/>
    </row>
    <row r="154" spans="1:6" ht="15.75" customHeight="1">
      <c r="A154" s="216"/>
      <c r="B154" s="216"/>
      <c r="C154" s="216"/>
      <c r="D154" s="216"/>
      <c r="E154" s="197"/>
      <c r="F154" s="197"/>
    </row>
    <row r="155" spans="1:6" ht="15.75" customHeight="1">
      <c r="A155" s="216"/>
      <c r="B155" s="216"/>
      <c r="C155" s="216"/>
      <c r="D155" s="216"/>
      <c r="E155" s="197"/>
      <c r="F155" s="197"/>
    </row>
    <row r="156" spans="1:6" ht="15.75" customHeight="1">
      <c r="A156" s="216"/>
      <c r="B156" s="216"/>
      <c r="C156" s="216"/>
      <c r="D156" s="216"/>
      <c r="E156" s="197"/>
      <c r="F156" s="197"/>
    </row>
    <row r="157" spans="1:6" ht="15.75" customHeight="1">
      <c r="A157" s="216"/>
      <c r="B157" s="216"/>
      <c r="C157" s="216"/>
      <c r="D157" s="216"/>
      <c r="E157" s="197"/>
      <c r="F157" s="197"/>
    </row>
    <row r="158" spans="1:6" ht="15.75" customHeight="1">
      <c r="A158" s="216"/>
      <c r="B158" s="216"/>
      <c r="C158" s="216"/>
      <c r="D158" s="216"/>
      <c r="E158" s="197"/>
      <c r="F158" s="197"/>
    </row>
    <row r="159" spans="1:6" ht="15.75" customHeight="1">
      <c r="A159" s="216"/>
      <c r="B159" s="216"/>
      <c r="C159" s="216"/>
      <c r="D159" s="216"/>
      <c r="E159" s="197"/>
      <c r="F159" s="197"/>
    </row>
    <row r="160" spans="1:6" ht="15.75" customHeight="1">
      <c r="A160" s="216"/>
      <c r="B160" s="216"/>
      <c r="C160" s="216"/>
      <c r="D160" s="216"/>
      <c r="E160" s="197"/>
      <c r="F160" s="197"/>
    </row>
    <row r="161" spans="1:6" ht="15.75" customHeight="1">
      <c r="A161" s="216"/>
      <c r="B161" s="216"/>
      <c r="C161" s="216"/>
      <c r="D161" s="216"/>
      <c r="E161" s="197"/>
      <c r="F161" s="197"/>
    </row>
    <row r="162" spans="1:6" ht="15.75" customHeight="1">
      <c r="A162" s="216"/>
      <c r="B162" s="216"/>
      <c r="C162" s="216"/>
      <c r="D162" s="216"/>
      <c r="E162" s="197"/>
      <c r="F162" s="197"/>
    </row>
    <row r="163" spans="1:6" ht="15.75" customHeight="1">
      <c r="A163" s="216"/>
      <c r="B163" s="216"/>
      <c r="C163" s="216"/>
      <c r="D163" s="216"/>
      <c r="E163" s="197"/>
      <c r="F163" s="197"/>
    </row>
    <row r="164" spans="1:6" ht="15.75" customHeight="1">
      <c r="A164" s="216"/>
      <c r="B164" s="216"/>
      <c r="C164" s="216"/>
      <c r="D164" s="216"/>
      <c r="E164" s="197"/>
      <c r="F164" s="197"/>
    </row>
    <row r="165" spans="1:6" ht="15.75" customHeight="1">
      <c r="A165" s="216"/>
      <c r="B165" s="216"/>
      <c r="C165" s="216"/>
      <c r="D165" s="216"/>
      <c r="E165" s="197"/>
      <c r="F165" s="197"/>
    </row>
    <row r="166" spans="1:6" ht="15.75" customHeight="1">
      <c r="A166" s="216"/>
      <c r="B166" s="216"/>
      <c r="C166" s="216"/>
      <c r="D166" s="216"/>
      <c r="E166" s="197"/>
      <c r="F166" s="197"/>
    </row>
    <row r="167" spans="1:6" ht="15.75" customHeight="1">
      <c r="A167" s="216"/>
      <c r="B167" s="216"/>
      <c r="C167" s="216"/>
      <c r="D167" s="216"/>
      <c r="E167" s="197"/>
      <c r="F167" s="197"/>
    </row>
    <row r="168" spans="1:6" ht="15.75" customHeight="1">
      <c r="A168" s="216"/>
      <c r="B168" s="216"/>
      <c r="C168" s="216"/>
      <c r="D168" s="216"/>
      <c r="E168" s="197"/>
      <c r="F168" s="197"/>
    </row>
    <row r="169" spans="1:6" ht="15.75" customHeight="1">
      <c r="A169" s="216"/>
      <c r="B169" s="216"/>
      <c r="C169" s="216"/>
      <c r="D169" s="216"/>
      <c r="E169" s="197"/>
      <c r="F169" s="197"/>
    </row>
    <row r="170" spans="1:6" ht="15.75" customHeight="1">
      <c r="A170" s="216"/>
      <c r="B170" s="216"/>
      <c r="C170" s="216"/>
      <c r="D170" s="216"/>
      <c r="E170" s="197"/>
      <c r="F170" s="197"/>
    </row>
    <row r="171" spans="1:6" ht="15.75" customHeight="1">
      <c r="A171" s="216"/>
      <c r="B171" s="216"/>
      <c r="C171" s="216"/>
      <c r="D171" s="216"/>
      <c r="E171" s="197"/>
      <c r="F171" s="197"/>
    </row>
    <row r="172" spans="1:6" ht="15.75" customHeight="1">
      <c r="A172" s="216"/>
      <c r="B172" s="216"/>
      <c r="C172" s="216"/>
      <c r="D172" s="216"/>
      <c r="E172" s="197"/>
      <c r="F172" s="197"/>
    </row>
    <row r="173" spans="1:6" ht="15.75" customHeight="1">
      <c r="A173" s="216"/>
      <c r="B173" s="216"/>
      <c r="C173" s="216"/>
      <c r="D173" s="216"/>
      <c r="E173" s="197"/>
      <c r="F173" s="197"/>
    </row>
    <row r="174" spans="1:6" ht="15.75" customHeight="1">
      <c r="A174" s="216"/>
      <c r="B174" s="216"/>
      <c r="C174" s="216"/>
      <c r="D174" s="216"/>
      <c r="E174" s="197"/>
      <c r="F174" s="197"/>
    </row>
    <row r="175" spans="1:6" ht="15.75" customHeight="1">
      <c r="A175" s="216"/>
      <c r="B175" s="216"/>
      <c r="C175" s="216"/>
      <c r="D175" s="216"/>
      <c r="E175" s="197"/>
      <c r="F175" s="197"/>
    </row>
    <row r="176" spans="1:6" ht="15.75" customHeight="1">
      <c r="A176" s="216"/>
      <c r="B176" s="216"/>
      <c r="C176" s="216"/>
      <c r="D176" s="216"/>
      <c r="E176" s="197"/>
      <c r="F176" s="197"/>
    </row>
    <row r="177" spans="1:6" ht="15.75" customHeight="1">
      <c r="A177" s="216"/>
      <c r="B177" s="216"/>
      <c r="C177" s="216"/>
      <c r="D177" s="216"/>
      <c r="E177" s="197"/>
      <c r="F177" s="197"/>
    </row>
    <row r="178" spans="1:6" ht="15.75" customHeight="1">
      <c r="A178" s="216"/>
      <c r="B178" s="216"/>
      <c r="C178" s="216"/>
      <c r="D178" s="216"/>
      <c r="E178" s="197"/>
      <c r="F178" s="197"/>
    </row>
    <row r="179" spans="1:6" ht="15.75" customHeight="1">
      <c r="A179" s="216"/>
      <c r="B179" s="216"/>
      <c r="C179" s="216"/>
      <c r="D179" s="216"/>
      <c r="E179" s="197"/>
      <c r="F179" s="197"/>
    </row>
    <row r="180" spans="1:6" ht="15.75" customHeight="1">
      <c r="A180" s="216"/>
      <c r="B180" s="216"/>
      <c r="C180" s="216"/>
      <c r="D180" s="216"/>
      <c r="E180" s="197"/>
      <c r="F180" s="197"/>
    </row>
    <row r="181" spans="1:6" ht="15.75" customHeight="1">
      <c r="A181" s="216"/>
      <c r="B181" s="216"/>
      <c r="C181" s="216"/>
      <c r="D181" s="216"/>
      <c r="E181" s="197"/>
      <c r="F181" s="197"/>
    </row>
    <row r="182" spans="1:6" ht="15.75" customHeight="1">
      <c r="A182" s="216"/>
      <c r="B182" s="216"/>
      <c r="C182" s="216"/>
      <c r="D182" s="216"/>
      <c r="E182" s="197"/>
      <c r="F182" s="197"/>
    </row>
    <row r="183" spans="1:6" ht="15.75" customHeight="1">
      <c r="A183" s="216"/>
      <c r="B183" s="216"/>
      <c r="C183" s="216"/>
      <c r="D183" s="216"/>
      <c r="E183" s="197"/>
      <c r="F183" s="197"/>
    </row>
    <row r="184" spans="1:6" ht="15.75" customHeight="1">
      <c r="A184" s="216"/>
      <c r="B184" s="216"/>
      <c r="C184" s="216"/>
      <c r="D184" s="216"/>
      <c r="E184" s="197"/>
      <c r="F184" s="197"/>
    </row>
    <row r="185" spans="1:6" ht="15.75" customHeight="1">
      <c r="A185" s="216"/>
      <c r="B185" s="216"/>
      <c r="C185" s="216"/>
      <c r="D185" s="216"/>
      <c r="E185" s="197"/>
      <c r="F185" s="197"/>
    </row>
    <row r="186" spans="1:6" ht="15.75" customHeight="1">
      <c r="A186" s="216"/>
      <c r="B186" s="216"/>
      <c r="C186" s="216"/>
      <c r="D186" s="216"/>
      <c r="E186" s="197"/>
      <c r="F186" s="197"/>
    </row>
    <row r="187" spans="1:6" ht="15.75" customHeight="1">
      <c r="A187" s="216"/>
      <c r="B187" s="216"/>
      <c r="C187" s="216"/>
      <c r="D187" s="216"/>
      <c r="E187" s="197"/>
      <c r="F187" s="197"/>
    </row>
    <row r="188" spans="1:6" ht="15.75" customHeight="1">
      <c r="A188" s="216"/>
      <c r="B188" s="216"/>
      <c r="C188" s="216"/>
      <c r="D188" s="216"/>
      <c r="E188" s="197"/>
      <c r="F188" s="197"/>
    </row>
    <row r="189" spans="1:6" ht="15.75" customHeight="1">
      <c r="A189" s="216"/>
      <c r="B189" s="216"/>
      <c r="C189" s="216"/>
      <c r="D189" s="216"/>
      <c r="E189" s="197"/>
      <c r="F189" s="197"/>
    </row>
    <row r="190" spans="1:6" ht="15.75" customHeight="1">
      <c r="A190" s="216"/>
      <c r="B190" s="216"/>
      <c r="C190" s="216"/>
      <c r="D190" s="216"/>
      <c r="E190" s="197"/>
      <c r="F190" s="197"/>
    </row>
    <row r="191" spans="1:6" ht="15.75" customHeight="1">
      <c r="A191" s="216"/>
      <c r="B191" s="216"/>
      <c r="C191" s="216"/>
      <c r="D191" s="216"/>
      <c r="E191" s="197"/>
      <c r="F191" s="197"/>
    </row>
    <row r="192" spans="1:6" ht="15.75" customHeight="1">
      <c r="A192" s="216"/>
      <c r="B192" s="216"/>
      <c r="C192" s="216"/>
      <c r="D192" s="216"/>
      <c r="E192" s="197"/>
      <c r="F192" s="197"/>
    </row>
    <row r="193" spans="1:6" ht="15.75" customHeight="1">
      <c r="A193" s="216"/>
      <c r="B193" s="216"/>
      <c r="C193" s="216"/>
      <c r="D193" s="216"/>
      <c r="E193" s="197"/>
      <c r="F193" s="197"/>
    </row>
    <row r="194" spans="1:6" ht="15.75" customHeight="1">
      <c r="A194" s="216"/>
      <c r="B194" s="216"/>
      <c r="C194" s="216"/>
      <c r="D194" s="216"/>
      <c r="E194" s="197"/>
      <c r="F194" s="197"/>
    </row>
    <row r="195" spans="1:6" ht="15.75" customHeight="1">
      <c r="A195" s="216"/>
      <c r="B195" s="216"/>
      <c r="C195" s="216"/>
      <c r="D195" s="216"/>
      <c r="E195" s="197"/>
      <c r="F195" s="197"/>
    </row>
    <row r="196" spans="1:6" ht="15.75" customHeight="1">
      <c r="A196" s="216"/>
      <c r="B196" s="216"/>
      <c r="C196" s="216"/>
      <c r="D196" s="216"/>
      <c r="E196" s="197"/>
      <c r="F196" s="197"/>
    </row>
    <row r="197" spans="1:6" ht="15.75" customHeight="1">
      <c r="A197" s="216"/>
      <c r="B197" s="216"/>
      <c r="C197" s="216"/>
      <c r="D197" s="216"/>
      <c r="E197" s="197"/>
      <c r="F197" s="197"/>
    </row>
    <row r="198" spans="1:6" ht="15.75" customHeight="1">
      <c r="A198" s="216"/>
      <c r="B198" s="216"/>
      <c r="C198" s="216"/>
      <c r="D198" s="216"/>
      <c r="E198" s="197"/>
      <c r="F198" s="197"/>
    </row>
    <row r="199" spans="1:6" ht="15.75" customHeight="1">
      <c r="A199" s="216"/>
      <c r="B199" s="216"/>
      <c r="C199" s="216"/>
      <c r="D199" s="216"/>
      <c r="E199" s="197"/>
      <c r="F199" s="197"/>
    </row>
    <row r="200" spans="1:6" ht="15.75" customHeight="1">
      <c r="A200" s="216"/>
      <c r="B200" s="216"/>
      <c r="C200" s="216"/>
      <c r="D200" s="216"/>
      <c r="E200" s="197"/>
      <c r="F200" s="197"/>
    </row>
    <row r="201" spans="1:6" ht="15.75" customHeight="1">
      <c r="A201" s="216"/>
      <c r="B201" s="216"/>
      <c r="C201" s="216"/>
      <c r="D201" s="216"/>
      <c r="E201" s="197"/>
      <c r="F201" s="197"/>
    </row>
    <row r="202" spans="1:6" ht="15.75" customHeight="1">
      <c r="A202" s="216"/>
      <c r="B202" s="216"/>
      <c r="C202" s="216"/>
      <c r="D202" s="216"/>
      <c r="E202" s="197"/>
      <c r="F202" s="197"/>
    </row>
    <row r="203" spans="1:6" ht="15.75" customHeight="1">
      <c r="A203" s="216"/>
      <c r="B203" s="216"/>
      <c r="C203" s="216"/>
      <c r="D203" s="216"/>
      <c r="E203" s="197"/>
      <c r="F203" s="197"/>
    </row>
    <row r="204" spans="1:6" ht="15.75" customHeight="1">
      <c r="A204" s="216"/>
      <c r="B204" s="216"/>
      <c r="C204" s="216"/>
      <c r="D204" s="216"/>
      <c r="E204" s="197"/>
      <c r="F204" s="197"/>
    </row>
    <row r="205" spans="1:6" ht="15.75" customHeight="1">
      <c r="A205" s="216"/>
      <c r="B205" s="216"/>
      <c r="C205" s="216"/>
      <c r="D205" s="216"/>
      <c r="E205" s="197"/>
      <c r="F205" s="197"/>
    </row>
    <row r="206" spans="1:6" ht="15.75" customHeight="1">
      <c r="A206" s="216"/>
      <c r="B206" s="216"/>
      <c r="C206" s="216"/>
      <c r="D206" s="216"/>
      <c r="E206" s="197"/>
      <c r="F206" s="197"/>
    </row>
    <row r="207" spans="1:6" ht="15.75" customHeight="1">
      <c r="A207" s="216"/>
      <c r="B207" s="216"/>
      <c r="C207" s="216"/>
      <c r="D207" s="216"/>
      <c r="E207" s="197"/>
      <c r="F207" s="197"/>
    </row>
    <row r="208" spans="1:6" ht="15.75" customHeight="1">
      <c r="A208" s="216"/>
      <c r="B208" s="216"/>
      <c r="C208" s="216"/>
      <c r="D208" s="216"/>
      <c r="E208" s="197"/>
      <c r="F208" s="197"/>
    </row>
    <row r="209" spans="1:6" ht="15.75" customHeight="1">
      <c r="A209" s="216"/>
      <c r="B209" s="216"/>
      <c r="C209" s="216"/>
      <c r="D209" s="216"/>
      <c r="E209" s="197"/>
      <c r="F209" s="197"/>
    </row>
    <row r="210" spans="1:6" ht="15.75" customHeight="1">
      <c r="A210" s="216"/>
      <c r="B210" s="216"/>
      <c r="C210" s="216"/>
      <c r="D210" s="216"/>
      <c r="E210" s="197"/>
      <c r="F210" s="197"/>
    </row>
    <row r="211" spans="1:6" ht="15.75" customHeight="1">
      <c r="A211" s="216"/>
      <c r="B211" s="216"/>
      <c r="C211" s="216"/>
      <c r="D211" s="216"/>
      <c r="E211" s="197"/>
      <c r="F211" s="197"/>
    </row>
    <row r="212" spans="1:6" ht="15.75" customHeight="1">
      <c r="A212" s="216"/>
      <c r="B212" s="216"/>
      <c r="C212" s="216"/>
      <c r="D212" s="216"/>
      <c r="E212" s="197"/>
      <c r="F212" s="197"/>
    </row>
    <row r="213" spans="1:6" ht="15.75" customHeight="1">
      <c r="A213" s="216"/>
      <c r="B213" s="216"/>
      <c r="C213" s="216"/>
      <c r="D213" s="216"/>
      <c r="E213" s="197"/>
      <c r="F213" s="197"/>
    </row>
    <row r="214" spans="1:6" ht="15.75" customHeight="1">
      <c r="A214" s="216"/>
      <c r="B214" s="216"/>
      <c r="C214" s="216"/>
      <c r="D214" s="216"/>
      <c r="E214" s="197"/>
      <c r="F214" s="197"/>
    </row>
    <row r="215" spans="1:6" ht="15.75" customHeight="1">
      <c r="A215" s="216"/>
      <c r="B215" s="216"/>
      <c r="C215" s="216"/>
      <c r="D215" s="216"/>
      <c r="E215" s="197"/>
      <c r="F215" s="197"/>
    </row>
    <row r="216" spans="1:6" ht="15.75" customHeight="1">
      <c r="A216" s="216"/>
      <c r="B216" s="216"/>
      <c r="C216" s="216"/>
      <c r="D216" s="216"/>
      <c r="E216" s="197"/>
      <c r="F216" s="197"/>
    </row>
    <row r="217" spans="1:6" ht="15.75" customHeight="1">
      <c r="A217" s="216"/>
      <c r="B217" s="216"/>
      <c r="C217" s="216"/>
      <c r="D217" s="216"/>
      <c r="E217" s="197"/>
      <c r="F217" s="197"/>
    </row>
    <row r="218" spans="1:6" ht="15.75" customHeight="1">
      <c r="A218" s="216"/>
      <c r="B218" s="216"/>
      <c r="C218" s="216"/>
      <c r="D218" s="216"/>
      <c r="E218" s="197"/>
      <c r="F218" s="197"/>
    </row>
    <row r="219" spans="1:6" ht="15.75" customHeight="1">
      <c r="A219" s="216"/>
      <c r="B219" s="216"/>
      <c r="C219" s="216"/>
      <c r="D219" s="216"/>
      <c r="E219" s="197"/>
      <c r="F219" s="197"/>
    </row>
    <row r="220" spans="1:6" ht="15.75" customHeight="1">
      <c r="A220" s="216"/>
      <c r="B220" s="216"/>
      <c r="C220" s="216"/>
      <c r="D220" s="216"/>
      <c r="E220" s="197"/>
      <c r="F220" s="197"/>
    </row>
    <row r="221" spans="1:6" ht="15.75" customHeight="1">
      <c r="A221" s="216"/>
      <c r="B221" s="216"/>
      <c r="C221" s="216"/>
      <c r="D221" s="216"/>
      <c r="E221" s="197"/>
      <c r="F221" s="197"/>
    </row>
    <row r="222" spans="1:6" ht="15.75" customHeight="1">
      <c r="A222" s="216"/>
      <c r="B222" s="216"/>
      <c r="C222" s="216"/>
      <c r="D222" s="216"/>
      <c r="E222" s="197"/>
      <c r="F222" s="197"/>
    </row>
    <row r="223" spans="1:6" ht="15.75" customHeight="1">
      <c r="A223" s="216"/>
      <c r="B223" s="216"/>
      <c r="C223" s="216"/>
      <c r="D223" s="216"/>
      <c r="E223" s="197"/>
      <c r="F223" s="197"/>
    </row>
    <row r="224" spans="1:6" ht="15.75" customHeight="1">
      <c r="A224" s="216"/>
      <c r="B224" s="216"/>
      <c r="C224" s="216"/>
      <c r="D224" s="216"/>
      <c r="E224" s="197"/>
      <c r="F224" s="197"/>
    </row>
    <row r="225" spans="1:6" ht="15.75" customHeight="1">
      <c r="A225" s="216"/>
      <c r="B225" s="216"/>
      <c r="C225" s="216"/>
      <c r="D225" s="216"/>
      <c r="E225" s="197"/>
      <c r="F225" s="197"/>
    </row>
    <row r="226" spans="1:6" ht="15.75" customHeight="1">
      <c r="A226" s="216"/>
      <c r="B226" s="216"/>
      <c r="C226" s="216"/>
      <c r="D226" s="216"/>
      <c r="E226" s="197"/>
      <c r="F226" s="197"/>
    </row>
    <row r="227" spans="1:6" ht="15.75" customHeight="1">
      <c r="A227" s="216"/>
      <c r="B227" s="216"/>
      <c r="C227" s="216"/>
      <c r="D227" s="216"/>
      <c r="E227" s="197"/>
      <c r="F227" s="197"/>
    </row>
    <row r="228" spans="1:6" ht="15.75" customHeight="1">
      <c r="A228" s="216"/>
      <c r="B228" s="216"/>
      <c r="C228" s="216"/>
      <c r="D228" s="216"/>
      <c r="E228" s="197"/>
      <c r="F228" s="197"/>
    </row>
    <row r="229" spans="1:6" ht="15.75" customHeight="1">
      <c r="A229" s="216"/>
      <c r="B229" s="216"/>
      <c r="C229" s="216"/>
      <c r="D229" s="216"/>
      <c r="E229" s="197"/>
      <c r="F229" s="197"/>
    </row>
    <row r="230" spans="1:6" ht="15.75" customHeight="1">
      <c r="A230" s="216"/>
      <c r="B230" s="216"/>
      <c r="C230" s="216"/>
      <c r="D230" s="216"/>
      <c r="E230" s="197"/>
      <c r="F230" s="197"/>
    </row>
    <row r="231" spans="1:6" ht="15.75" customHeight="1">
      <c r="A231" s="216"/>
      <c r="B231" s="216"/>
      <c r="C231" s="216"/>
      <c r="D231" s="216"/>
      <c r="E231" s="197"/>
      <c r="F231" s="197"/>
    </row>
    <row r="232" spans="1:6" ht="15.75" customHeight="1">
      <c r="A232" s="216"/>
      <c r="B232" s="216"/>
      <c r="C232" s="216"/>
      <c r="D232" s="216"/>
      <c r="E232" s="197"/>
      <c r="F232" s="197"/>
    </row>
    <row r="233" spans="1:6" ht="15.75" customHeight="1">
      <c r="A233" s="216"/>
      <c r="B233" s="216"/>
      <c r="C233" s="216"/>
      <c r="D233" s="216"/>
      <c r="E233" s="197"/>
      <c r="F233" s="197"/>
    </row>
    <row r="234" spans="1:6" ht="15.75" customHeight="1">
      <c r="A234" s="216"/>
      <c r="B234" s="216"/>
      <c r="C234" s="216"/>
      <c r="D234" s="216"/>
      <c r="E234" s="197"/>
      <c r="F234" s="197"/>
    </row>
    <row r="235" spans="1:6" ht="15.75" customHeight="1">
      <c r="A235" s="216"/>
      <c r="B235" s="216"/>
      <c r="C235" s="216"/>
      <c r="D235" s="216"/>
      <c r="E235" s="197"/>
      <c r="F235" s="197"/>
    </row>
    <row r="236" spans="1:6" ht="15.75" customHeight="1">
      <c r="A236" s="216"/>
      <c r="B236" s="216"/>
      <c r="C236" s="216"/>
      <c r="D236" s="216"/>
      <c r="E236" s="197"/>
      <c r="F236" s="197"/>
    </row>
    <row r="237" spans="1:6" ht="15.75" customHeight="1">
      <c r="A237" s="216"/>
      <c r="B237" s="216"/>
      <c r="C237" s="216"/>
      <c r="D237" s="216"/>
      <c r="E237" s="197"/>
      <c r="F237" s="197"/>
    </row>
    <row r="238" spans="1:6" ht="15.75" customHeight="1">
      <c r="A238" s="216"/>
      <c r="B238" s="216"/>
      <c r="C238" s="216"/>
      <c r="D238" s="216"/>
      <c r="E238" s="197"/>
      <c r="F238" s="197"/>
    </row>
    <row r="239" spans="1:6" ht="15.75" customHeight="1">
      <c r="A239" s="216"/>
      <c r="B239" s="216"/>
      <c r="C239" s="216"/>
      <c r="D239" s="216"/>
      <c r="E239" s="197"/>
      <c r="F239" s="197"/>
    </row>
    <row r="240" spans="1:6" ht="15.75" customHeight="1">
      <c r="A240" s="216"/>
      <c r="B240" s="216"/>
      <c r="C240" s="216"/>
      <c r="D240" s="216"/>
      <c r="E240" s="197"/>
      <c r="F240" s="197"/>
    </row>
    <row r="241" spans="1:6" ht="15.75" customHeight="1">
      <c r="A241" s="216"/>
      <c r="B241" s="216"/>
      <c r="C241" s="216"/>
      <c r="D241" s="216"/>
      <c r="E241" s="197"/>
      <c r="F241" s="197"/>
    </row>
    <row r="242" spans="1:6" ht="15.75" customHeight="1">
      <c r="A242" s="216"/>
      <c r="B242" s="216"/>
      <c r="C242" s="216"/>
      <c r="D242" s="216"/>
      <c r="E242" s="197"/>
      <c r="F242" s="197"/>
    </row>
    <row r="243" spans="1:6" ht="15.75" customHeight="1">
      <c r="A243" s="216"/>
      <c r="B243" s="216"/>
      <c r="C243" s="216"/>
      <c r="D243" s="216"/>
      <c r="E243" s="197"/>
      <c r="F243" s="197"/>
    </row>
    <row r="244" spans="1:6" ht="15.75" customHeight="1">
      <c r="A244" s="216"/>
      <c r="B244" s="216"/>
      <c r="C244" s="216"/>
      <c r="D244" s="216"/>
      <c r="E244" s="197"/>
      <c r="F244" s="197"/>
    </row>
    <row r="245" spans="1:6" ht="15.75" customHeight="1">
      <c r="A245" s="216"/>
      <c r="B245" s="216"/>
      <c r="C245" s="216"/>
      <c r="D245" s="216"/>
      <c r="E245" s="197"/>
      <c r="F245" s="197"/>
    </row>
    <row r="246" spans="1:6" ht="15.75" customHeight="1">
      <c r="A246" s="216"/>
      <c r="B246" s="216"/>
      <c r="C246" s="216"/>
      <c r="D246" s="216"/>
      <c r="E246" s="197"/>
      <c r="F246" s="197"/>
    </row>
    <row r="247" spans="1:6" ht="15.75" customHeight="1">
      <c r="A247" s="216"/>
      <c r="B247" s="216"/>
      <c r="C247" s="216"/>
      <c r="D247" s="216"/>
      <c r="E247" s="197"/>
      <c r="F247" s="197"/>
    </row>
    <row r="248" spans="1:6" ht="15.75" customHeight="1">
      <c r="A248" s="216"/>
      <c r="B248" s="216"/>
      <c r="C248" s="216"/>
      <c r="D248" s="216"/>
      <c r="E248" s="197"/>
      <c r="F248" s="197"/>
    </row>
    <row r="249" spans="1:6" ht="15.75" customHeight="1">
      <c r="A249" s="216"/>
      <c r="B249" s="216"/>
      <c r="C249" s="216"/>
      <c r="D249" s="216"/>
      <c r="E249" s="197"/>
      <c r="F249" s="197"/>
    </row>
    <row r="250" spans="1:6" ht="15.75" customHeight="1">
      <c r="A250" s="216"/>
      <c r="B250" s="216"/>
      <c r="C250" s="216"/>
      <c r="D250" s="216"/>
      <c r="E250" s="197"/>
      <c r="F250" s="197"/>
    </row>
    <row r="251" spans="1:6" ht="15.75" customHeight="1">
      <c r="A251" s="216"/>
      <c r="B251" s="216"/>
      <c r="C251" s="216"/>
      <c r="D251" s="216"/>
      <c r="E251" s="197"/>
      <c r="F251" s="197"/>
    </row>
    <row r="252" spans="1:6" ht="15.75" customHeight="1">
      <c r="A252" s="216"/>
      <c r="B252" s="216"/>
      <c r="C252" s="216"/>
      <c r="D252" s="216"/>
      <c r="E252" s="197"/>
      <c r="F252" s="197"/>
    </row>
    <row r="253" spans="1:6" ht="15.75" customHeight="1">
      <c r="A253" s="216"/>
      <c r="B253" s="216"/>
      <c r="C253" s="216"/>
      <c r="D253" s="216"/>
      <c r="E253" s="197"/>
      <c r="F253" s="197"/>
    </row>
    <row r="254" spans="1:6" ht="15.75" customHeight="1">
      <c r="A254" s="216"/>
      <c r="B254" s="216"/>
      <c r="C254" s="216"/>
      <c r="D254" s="216"/>
      <c r="E254" s="197"/>
      <c r="F254" s="197"/>
    </row>
    <row r="255" spans="1:6" ht="15.75" customHeight="1">
      <c r="A255" s="216"/>
      <c r="B255" s="216"/>
      <c r="C255" s="216"/>
      <c r="D255" s="216"/>
      <c r="E255" s="197"/>
      <c r="F255" s="197"/>
    </row>
    <row r="256" spans="1:6" ht="15.75" customHeight="1">
      <c r="A256" s="216"/>
      <c r="B256" s="216"/>
      <c r="C256" s="216"/>
      <c r="D256" s="216"/>
      <c r="E256" s="197"/>
      <c r="F256" s="197"/>
    </row>
    <row r="257" spans="1:6" ht="15.75" customHeight="1">
      <c r="A257" s="216"/>
      <c r="B257" s="216"/>
      <c r="C257" s="216"/>
      <c r="D257" s="216"/>
      <c r="E257" s="197"/>
      <c r="F257" s="197"/>
    </row>
    <row r="258" spans="1:6" ht="15.75" customHeight="1">
      <c r="A258" s="216"/>
      <c r="B258" s="216"/>
      <c r="C258" s="216"/>
      <c r="D258" s="216"/>
      <c r="E258" s="197"/>
      <c r="F258" s="197"/>
    </row>
    <row r="259" spans="1:6" ht="15.75" customHeight="1">
      <c r="A259" s="216"/>
      <c r="B259" s="216"/>
      <c r="C259" s="216"/>
      <c r="D259" s="216"/>
      <c r="E259" s="197"/>
      <c r="F259" s="197"/>
    </row>
    <row r="260" spans="1:6" ht="15.75" customHeight="1">
      <c r="A260" s="216"/>
      <c r="B260" s="216"/>
      <c r="C260" s="216"/>
      <c r="D260" s="216"/>
      <c r="E260" s="197"/>
      <c r="F260" s="197"/>
    </row>
    <row r="261" spans="1:6" ht="15.75" customHeight="1">
      <c r="A261" s="216"/>
      <c r="B261" s="216"/>
      <c r="C261" s="216"/>
      <c r="D261" s="216"/>
      <c r="E261" s="197"/>
      <c r="F261" s="197"/>
    </row>
    <row r="262" spans="1:6" ht="15.75" customHeight="1">
      <c r="A262" s="216"/>
      <c r="B262" s="216"/>
      <c r="C262" s="216"/>
      <c r="D262" s="216"/>
      <c r="E262" s="197"/>
      <c r="F262" s="197"/>
    </row>
    <row r="263" spans="1:6" ht="15.75" customHeight="1">
      <c r="A263" s="216"/>
      <c r="B263" s="216"/>
      <c r="C263" s="216"/>
      <c r="D263" s="216"/>
      <c r="E263" s="197"/>
      <c r="F263" s="197"/>
    </row>
    <row r="264" spans="1:6" ht="15.75" customHeight="1">
      <c r="A264" s="216"/>
      <c r="B264" s="216"/>
      <c r="C264" s="216"/>
      <c r="D264" s="216"/>
      <c r="E264" s="197"/>
      <c r="F264" s="197"/>
    </row>
    <row r="265" spans="1:6" ht="15.75" customHeight="1">
      <c r="A265" s="216"/>
      <c r="B265" s="216"/>
      <c r="C265" s="216"/>
      <c r="D265" s="216"/>
      <c r="E265" s="197"/>
      <c r="F265" s="197"/>
    </row>
    <row r="266" spans="1:6" ht="15.75" customHeight="1">
      <c r="A266" s="216"/>
      <c r="B266" s="216"/>
      <c r="C266" s="216"/>
      <c r="D266" s="216"/>
      <c r="E266" s="197"/>
      <c r="F266" s="197"/>
    </row>
    <row r="267" spans="1:6" ht="15.75" customHeight="1">
      <c r="A267" s="216"/>
      <c r="B267" s="216"/>
      <c r="C267" s="216"/>
      <c r="D267" s="216"/>
      <c r="E267" s="197"/>
      <c r="F267" s="197"/>
    </row>
    <row r="268" spans="1:6" ht="15.75" customHeight="1">
      <c r="A268" s="216"/>
      <c r="B268" s="216"/>
      <c r="C268" s="216"/>
      <c r="D268" s="216"/>
      <c r="E268" s="197"/>
      <c r="F268" s="197"/>
    </row>
    <row r="269" spans="1:6" ht="15.75" customHeight="1">
      <c r="A269" s="216"/>
      <c r="B269" s="216"/>
      <c r="C269" s="216"/>
      <c r="D269" s="216"/>
      <c r="E269" s="197"/>
      <c r="F269" s="197"/>
    </row>
    <row r="270" spans="1:6" ht="15.75" customHeight="1">
      <c r="A270" s="216"/>
      <c r="B270" s="216"/>
      <c r="C270" s="216"/>
      <c r="D270" s="216"/>
      <c r="E270" s="197"/>
      <c r="F270" s="197"/>
    </row>
    <row r="271" spans="1:6" ht="15.75" customHeight="1">
      <c r="A271" s="216"/>
      <c r="B271" s="216"/>
      <c r="C271" s="216"/>
      <c r="D271" s="216"/>
      <c r="E271" s="197"/>
      <c r="F271" s="197"/>
    </row>
    <row r="272" spans="1:6" ht="15.75" customHeight="1">
      <c r="A272" s="216"/>
      <c r="B272" s="216"/>
      <c r="C272" s="216"/>
      <c r="D272" s="216"/>
      <c r="E272" s="197"/>
      <c r="F272" s="197"/>
    </row>
    <row r="273" spans="1:6" ht="15.75" customHeight="1">
      <c r="A273" s="216"/>
      <c r="B273" s="216"/>
      <c r="C273" s="216"/>
      <c r="D273" s="216"/>
      <c r="E273" s="197"/>
      <c r="F273" s="197"/>
    </row>
    <row r="274" spans="1:6" ht="15.75" customHeight="1">
      <c r="A274" s="216"/>
      <c r="B274" s="216"/>
      <c r="C274" s="216"/>
      <c r="D274" s="216"/>
      <c r="E274" s="197"/>
      <c r="F274" s="197"/>
    </row>
    <row r="275" spans="1:6" ht="15.75" customHeight="1">
      <c r="A275" s="216"/>
      <c r="B275" s="216"/>
      <c r="C275" s="216"/>
      <c r="D275" s="216"/>
      <c r="E275" s="197"/>
      <c r="F275" s="197"/>
    </row>
    <row r="276" spans="1:6" ht="15.75" customHeight="1">
      <c r="A276" s="216"/>
      <c r="B276" s="216"/>
      <c r="C276" s="216"/>
      <c r="D276" s="216"/>
      <c r="E276" s="197"/>
      <c r="F276" s="197"/>
    </row>
    <row r="277" spans="1:6" ht="15.75" customHeight="1">
      <c r="A277" s="216"/>
      <c r="B277" s="216"/>
      <c r="C277" s="216"/>
      <c r="D277" s="216"/>
      <c r="E277" s="197"/>
      <c r="F277" s="197"/>
    </row>
    <row r="278" spans="1:6" ht="15.75" customHeight="1">
      <c r="A278" s="216"/>
      <c r="B278" s="216"/>
      <c r="C278" s="216"/>
      <c r="D278" s="216"/>
      <c r="E278" s="197"/>
      <c r="F278" s="197"/>
    </row>
    <row r="279" spans="1:6" ht="15.75" customHeight="1">
      <c r="A279" s="216"/>
      <c r="B279" s="216"/>
      <c r="C279" s="216"/>
      <c r="D279" s="216"/>
      <c r="E279" s="197"/>
      <c r="F279" s="197"/>
    </row>
    <row r="280" spans="1:6" ht="15.75" customHeight="1">
      <c r="A280" s="216"/>
      <c r="B280" s="216"/>
      <c r="C280" s="216"/>
      <c r="D280" s="216"/>
      <c r="E280" s="197"/>
      <c r="F280" s="197"/>
    </row>
    <row r="281" spans="1:6" ht="15.75" customHeight="1">
      <c r="A281" s="216"/>
      <c r="B281" s="216"/>
      <c r="C281" s="216"/>
      <c r="D281" s="216"/>
      <c r="E281" s="197"/>
      <c r="F281" s="197"/>
    </row>
    <row r="282" spans="1:6" ht="15.75" customHeight="1">
      <c r="A282" s="216"/>
      <c r="B282" s="216"/>
      <c r="C282" s="216"/>
      <c r="D282" s="216"/>
      <c r="E282" s="197"/>
      <c r="F282" s="197"/>
    </row>
    <row r="283" spans="1:6" ht="15.75" customHeight="1">
      <c r="A283" s="216"/>
      <c r="B283" s="216"/>
      <c r="C283" s="216"/>
      <c r="D283" s="216"/>
      <c r="E283" s="197"/>
      <c r="F283" s="197"/>
    </row>
    <row r="284" spans="1:6" ht="15.75" customHeight="1">
      <c r="A284" s="216"/>
      <c r="B284" s="216"/>
      <c r="C284" s="216"/>
      <c r="D284" s="216"/>
      <c r="E284" s="197"/>
      <c r="F284" s="197"/>
    </row>
    <row r="285" spans="1:6" ht="15.75" customHeight="1">
      <c r="A285" s="216"/>
      <c r="B285" s="216"/>
      <c r="C285" s="216"/>
      <c r="D285" s="216"/>
      <c r="E285" s="197"/>
      <c r="F285" s="197"/>
    </row>
    <row r="286" spans="1:6" ht="15.75" customHeight="1">
      <c r="A286" s="216"/>
      <c r="B286" s="216"/>
      <c r="C286" s="216"/>
      <c r="D286" s="216"/>
      <c r="E286" s="197"/>
      <c r="F286" s="197"/>
    </row>
    <row r="287" spans="1:6" ht="15.75" customHeight="1">
      <c r="A287" s="216"/>
      <c r="B287" s="216"/>
      <c r="C287" s="216"/>
      <c r="D287" s="216"/>
      <c r="E287" s="197"/>
      <c r="F287" s="197"/>
    </row>
    <row r="288" spans="1:6" ht="15.75" customHeight="1">
      <c r="A288" s="216"/>
      <c r="B288" s="216"/>
      <c r="C288" s="216"/>
      <c r="D288" s="216"/>
      <c r="E288" s="197"/>
      <c r="F288" s="197"/>
    </row>
    <row r="289" spans="1:6" ht="15.75" customHeight="1">
      <c r="A289" s="216"/>
      <c r="B289" s="216"/>
      <c r="C289" s="216"/>
      <c r="D289" s="216"/>
      <c r="E289" s="197"/>
      <c r="F289" s="197"/>
    </row>
    <row r="290" spans="1:6" ht="15.75" customHeight="1">
      <c r="A290" s="216"/>
      <c r="B290" s="216"/>
      <c r="C290" s="216"/>
      <c r="D290" s="216"/>
      <c r="E290" s="197"/>
      <c r="F290" s="197"/>
    </row>
    <row r="291" spans="1:6" ht="15.75" customHeight="1">
      <c r="A291" s="216"/>
      <c r="B291" s="216"/>
      <c r="C291" s="216"/>
      <c r="D291" s="216"/>
      <c r="E291" s="197"/>
      <c r="F291" s="197"/>
    </row>
    <row r="292" spans="1:6" ht="15.75" customHeight="1">
      <c r="A292" s="216"/>
      <c r="B292" s="216"/>
      <c r="C292" s="216"/>
      <c r="D292" s="216"/>
      <c r="E292" s="197"/>
      <c r="F292" s="197"/>
    </row>
    <row r="293" spans="1:6" ht="15.75" customHeight="1">
      <c r="A293" s="216"/>
      <c r="B293" s="216"/>
      <c r="C293" s="216"/>
      <c r="D293" s="216"/>
      <c r="E293" s="197"/>
      <c r="F293" s="197"/>
    </row>
    <row r="294" spans="1:6" ht="15.75" customHeight="1">
      <c r="A294" s="216"/>
      <c r="B294" s="216"/>
      <c r="C294" s="216"/>
      <c r="D294" s="216"/>
      <c r="E294" s="197"/>
      <c r="F294" s="197"/>
    </row>
    <row r="295" spans="1:6" ht="15.75" customHeight="1">
      <c r="A295" s="216"/>
      <c r="B295" s="216"/>
      <c r="C295" s="216"/>
      <c r="D295" s="216"/>
      <c r="E295" s="197"/>
      <c r="F295" s="197"/>
    </row>
    <row r="296" spans="1:6" ht="15.75" customHeight="1">
      <c r="A296" s="216"/>
      <c r="B296" s="216"/>
      <c r="C296" s="216"/>
      <c r="D296" s="216"/>
      <c r="E296" s="197"/>
      <c r="F296" s="197"/>
    </row>
    <row r="297" spans="1:6" ht="15.75" customHeight="1">
      <c r="A297" s="216"/>
      <c r="B297" s="216"/>
      <c r="C297" s="216"/>
      <c r="D297" s="216"/>
      <c r="E297" s="197"/>
      <c r="F297" s="197"/>
    </row>
    <row r="298" spans="1:6" ht="15.75" customHeight="1">
      <c r="A298" s="216"/>
      <c r="B298" s="216"/>
      <c r="C298" s="216"/>
      <c r="D298" s="216"/>
      <c r="E298" s="197"/>
      <c r="F298" s="197"/>
    </row>
    <row r="299" spans="1:6" ht="15.75" customHeight="1">
      <c r="A299" s="216"/>
      <c r="B299" s="216"/>
      <c r="C299" s="216"/>
      <c r="D299" s="216"/>
      <c r="E299" s="197"/>
      <c r="F299" s="197"/>
    </row>
    <row r="300" spans="1:6" ht="15.75" customHeight="1">
      <c r="A300" s="216"/>
      <c r="B300" s="216"/>
      <c r="C300" s="216"/>
      <c r="D300" s="216"/>
      <c r="E300" s="197"/>
      <c r="F300" s="197"/>
    </row>
    <row r="301" spans="1:6" ht="15.75" customHeight="1">
      <c r="A301" s="216"/>
      <c r="B301" s="216"/>
      <c r="C301" s="216"/>
      <c r="D301" s="216"/>
      <c r="E301" s="197"/>
      <c r="F301" s="197"/>
    </row>
    <row r="302" spans="1:6" ht="15.75" customHeight="1">
      <c r="A302" s="216"/>
      <c r="B302" s="216"/>
      <c r="C302" s="216"/>
      <c r="D302" s="216"/>
      <c r="E302" s="197"/>
      <c r="F302" s="197"/>
    </row>
    <row r="303" spans="1:6" ht="15.75" customHeight="1">
      <c r="A303" s="216"/>
      <c r="B303" s="216"/>
      <c r="C303" s="216"/>
      <c r="D303" s="216"/>
      <c r="E303" s="197"/>
      <c r="F303" s="197"/>
    </row>
    <row r="304" spans="1:6" ht="15.75" customHeight="1">
      <c r="A304" s="216"/>
      <c r="B304" s="216"/>
      <c r="C304" s="216"/>
      <c r="D304" s="216"/>
      <c r="E304" s="197"/>
      <c r="F304" s="197"/>
    </row>
    <row r="305" spans="1:6" ht="15.75" customHeight="1">
      <c r="A305" s="216"/>
      <c r="B305" s="216"/>
      <c r="C305" s="216"/>
      <c r="D305" s="216"/>
      <c r="E305" s="197"/>
      <c r="F305" s="197"/>
    </row>
    <row r="306" spans="1:6" ht="15.75" customHeight="1">
      <c r="A306" s="216"/>
      <c r="B306" s="216"/>
      <c r="C306" s="216"/>
      <c r="D306" s="216"/>
      <c r="E306" s="197"/>
      <c r="F306" s="197"/>
    </row>
    <row r="307" spans="1:6" ht="15.75" customHeight="1">
      <c r="A307" s="216"/>
      <c r="B307" s="216"/>
      <c r="C307" s="216"/>
      <c r="D307" s="216"/>
      <c r="E307" s="197"/>
      <c r="F307" s="197"/>
    </row>
    <row r="308" spans="1:6" ht="15.75" customHeight="1">
      <c r="A308" s="216"/>
      <c r="B308" s="216"/>
      <c r="C308" s="216"/>
      <c r="D308" s="216"/>
      <c r="E308" s="197"/>
      <c r="F308" s="197"/>
    </row>
    <row r="309" spans="1:6" ht="15.75" customHeight="1">
      <c r="A309" s="216"/>
      <c r="B309" s="216"/>
      <c r="C309" s="216"/>
      <c r="D309" s="216"/>
      <c r="E309" s="197"/>
      <c r="F309" s="197"/>
    </row>
    <row r="310" spans="1:6" ht="15.75" customHeight="1">
      <c r="A310" s="216"/>
      <c r="B310" s="216"/>
      <c r="C310" s="216"/>
      <c r="D310" s="216"/>
      <c r="E310" s="197"/>
      <c r="F310" s="197"/>
    </row>
    <row r="311" spans="1:6" ht="15.75" customHeight="1">
      <c r="A311" s="216"/>
      <c r="B311" s="216"/>
      <c r="C311" s="216"/>
      <c r="D311" s="216"/>
      <c r="E311" s="197"/>
      <c r="F311" s="197"/>
    </row>
    <row r="312" spans="1:6" ht="15.75" customHeight="1">
      <c r="A312" s="216"/>
      <c r="B312" s="216"/>
      <c r="C312" s="216"/>
      <c r="D312" s="216"/>
      <c r="E312" s="197"/>
      <c r="F312" s="197"/>
    </row>
    <row r="313" spans="1:6" ht="15.75" customHeight="1">
      <c r="A313" s="216"/>
      <c r="B313" s="216"/>
      <c r="C313" s="216"/>
      <c r="D313" s="216"/>
      <c r="E313" s="197"/>
      <c r="F313" s="197"/>
    </row>
    <row r="314" spans="1:6" ht="15.75" customHeight="1">
      <c r="A314" s="216"/>
      <c r="B314" s="216"/>
      <c r="C314" s="216"/>
      <c r="D314" s="216"/>
      <c r="E314" s="197"/>
      <c r="F314" s="197"/>
    </row>
    <row r="315" spans="1:6" ht="15.75" customHeight="1">
      <c r="A315" s="216"/>
      <c r="B315" s="216"/>
      <c r="C315" s="216"/>
      <c r="D315" s="216"/>
      <c r="E315" s="197"/>
      <c r="F315" s="197"/>
    </row>
    <row r="316" spans="1:6" ht="15.75" customHeight="1">
      <c r="A316" s="216"/>
      <c r="B316" s="216"/>
      <c r="C316" s="216"/>
      <c r="D316" s="216"/>
      <c r="E316" s="197"/>
      <c r="F316" s="197"/>
    </row>
    <row r="317" spans="1:6" ht="15.75" customHeight="1">
      <c r="A317" s="216"/>
      <c r="B317" s="216"/>
      <c r="C317" s="216"/>
      <c r="D317" s="216"/>
      <c r="E317" s="197"/>
      <c r="F317" s="197"/>
    </row>
    <row r="318" spans="1:6" ht="15.75" customHeight="1">
      <c r="A318" s="216"/>
      <c r="B318" s="216"/>
      <c r="C318" s="216"/>
      <c r="D318" s="216"/>
      <c r="E318" s="197"/>
      <c r="F318" s="197"/>
    </row>
    <row r="319" spans="1:6" ht="15.75" customHeight="1">
      <c r="A319" s="216"/>
      <c r="B319" s="216"/>
      <c r="C319" s="216"/>
      <c r="D319" s="216"/>
      <c r="E319" s="197"/>
      <c r="F319" s="197"/>
    </row>
    <row r="320" spans="1:6" ht="15.75" customHeight="1">
      <c r="A320" s="216"/>
      <c r="B320" s="216"/>
      <c r="C320" s="216"/>
      <c r="D320" s="216"/>
      <c r="E320" s="197"/>
      <c r="F320" s="197"/>
    </row>
    <row r="321" spans="1:6" ht="15.75" customHeight="1">
      <c r="A321" s="216"/>
      <c r="B321" s="216"/>
      <c r="C321" s="216"/>
      <c r="D321" s="216"/>
      <c r="E321" s="197"/>
      <c r="F321" s="197"/>
    </row>
    <row r="322" spans="1:6" ht="15.75" customHeight="1">
      <c r="A322" s="216"/>
      <c r="B322" s="216"/>
      <c r="C322" s="216"/>
      <c r="D322" s="216"/>
      <c r="E322" s="197"/>
      <c r="F322" s="197"/>
    </row>
    <row r="323" spans="1:6" ht="15.75" customHeight="1">
      <c r="A323" s="216"/>
      <c r="B323" s="216"/>
      <c r="C323" s="216"/>
      <c r="D323" s="216"/>
      <c r="E323" s="197"/>
      <c r="F323" s="197"/>
    </row>
    <row r="324" spans="1:6" ht="15.75" customHeight="1">
      <c r="A324" s="216"/>
      <c r="B324" s="216"/>
      <c r="C324" s="216"/>
      <c r="D324" s="216"/>
      <c r="E324" s="197"/>
      <c r="F324" s="197"/>
    </row>
    <row r="325" spans="1:6" ht="15.75" customHeight="1">
      <c r="A325" s="216"/>
      <c r="B325" s="216"/>
      <c r="C325" s="216"/>
      <c r="D325" s="216"/>
      <c r="E325" s="197"/>
      <c r="F325" s="197"/>
    </row>
    <row r="326" spans="1:6" ht="15.75" customHeight="1">
      <c r="A326" s="216"/>
      <c r="B326" s="216"/>
      <c r="C326" s="216"/>
      <c r="D326" s="216"/>
      <c r="E326" s="197"/>
      <c r="F326" s="197"/>
    </row>
    <row r="327" spans="1:6" ht="15.75" customHeight="1">
      <c r="A327" s="216"/>
      <c r="B327" s="216"/>
      <c r="C327" s="216"/>
      <c r="D327" s="216"/>
      <c r="E327" s="197"/>
      <c r="F327" s="197"/>
    </row>
    <row r="328" spans="1:6" ht="15.75" customHeight="1">
      <c r="A328" s="216"/>
      <c r="B328" s="216"/>
      <c r="C328" s="216"/>
      <c r="D328" s="216"/>
      <c r="E328" s="197"/>
      <c r="F328" s="197"/>
    </row>
    <row r="329" spans="1:6" ht="15.75" customHeight="1">
      <c r="A329" s="216"/>
      <c r="B329" s="216"/>
      <c r="C329" s="216"/>
      <c r="D329" s="216"/>
      <c r="E329" s="197"/>
      <c r="F329" s="197"/>
    </row>
    <row r="330" spans="1:6" ht="15.75" customHeight="1">
      <c r="A330" s="216"/>
      <c r="B330" s="216"/>
      <c r="C330" s="216"/>
      <c r="D330" s="216"/>
      <c r="E330" s="197"/>
      <c r="F330" s="197"/>
    </row>
    <row r="331" spans="1:6" ht="15.75" customHeight="1">
      <c r="A331" s="216"/>
      <c r="B331" s="216"/>
      <c r="C331" s="216"/>
      <c r="D331" s="216"/>
      <c r="E331" s="197"/>
      <c r="F331" s="197"/>
    </row>
    <row r="332" spans="1:6" ht="15.75" customHeight="1">
      <c r="A332" s="216"/>
      <c r="B332" s="216"/>
      <c r="C332" s="216"/>
      <c r="D332" s="216"/>
      <c r="E332" s="197"/>
      <c r="F332" s="197"/>
    </row>
    <row r="333" spans="1:6" ht="15.75" customHeight="1">
      <c r="A333" s="216"/>
      <c r="B333" s="216"/>
      <c r="C333" s="216"/>
      <c r="D333" s="216"/>
      <c r="E333" s="197"/>
      <c r="F333" s="197"/>
    </row>
    <row r="334" spans="1:6" ht="15.75" customHeight="1">
      <c r="A334" s="216"/>
      <c r="B334" s="216"/>
      <c r="C334" s="216"/>
      <c r="D334" s="216"/>
      <c r="E334" s="197"/>
      <c r="F334" s="197"/>
    </row>
    <row r="335" spans="1:6" ht="15.75" customHeight="1">
      <c r="A335" s="216"/>
      <c r="B335" s="216"/>
      <c r="C335" s="216"/>
      <c r="D335" s="216"/>
      <c r="E335" s="197"/>
      <c r="F335" s="197"/>
    </row>
    <row r="336" spans="1:6" ht="15.75" customHeight="1">
      <c r="A336" s="216"/>
      <c r="B336" s="216"/>
      <c r="C336" s="216"/>
      <c r="D336" s="216"/>
      <c r="E336" s="197"/>
      <c r="F336" s="197"/>
    </row>
    <row r="337" spans="1:6" ht="15.75" customHeight="1">
      <c r="A337" s="216"/>
      <c r="B337" s="216"/>
      <c r="C337" s="216"/>
      <c r="D337" s="216"/>
      <c r="E337" s="197"/>
      <c r="F337" s="197"/>
    </row>
    <row r="338" spans="1:6" ht="15.75" customHeight="1">
      <c r="A338" s="216"/>
      <c r="B338" s="216"/>
      <c r="C338" s="216"/>
      <c r="D338" s="216"/>
      <c r="E338" s="197"/>
      <c r="F338" s="197"/>
    </row>
    <row r="339" spans="1:6" ht="15.75" customHeight="1">
      <c r="A339" s="216"/>
      <c r="B339" s="216"/>
      <c r="C339" s="216"/>
      <c r="D339" s="216"/>
      <c r="E339" s="197"/>
      <c r="F339" s="197"/>
    </row>
    <row r="340" spans="1:6" ht="15.75" customHeight="1">
      <c r="A340" s="216"/>
      <c r="B340" s="216"/>
      <c r="C340" s="216"/>
      <c r="D340" s="216"/>
      <c r="E340" s="197"/>
      <c r="F340" s="197"/>
    </row>
    <row r="341" spans="1:6" ht="15.75" customHeight="1">
      <c r="A341" s="216"/>
      <c r="B341" s="216"/>
      <c r="C341" s="216"/>
      <c r="D341" s="216"/>
      <c r="E341" s="197"/>
      <c r="F341" s="197"/>
    </row>
    <row r="342" spans="1:6" ht="15.75" customHeight="1">
      <c r="A342" s="216"/>
      <c r="B342" s="216"/>
      <c r="C342" s="216"/>
      <c r="D342" s="216"/>
      <c r="E342" s="197"/>
      <c r="F342" s="197"/>
    </row>
    <row r="343" spans="1:6" ht="15.75" customHeight="1">
      <c r="A343" s="216"/>
      <c r="B343" s="216"/>
      <c r="C343" s="216"/>
      <c r="D343" s="216"/>
      <c r="E343" s="197"/>
      <c r="F343" s="197"/>
    </row>
    <row r="344" spans="1:6" ht="15.75" customHeight="1">
      <c r="A344" s="216"/>
      <c r="B344" s="216"/>
      <c r="C344" s="216"/>
      <c r="D344" s="216"/>
      <c r="E344" s="197"/>
      <c r="F344" s="197"/>
    </row>
    <row r="345" spans="1:6" ht="15.75" customHeight="1">
      <c r="A345" s="216"/>
      <c r="B345" s="216"/>
      <c r="C345" s="216"/>
      <c r="D345" s="216"/>
      <c r="E345" s="197"/>
      <c r="F345" s="197"/>
    </row>
    <row r="346" spans="1:6" ht="15.75" customHeight="1">
      <c r="A346" s="216"/>
      <c r="B346" s="216"/>
      <c r="C346" s="216"/>
      <c r="D346" s="216"/>
      <c r="E346" s="197"/>
      <c r="F346" s="197"/>
    </row>
    <row r="347" spans="1:6" ht="15.75" customHeight="1">
      <c r="A347" s="216"/>
      <c r="B347" s="216"/>
      <c r="C347" s="216"/>
      <c r="D347" s="216"/>
      <c r="E347" s="197"/>
      <c r="F347" s="197"/>
    </row>
    <row r="348" spans="1:6" ht="15.75" customHeight="1">
      <c r="A348" s="216"/>
      <c r="B348" s="216"/>
      <c r="C348" s="216"/>
      <c r="D348" s="216"/>
      <c r="E348" s="197"/>
      <c r="F348" s="197"/>
    </row>
    <row r="349" spans="1:6" ht="15.75" customHeight="1">
      <c r="A349" s="216"/>
      <c r="B349" s="216"/>
      <c r="C349" s="216"/>
      <c r="D349" s="216"/>
      <c r="E349" s="197"/>
      <c r="F349" s="197"/>
    </row>
    <row r="350" spans="1:6" ht="15.75" customHeight="1">
      <c r="A350" s="216"/>
      <c r="B350" s="216"/>
      <c r="C350" s="216"/>
      <c r="D350" s="216"/>
      <c r="E350" s="197"/>
      <c r="F350" s="197"/>
    </row>
    <row r="351" spans="1:6" ht="15.75" customHeight="1">
      <c r="A351" s="216"/>
      <c r="B351" s="216"/>
      <c r="C351" s="216"/>
      <c r="D351" s="216"/>
      <c r="E351" s="197"/>
      <c r="F351" s="197"/>
    </row>
    <row r="352" spans="1:6" ht="15.75" customHeight="1">
      <c r="A352" s="216"/>
      <c r="B352" s="216"/>
      <c r="C352" s="216"/>
      <c r="D352" s="216"/>
      <c r="E352" s="197"/>
      <c r="F352" s="197"/>
    </row>
    <row r="353" spans="1:6" ht="15.75" customHeight="1">
      <c r="A353" s="216"/>
      <c r="B353" s="216"/>
      <c r="C353" s="216"/>
      <c r="D353" s="216"/>
      <c r="E353" s="197"/>
      <c r="F353" s="197"/>
    </row>
    <row r="354" spans="1:6" ht="15.75" customHeight="1">
      <c r="A354" s="216"/>
      <c r="B354" s="216"/>
      <c r="C354" s="216"/>
      <c r="D354" s="216"/>
      <c r="E354" s="197"/>
      <c r="F354" s="197"/>
    </row>
    <row r="355" spans="1:6" ht="15.75" customHeight="1">
      <c r="A355" s="216"/>
      <c r="B355" s="216"/>
      <c r="C355" s="216"/>
      <c r="D355" s="216"/>
      <c r="E355" s="197"/>
      <c r="F355" s="197"/>
    </row>
    <row r="356" spans="1:6" ht="15.75" customHeight="1">
      <c r="A356" s="216"/>
      <c r="B356" s="216"/>
      <c r="C356" s="216"/>
      <c r="D356" s="216"/>
      <c r="E356" s="197"/>
      <c r="F356" s="197"/>
    </row>
    <row r="357" spans="1:6" ht="15.75" customHeight="1">
      <c r="A357" s="216"/>
      <c r="B357" s="216"/>
      <c r="C357" s="216"/>
      <c r="D357" s="216"/>
      <c r="E357" s="197"/>
      <c r="F357" s="197"/>
    </row>
    <row r="358" spans="1:6" ht="15.75" customHeight="1">
      <c r="A358" s="216"/>
      <c r="B358" s="216"/>
      <c r="C358" s="216"/>
      <c r="D358" s="216"/>
      <c r="E358" s="197"/>
      <c r="F358" s="197"/>
    </row>
    <row r="359" spans="1:6" ht="15.75" customHeight="1">
      <c r="A359" s="216"/>
      <c r="B359" s="216"/>
      <c r="C359" s="216"/>
      <c r="D359" s="216"/>
      <c r="E359" s="197"/>
      <c r="F359" s="197"/>
    </row>
    <row r="360" spans="1:6" ht="15.75" customHeight="1">
      <c r="A360" s="216"/>
      <c r="B360" s="216"/>
      <c r="C360" s="216"/>
      <c r="D360" s="216"/>
      <c r="E360" s="197"/>
      <c r="F360" s="197"/>
    </row>
    <row r="361" spans="1:6" ht="15.75" customHeight="1">
      <c r="A361" s="216"/>
      <c r="B361" s="216"/>
      <c r="C361" s="216"/>
      <c r="D361" s="216"/>
      <c r="E361" s="197"/>
      <c r="F361" s="197"/>
    </row>
    <row r="362" spans="1:6" ht="15.75" customHeight="1">
      <c r="A362" s="216"/>
      <c r="B362" s="216"/>
      <c r="C362" s="216"/>
      <c r="D362" s="216"/>
      <c r="E362" s="197"/>
      <c r="F362" s="197"/>
    </row>
    <row r="363" spans="1:6" ht="15.75" customHeight="1">
      <c r="A363" s="216"/>
      <c r="B363" s="216"/>
      <c r="C363" s="216"/>
      <c r="D363" s="216"/>
      <c r="E363" s="197"/>
      <c r="F363" s="197"/>
    </row>
    <row r="364" spans="1:6" ht="15.75" customHeight="1">
      <c r="A364" s="216"/>
      <c r="B364" s="216"/>
      <c r="C364" s="216"/>
      <c r="D364" s="216"/>
      <c r="E364" s="197"/>
      <c r="F364" s="197"/>
    </row>
    <row r="365" spans="1:6" ht="15.75" customHeight="1">
      <c r="A365" s="216"/>
      <c r="B365" s="216"/>
      <c r="C365" s="216"/>
      <c r="D365" s="216"/>
      <c r="E365" s="197"/>
      <c r="F365" s="197"/>
    </row>
    <row r="366" spans="1:6" ht="15.75" customHeight="1">
      <c r="A366" s="216"/>
      <c r="B366" s="216"/>
      <c r="C366" s="216"/>
      <c r="D366" s="216"/>
      <c r="E366" s="197"/>
      <c r="F366" s="197"/>
    </row>
    <row r="367" spans="1:6" ht="15.75" customHeight="1">
      <c r="A367" s="216"/>
      <c r="B367" s="216"/>
      <c r="C367" s="216"/>
      <c r="D367" s="216"/>
      <c r="E367" s="197"/>
      <c r="F367" s="197"/>
    </row>
    <row r="368" spans="1:6" ht="15.75" customHeight="1">
      <c r="A368" s="216"/>
      <c r="B368" s="216"/>
      <c r="C368" s="216"/>
      <c r="D368" s="216"/>
      <c r="E368" s="197"/>
      <c r="F368" s="197"/>
    </row>
    <row r="369" spans="1:6" ht="15.75" customHeight="1">
      <c r="A369" s="216"/>
      <c r="B369" s="216"/>
      <c r="C369" s="216"/>
      <c r="D369" s="216"/>
      <c r="E369" s="197"/>
      <c r="F369" s="197"/>
    </row>
    <row r="370" spans="1:6" ht="15.75" customHeight="1">
      <c r="A370" s="216"/>
      <c r="B370" s="216"/>
      <c r="C370" s="216"/>
      <c r="D370" s="216"/>
      <c r="E370" s="197"/>
      <c r="F370" s="197"/>
    </row>
    <row r="371" spans="1:6" ht="15.75" customHeight="1">
      <c r="A371" s="216"/>
      <c r="B371" s="216"/>
      <c r="C371" s="216"/>
      <c r="D371" s="216"/>
      <c r="E371" s="197"/>
      <c r="F371" s="197"/>
    </row>
    <row r="372" spans="1:6" ht="15.75" customHeight="1">
      <c r="A372" s="216"/>
      <c r="B372" s="216"/>
      <c r="C372" s="216"/>
      <c r="D372" s="216"/>
      <c r="E372" s="197"/>
      <c r="F372" s="197"/>
    </row>
    <row r="373" spans="1:6" ht="15.75" customHeight="1">
      <c r="A373" s="216"/>
      <c r="B373" s="216"/>
      <c r="C373" s="216"/>
      <c r="D373" s="216"/>
      <c r="E373" s="197"/>
      <c r="F373" s="197"/>
    </row>
    <row r="374" spans="1:6" ht="15.75" customHeight="1">
      <c r="A374" s="216"/>
      <c r="B374" s="216"/>
      <c r="C374" s="216"/>
      <c r="D374" s="216"/>
      <c r="E374" s="197"/>
      <c r="F374" s="197"/>
    </row>
    <row r="375" spans="1:6" ht="15.75" customHeight="1">
      <c r="A375" s="216"/>
      <c r="B375" s="216"/>
      <c r="C375" s="216"/>
      <c r="D375" s="216"/>
      <c r="E375" s="197"/>
      <c r="F375" s="197"/>
    </row>
    <row r="376" spans="1:6" ht="15.75" customHeight="1">
      <c r="A376" s="216"/>
      <c r="B376" s="216"/>
      <c r="C376" s="216"/>
      <c r="D376" s="216"/>
      <c r="E376" s="197"/>
      <c r="F376" s="197"/>
    </row>
    <row r="377" spans="1:6" ht="15.75" customHeight="1">
      <c r="A377" s="216"/>
      <c r="B377" s="216"/>
      <c r="C377" s="216"/>
      <c r="D377" s="216"/>
      <c r="E377" s="197"/>
      <c r="F377" s="197"/>
    </row>
    <row r="378" spans="1:6" ht="15.75" customHeight="1">
      <c r="A378" s="216"/>
      <c r="B378" s="216"/>
      <c r="C378" s="216"/>
      <c r="D378" s="216"/>
      <c r="E378" s="197"/>
      <c r="F378" s="197"/>
    </row>
    <row r="379" spans="1:6" ht="15.75" customHeight="1">
      <c r="A379" s="216"/>
      <c r="B379" s="216"/>
      <c r="C379" s="216"/>
      <c r="D379" s="216"/>
      <c r="E379" s="197"/>
      <c r="F379" s="197"/>
    </row>
    <row r="380" spans="1:6" ht="15.75" customHeight="1">
      <c r="A380" s="216"/>
      <c r="B380" s="216"/>
      <c r="C380" s="216"/>
      <c r="D380" s="216"/>
      <c r="E380" s="197"/>
      <c r="F380" s="197"/>
    </row>
    <row r="381" spans="1:6" ht="15.75" customHeight="1">
      <c r="A381" s="216"/>
      <c r="B381" s="216"/>
      <c r="C381" s="216"/>
      <c r="D381" s="216"/>
      <c r="E381" s="197"/>
      <c r="F381" s="197"/>
    </row>
    <row r="382" spans="1:6" ht="15.75" customHeight="1">
      <c r="A382" s="216"/>
      <c r="B382" s="216"/>
      <c r="C382" s="216"/>
      <c r="D382" s="216"/>
      <c r="E382" s="197"/>
      <c r="F382" s="197"/>
    </row>
    <row r="383" spans="1:6" ht="15.75" customHeight="1">
      <c r="A383" s="216"/>
      <c r="B383" s="216"/>
      <c r="C383" s="216"/>
      <c r="D383" s="216"/>
      <c r="E383" s="197"/>
      <c r="F383" s="197"/>
    </row>
    <row r="384" spans="1:6" ht="15.75" customHeight="1">
      <c r="A384" s="216"/>
      <c r="B384" s="216"/>
      <c r="C384" s="216"/>
      <c r="D384" s="216"/>
      <c r="E384" s="197"/>
      <c r="F384" s="197"/>
    </row>
    <row r="385" spans="1:6" ht="15.75" customHeight="1">
      <c r="A385" s="216"/>
      <c r="B385" s="216"/>
      <c r="C385" s="216"/>
      <c r="D385" s="216"/>
      <c r="E385" s="197"/>
      <c r="F385" s="197"/>
    </row>
    <row r="386" spans="1:6" ht="15.75" customHeight="1">
      <c r="A386" s="216"/>
      <c r="B386" s="216"/>
      <c r="C386" s="216"/>
      <c r="D386" s="216"/>
      <c r="E386" s="197"/>
      <c r="F386" s="197"/>
    </row>
    <row r="387" spans="1:6" ht="15.75" customHeight="1">
      <c r="A387" s="216"/>
      <c r="B387" s="216"/>
      <c r="C387" s="216"/>
      <c r="D387" s="216"/>
      <c r="E387" s="197"/>
      <c r="F387" s="197"/>
    </row>
    <row r="388" spans="1:6" ht="15.75" customHeight="1">
      <c r="A388" s="216"/>
      <c r="B388" s="216"/>
      <c r="C388" s="216"/>
      <c r="D388" s="216"/>
      <c r="E388" s="197"/>
      <c r="F388" s="197"/>
    </row>
    <row r="389" spans="1:6" ht="15.75" customHeight="1">
      <c r="A389" s="216"/>
      <c r="B389" s="216"/>
      <c r="C389" s="216"/>
      <c r="D389" s="216"/>
      <c r="E389" s="197"/>
      <c r="F389" s="197"/>
    </row>
    <row r="390" spans="1:6" ht="15.75" customHeight="1">
      <c r="A390" s="216"/>
      <c r="B390" s="216"/>
      <c r="C390" s="216"/>
      <c r="D390" s="216"/>
      <c r="E390" s="197"/>
      <c r="F390" s="197"/>
    </row>
    <row r="391" spans="1:6" ht="15.75" customHeight="1">
      <c r="A391" s="216"/>
      <c r="B391" s="216"/>
      <c r="C391" s="216"/>
      <c r="D391" s="216"/>
      <c r="E391" s="197"/>
      <c r="F391" s="197"/>
    </row>
    <row r="392" spans="1:6" ht="15.75" customHeight="1">
      <c r="A392" s="216"/>
      <c r="B392" s="216"/>
      <c r="C392" s="216"/>
      <c r="D392" s="216"/>
      <c r="E392" s="197"/>
      <c r="F392" s="197"/>
    </row>
    <row r="393" spans="1:6" ht="15.75" customHeight="1">
      <c r="A393" s="216"/>
      <c r="B393" s="216"/>
      <c r="C393" s="216"/>
      <c r="D393" s="216"/>
      <c r="E393" s="197"/>
      <c r="F393" s="197"/>
    </row>
    <row r="394" spans="1:6" ht="15.75" customHeight="1">
      <c r="A394" s="216"/>
      <c r="B394" s="216"/>
      <c r="C394" s="216"/>
      <c r="D394" s="216"/>
      <c r="E394" s="197"/>
      <c r="F394" s="197"/>
    </row>
    <row r="395" spans="1:6" ht="15.75" customHeight="1">
      <c r="A395" s="216"/>
      <c r="B395" s="216"/>
      <c r="C395" s="216"/>
      <c r="D395" s="216"/>
      <c r="E395" s="197"/>
      <c r="F395" s="197"/>
    </row>
    <row r="396" spans="1:6" ht="15.75" customHeight="1">
      <c r="A396" s="216"/>
      <c r="B396" s="216"/>
      <c r="C396" s="216"/>
      <c r="D396" s="216"/>
      <c r="E396" s="197"/>
      <c r="F396" s="197"/>
    </row>
    <row r="397" spans="1:6" ht="15.75" customHeight="1">
      <c r="A397" s="216"/>
      <c r="B397" s="216"/>
      <c r="C397" s="216"/>
      <c r="D397" s="216"/>
      <c r="E397" s="197"/>
      <c r="F397" s="197"/>
    </row>
    <row r="398" spans="1:6" ht="15.75" customHeight="1">
      <c r="A398" s="216"/>
      <c r="B398" s="216"/>
      <c r="C398" s="216"/>
      <c r="D398" s="216"/>
      <c r="E398" s="197"/>
      <c r="F398" s="197"/>
    </row>
    <row r="399" spans="1:6" ht="15.75" customHeight="1">
      <c r="A399" s="216"/>
      <c r="B399" s="216"/>
      <c r="C399" s="216"/>
      <c r="D399" s="216"/>
      <c r="E399" s="197"/>
      <c r="F399" s="197"/>
    </row>
    <row r="400" spans="1:6" ht="15.75" customHeight="1">
      <c r="A400" s="216"/>
      <c r="B400" s="216"/>
      <c r="C400" s="216"/>
      <c r="D400" s="216"/>
      <c r="E400" s="197"/>
      <c r="F400" s="197"/>
    </row>
    <row r="401" spans="1:6" ht="15.75" customHeight="1">
      <c r="A401" s="216"/>
      <c r="B401" s="216"/>
      <c r="C401" s="216"/>
      <c r="D401" s="216"/>
      <c r="E401" s="197"/>
      <c r="F401" s="197"/>
    </row>
    <row r="402" spans="1:6" ht="15.75" customHeight="1">
      <c r="A402" s="216"/>
      <c r="B402" s="216"/>
      <c r="C402" s="216"/>
      <c r="D402" s="216"/>
      <c r="E402" s="197"/>
      <c r="F402" s="197"/>
    </row>
    <row r="403" spans="1:6" ht="15.75" customHeight="1">
      <c r="A403" s="216"/>
      <c r="B403" s="216"/>
      <c r="C403" s="216"/>
      <c r="D403" s="216"/>
      <c r="E403" s="197"/>
      <c r="F403" s="197"/>
    </row>
    <row r="404" spans="1:6" ht="15.75" customHeight="1">
      <c r="A404" s="216"/>
      <c r="B404" s="216"/>
      <c r="C404" s="216"/>
      <c r="D404" s="216"/>
      <c r="E404" s="197"/>
      <c r="F404" s="197"/>
    </row>
    <row r="405" spans="1:6" ht="15.75" customHeight="1">
      <c r="A405" s="216"/>
      <c r="B405" s="216"/>
      <c r="C405" s="216"/>
      <c r="D405" s="216"/>
      <c r="E405" s="197"/>
      <c r="F405" s="197"/>
    </row>
    <row r="406" spans="1:6" ht="15.75" customHeight="1">
      <c r="A406" s="216"/>
      <c r="B406" s="216"/>
      <c r="C406" s="216"/>
      <c r="D406" s="216"/>
      <c r="E406" s="197"/>
      <c r="F406" s="197"/>
    </row>
    <row r="407" spans="1:6" ht="15.75" customHeight="1">
      <c r="A407" s="216"/>
      <c r="B407" s="216"/>
      <c r="C407" s="216"/>
      <c r="D407" s="216"/>
      <c r="E407" s="197"/>
      <c r="F407" s="197"/>
    </row>
    <row r="408" spans="1:6" ht="15.75" customHeight="1">
      <c r="A408" s="216"/>
      <c r="B408" s="216"/>
      <c r="C408" s="216"/>
      <c r="D408" s="216"/>
      <c r="E408" s="197"/>
      <c r="F408" s="197"/>
    </row>
    <row r="409" spans="1:6" ht="15.75" customHeight="1">
      <c r="A409" s="216"/>
      <c r="B409" s="216"/>
      <c r="C409" s="216"/>
      <c r="D409" s="216"/>
      <c r="E409" s="197"/>
      <c r="F409" s="197"/>
    </row>
    <row r="410" spans="1:6" ht="15.75" customHeight="1">
      <c r="A410" s="216"/>
      <c r="B410" s="216"/>
      <c r="C410" s="216"/>
      <c r="D410" s="216"/>
      <c r="E410" s="197"/>
      <c r="F410" s="197"/>
    </row>
    <row r="411" spans="1:6" ht="15.75" customHeight="1">
      <c r="A411" s="216"/>
      <c r="B411" s="216"/>
      <c r="C411" s="216"/>
      <c r="D411" s="216"/>
      <c r="E411" s="197"/>
      <c r="F411" s="197"/>
    </row>
    <row r="412" spans="1:6" ht="15.75" customHeight="1">
      <c r="A412" s="216"/>
      <c r="B412" s="216"/>
      <c r="C412" s="216"/>
      <c r="D412" s="216"/>
      <c r="E412" s="197"/>
      <c r="F412" s="197"/>
    </row>
    <row r="413" spans="1:6" ht="15.75" customHeight="1">
      <c r="A413" s="216"/>
      <c r="B413" s="216"/>
      <c r="C413" s="216"/>
      <c r="D413" s="216"/>
      <c r="E413" s="197"/>
      <c r="F413" s="197"/>
    </row>
    <row r="414" spans="1:6" ht="15.75" customHeight="1">
      <c r="A414" s="216"/>
      <c r="B414" s="216"/>
      <c r="C414" s="216"/>
      <c r="D414" s="216"/>
      <c r="E414" s="197"/>
      <c r="F414" s="197"/>
    </row>
    <row r="415" spans="1:6" ht="15.75" customHeight="1">
      <c r="A415" s="216"/>
      <c r="B415" s="216"/>
      <c r="C415" s="216"/>
      <c r="D415" s="216"/>
      <c r="E415" s="197"/>
      <c r="F415" s="197"/>
    </row>
    <row r="416" spans="1:6" ht="15.75" customHeight="1">
      <c r="A416" s="216"/>
      <c r="B416" s="216"/>
      <c r="C416" s="216"/>
      <c r="D416" s="216"/>
      <c r="E416" s="197"/>
      <c r="F416" s="197"/>
    </row>
    <row r="417" spans="1:6" ht="15.75" customHeight="1">
      <c r="A417" s="216"/>
      <c r="B417" s="216"/>
      <c r="C417" s="216"/>
      <c r="D417" s="216"/>
      <c r="E417" s="197"/>
      <c r="F417" s="197"/>
    </row>
    <row r="418" spans="1:6" ht="15.75" customHeight="1">
      <c r="A418" s="216"/>
      <c r="B418" s="216"/>
      <c r="C418" s="216"/>
      <c r="D418" s="216"/>
      <c r="E418" s="197"/>
      <c r="F418" s="197"/>
    </row>
    <row r="419" spans="1:6" ht="15.75" customHeight="1">
      <c r="A419" s="216"/>
      <c r="B419" s="216"/>
      <c r="C419" s="216"/>
      <c r="D419" s="216"/>
      <c r="E419" s="197"/>
      <c r="F419" s="197"/>
    </row>
    <row r="420" spans="1:6" ht="15.75" customHeight="1">
      <c r="A420" s="216"/>
      <c r="B420" s="216"/>
      <c r="C420" s="216"/>
      <c r="D420" s="216"/>
      <c r="E420" s="197"/>
      <c r="F420" s="197"/>
    </row>
    <row r="421" spans="1:6" ht="15.75" customHeight="1">
      <c r="A421" s="216"/>
      <c r="B421" s="216"/>
      <c r="C421" s="216"/>
      <c r="D421" s="216"/>
      <c r="E421" s="197"/>
      <c r="F421" s="197"/>
    </row>
    <row r="422" spans="1:6" ht="15.75" customHeight="1">
      <c r="A422" s="216"/>
      <c r="B422" s="216"/>
      <c r="C422" s="216"/>
      <c r="D422" s="216"/>
      <c r="E422" s="197"/>
      <c r="F422" s="197"/>
    </row>
    <row r="423" spans="1:6" ht="15.75" customHeight="1">
      <c r="A423" s="216"/>
      <c r="B423" s="216"/>
      <c r="C423" s="216"/>
      <c r="D423" s="216"/>
      <c r="E423" s="197"/>
      <c r="F423" s="197"/>
    </row>
    <row r="424" spans="1:6" ht="15.75" customHeight="1">
      <c r="A424" s="216"/>
      <c r="B424" s="216"/>
      <c r="C424" s="216"/>
      <c r="D424" s="216"/>
      <c r="E424" s="197"/>
      <c r="F424" s="197"/>
    </row>
    <row r="425" spans="1:6" ht="15.75" customHeight="1">
      <c r="A425" s="216"/>
      <c r="B425" s="216"/>
      <c r="C425" s="216"/>
      <c r="D425" s="216"/>
      <c r="E425" s="197"/>
      <c r="F425" s="197"/>
    </row>
    <row r="426" spans="1:6" ht="15.75" customHeight="1">
      <c r="A426" s="216"/>
      <c r="B426" s="216"/>
      <c r="C426" s="216"/>
      <c r="D426" s="216"/>
      <c r="E426" s="197"/>
      <c r="F426" s="197"/>
    </row>
    <row r="427" spans="1:6" ht="15.75" customHeight="1">
      <c r="A427" s="216"/>
      <c r="B427" s="216"/>
      <c r="C427" s="216"/>
      <c r="D427" s="216"/>
      <c r="E427" s="197"/>
      <c r="F427" s="197"/>
    </row>
    <row r="428" spans="1:6" ht="15.75" customHeight="1">
      <c r="A428" s="216"/>
      <c r="B428" s="216"/>
      <c r="C428" s="216"/>
      <c r="D428" s="216"/>
      <c r="E428" s="197"/>
      <c r="F428" s="197"/>
    </row>
    <row r="429" spans="1:6" ht="15.75" customHeight="1">
      <c r="A429" s="216"/>
      <c r="B429" s="216"/>
      <c r="C429" s="216"/>
      <c r="D429" s="216"/>
      <c r="E429" s="197"/>
      <c r="F429" s="197"/>
    </row>
    <row r="430" spans="1:6" ht="15.75" customHeight="1">
      <c r="A430" s="216"/>
      <c r="B430" s="216"/>
      <c r="C430" s="216"/>
      <c r="D430" s="216"/>
      <c r="E430" s="197"/>
      <c r="F430" s="197"/>
    </row>
    <row r="431" spans="1:6" ht="15.75" customHeight="1">
      <c r="A431" s="216"/>
      <c r="B431" s="216"/>
      <c r="C431" s="216"/>
      <c r="D431" s="216"/>
      <c r="E431" s="197"/>
      <c r="F431" s="197"/>
    </row>
    <row r="432" spans="1:6" ht="15.75" customHeight="1">
      <c r="A432" s="216"/>
      <c r="B432" s="216"/>
      <c r="C432" s="216"/>
      <c r="D432" s="216"/>
      <c r="E432" s="197"/>
      <c r="F432" s="197"/>
    </row>
    <row r="433" spans="1:6" ht="15.75" customHeight="1">
      <c r="A433" s="216"/>
      <c r="B433" s="216"/>
      <c r="C433" s="216"/>
      <c r="D433" s="216"/>
      <c r="E433" s="197"/>
      <c r="F433" s="197"/>
    </row>
    <row r="434" spans="1:6" ht="15.75" customHeight="1">
      <c r="A434" s="216"/>
      <c r="B434" s="216"/>
      <c r="C434" s="216"/>
      <c r="D434" s="216"/>
      <c r="E434" s="197"/>
      <c r="F434" s="197"/>
    </row>
    <row r="435" spans="1:6" ht="15.75" customHeight="1">
      <c r="A435" s="216"/>
      <c r="B435" s="216"/>
      <c r="C435" s="216"/>
      <c r="D435" s="216"/>
      <c r="E435" s="197"/>
      <c r="F435" s="197"/>
    </row>
    <row r="436" spans="1:6" ht="15.75" customHeight="1">
      <c r="A436" s="216"/>
      <c r="B436" s="216"/>
      <c r="C436" s="216"/>
      <c r="D436" s="216"/>
      <c r="E436" s="197"/>
      <c r="F436" s="197"/>
    </row>
    <row r="437" spans="1:6" ht="15.75" customHeight="1">
      <c r="A437" s="216"/>
      <c r="B437" s="216"/>
      <c r="C437" s="216"/>
      <c r="D437" s="216"/>
      <c r="E437" s="197"/>
      <c r="F437" s="197"/>
    </row>
    <row r="438" spans="1:6" ht="15.75" customHeight="1">
      <c r="A438" s="216"/>
      <c r="B438" s="216"/>
      <c r="C438" s="216"/>
      <c r="D438" s="216"/>
      <c r="E438" s="197"/>
      <c r="F438" s="197"/>
    </row>
    <row r="439" spans="1:6" ht="15.75" customHeight="1">
      <c r="A439" s="216"/>
      <c r="B439" s="216"/>
      <c r="C439" s="216"/>
      <c r="D439" s="216"/>
      <c r="E439" s="197"/>
      <c r="F439" s="197"/>
    </row>
    <row r="440" spans="1:6" ht="15.75" customHeight="1">
      <c r="A440" s="216"/>
      <c r="B440" s="216"/>
      <c r="C440" s="216"/>
      <c r="D440" s="216"/>
      <c r="E440" s="197"/>
      <c r="F440" s="197"/>
    </row>
    <row r="441" spans="1:6" ht="15.75" customHeight="1">
      <c r="A441" s="216"/>
      <c r="B441" s="216"/>
      <c r="C441" s="216"/>
      <c r="D441" s="216"/>
      <c r="E441" s="197"/>
      <c r="F441" s="197"/>
    </row>
    <row r="442" spans="1:6" ht="15.75" customHeight="1">
      <c r="A442" s="216"/>
      <c r="B442" s="216"/>
      <c r="C442" s="216"/>
      <c r="D442" s="216"/>
      <c r="E442" s="197"/>
      <c r="F442" s="197"/>
    </row>
    <row r="443" spans="1:6" ht="15.75" customHeight="1">
      <c r="A443" s="216"/>
      <c r="B443" s="216"/>
      <c r="C443" s="216"/>
      <c r="D443" s="216"/>
      <c r="E443" s="197"/>
      <c r="F443" s="197"/>
    </row>
    <row r="444" spans="1:6" ht="15.75" customHeight="1">
      <c r="A444" s="216"/>
      <c r="B444" s="216"/>
      <c r="C444" s="216"/>
      <c r="D444" s="216"/>
      <c r="E444" s="197"/>
      <c r="F444" s="197"/>
    </row>
    <row r="445" spans="1:6" ht="15.75" customHeight="1">
      <c r="A445" s="216"/>
      <c r="B445" s="216"/>
      <c r="C445" s="216"/>
      <c r="D445" s="216"/>
      <c r="E445" s="197"/>
      <c r="F445" s="197"/>
    </row>
    <row r="446" spans="1:6" ht="15.75" customHeight="1">
      <c r="A446" s="216"/>
      <c r="B446" s="216"/>
      <c r="C446" s="216"/>
      <c r="D446" s="216"/>
      <c r="E446" s="197"/>
      <c r="F446" s="197"/>
    </row>
    <row r="447" spans="1:6" ht="15.75" customHeight="1">
      <c r="A447" s="216"/>
      <c r="B447" s="216"/>
      <c r="C447" s="216"/>
      <c r="D447" s="216"/>
      <c r="E447" s="197"/>
      <c r="F447" s="197"/>
    </row>
    <row r="448" spans="1:6" ht="15.75" customHeight="1">
      <c r="A448" s="216"/>
      <c r="B448" s="216"/>
      <c r="C448" s="216"/>
      <c r="D448" s="216"/>
      <c r="E448" s="197"/>
      <c r="F448" s="197"/>
    </row>
    <row r="449" spans="1:6" ht="15.75" customHeight="1">
      <c r="A449" s="216"/>
      <c r="B449" s="216"/>
      <c r="C449" s="216"/>
      <c r="D449" s="216"/>
      <c r="E449" s="197"/>
      <c r="F449" s="197"/>
    </row>
    <row r="450" spans="1:6" ht="15.75" customHeight="1">
      <c r="A450" s="216"/>
      <c r="B450" s="216"/>
      <c r="C450" s="216"/>
      <c r="D450" s="216"/>
      <c r="E450" s="197"/>
      <c r="F450" s="197"/>
    </row>
    <row r="451" spans="1:6" ht="15.75" customHeight="1">
      <c r="A451" s="216"/>
      <c r="B451" s="216"/>
      <c r="C451" s="216"/>
      <c r="D451" s="216"/>
      <c r="E451" s="197"/>
      <c r="F451" s="197"/>
    </row>
    <row r="452" spans="1:6" ht="15.75" customHeight="1">
      <c r="A452" s="216"/>
      <c r="B452" s="216"/>
      <c r="C452" s="216"/>
      <c r="D452" s="216"/>
      <c r="E452" s="197"/>
      <c r="F452" s="197"/>
    </row>
    <row r="453" spans="1:6" ht="15.75" customHeight="1">
      <c r="A453" s="216"/>
      <c r="B453" s="216"/>
      <c r="C453" s="216"/>
      <c r="D453" s="216"/>
      <c r="E453" s="197"/>
      <c r="F453" s="197"/>
    </row>
    <row r="454" spans="1:6" ht="15.75" customHeight="1">
      <c r="A454" s="216"/>
      <c r="B454" s="216"/>
      <c r="C454" s="216"/>
      <c r="D454" s="216"/>
      <c r="E454" s="197"/>
      <c r="F454" s="197"/>
    </row>
    <row r="455" spans="1:6" ht="15.75" customHeight="1">
      <c r="A455" s="216"/>
      <c r="B455" s="216"/>
      <c r="C455" s="216"/>
      <c r="D455" s="216"/>
      <c r="E455" s="197"/>
      <c r="F455" s="197"/>
    </row>
    <row r="456" spans="1:6" ht="15.75" customHeight="1">
      <c r="A456" s="216"/>
      <c r="B456" s="216"/>
      <c r="C456" s="216"/>
      <c r="D456" s="216"/>
      <c r="E456" s="197"/>
      <c r="F456" s="197"/>
    </row>
    <row r="457" spans="1:6" ht="15.75" customHeight="1">
      <c r="A457" s="216"/>
      <c r="B457" s="216"/>
      <c r="C457" s="216"/>
      <c r="D457" s="216"/>
      <c r="E457" s="197"/>
      <c r="F457" s="197"/>
    </row>
    <row r="458" spans="1:6" ht="15.75" customHeight="1">
      <c r="A458" s="216"/>
      <c r="B458" s="216"/>
      <c r="C458" s="216"/>
      <c r="D458" s="216"/>
      <c r="E458" s="197"/>
      <c r="F458" s="197"/>
    </row>
    <row r="459" spans="1:6" ht="15.75" customHeight="1">
      <c r="A459" s="216"/>
      <c r="B459" s="216"/>
      <c r="C459" s="216"/>
      <c r="D459" s="216"/>
      <c r="E459" s="197"/>
      <c r="F459" s="197"/>
    </row>
    <row r="460" spans="1:6" ht="15.75" customHeight="1">
      <c r="A460" s="216"/>
      <c r="B460" s="216"/>
      <c r="C460" s="216"/>
      <c r="D460" s="216"/>
      <c r="E460" s="197"/>
      <c r="F460" s="197"/>
    </row>
    <row r="461" spans="1:6" ht="15.75" customHeight="1">
      <c r="A461" s="216"/>
      <c r="B461" s="216"/>
      <c r="C461" s="216"/>
      <c r="D461" s="216"/>
      <c r="E461" s="197"/>
      <c r="F461" s="197"/>
    </row>
    <row r="462" spans="1:6" ht="15.75" customHeight="1">
      <c r="A462" s="216"/>
      <c r="B462" s="216"/>
      <c r="C462" s="216"/>
      <c r="D462" s="216"/>
      <c r="E462" s="197"/>
      <c r="F462" s="197"/>
    </row>
    <row r="463" spans="1:6" ht="15.75" customHeight="1">
      <c r="A463" s="216"/>
      <c r="B463" s="216"/>
      <c r="C463" s="216"/>
      <c r="D463" s="216"/>
      <c r="E463" s="197"/>
      <c r="F463" s="197"/>
    </row>
    <row r="464" spans="1:6" ht="15.75" customHeight="1">
      <c r="A464" s="216"/>
      <c r="B464" s="216"/>
      <c r="C464" s="216"/>
      <c r="D464" s="216"/>
      <c r="E464" s="197"/>
      <c r="F464" s="197"/>
    </row>
    <row r="465" spans="1:6" ht="15.75" customHeight="1">
      <c r="A465" s="216"/>
      <c r="B465" s="216"/>
      <c r="C465" s="216"/>
      <c r="D465" s="216"/>
      <c r="E465" s="197"/>
      <c r="F465" s="197"/>
    </row>
    <row r="466" spans="1:6" ht="15.75" customHeight="1">
      <c r="A466" s="216"/>
      <c r="B466" s="216"/>
      <c r="C466" s="216"/>
      <c r="D466" s="216"/>
      <c r="E466" s="197"/>
      <c r="F466" s="197"/>
    </row>
    <row r="467" spans="1:6" ht="15.75" customHeight="1">
      <c r="A467" s="216"/>
      <c r="B467" s="216"/>
      <c r="C467" s="216"/>
      <c r="D467" s="216"/>
      <c r="E467" s="197"/>
      <c r="F467" s="197"/>
    </row>
    <row r="468" spans="1:6" ht="15.75" customHeight="1">
      <c r="A468" s="216"/>
      <c r="B468" s="216"/>
      <c r="C468" s="216"/>
      <c r="D468" s="216"/>
      <c r="E468" s="197"/>
      <c r="F468" s="197"/>
    </row>
    <row r="469" spans="1:6" ht="15.75" customHeight="1">
      <c r="A469" s="216"/>
      <c r="B469" s="216"/>
      <c r="C469" s="216"/>
      <c r="D469" s="216"/>
      <c r="E469" s="197"/>
      <c r="F469" s="197"/>
    </row>
    <row r="470" spans="1:6" ht="15.75" customHeight="1">
      <c r="A470" s="216"/>
      <c r="B470" s="216"/>
      <c r="C470" s="216"/>
      <c r="D470" s="216"/>
      <c r="E470" s="197"/>
      <c r="F470" s="197"/>
    </row>
    <row r="471" spans="1:6" ht="15.75" customHeight="1">
      <c r="A471" s="216"/>
      <c r="B471" s="216"/>
      <c r="C471" s="216"/>
      <c r="D471" s="216"/>
      <c r="E471" s="197"/>
      <c r="F471" s="197"/>
    </row>
    <row r="472" spans="1:6" ht="15.75" customHeight="1">
      <c r="A472" s="216"/>
      <c r="B472" s="216"/>
      <c r="C472" s="216"/>
      <c r="D472" s="216"/>
      <c r="E472" s="197"/>
      <c r="F472" s="197"/>
    </row>
    <row r="473" spans="1:6" ht="15.75" customHeight="1">
      <c r="A473" s="216"/>
      <c r="B473" s="216"/>
      <c r="C473" s="216"/>
      <c r="D473" s="216"/>
      <c r="E473" s="197"/>
      <c r="F473" s="197"/>
    </row>
    <row r="474" spans="1:6" ht="15.75" customHeight="1">
      <c r="A474" s="216"/>
      <c r="B474" s="216"/>
      <c r="C474" s="216"/>
      <c r="D474" s="216"/>
      <c r="E474" s="197"/>
      <c r="F474" s="197"/>
    </row>
    <row r="475" spans="1:6" ht="15.75" customHeight="1">
      <c r="A475" s="216"/>
      <c r="B475" s="216"/>
      <c r="C475" s="216"/>
      <c r="D475" s="216"/>
      <c r="E475" s="197"/>
      <c r="F475" s="197"/>
    </row>
    <row r="476" spans="1:6" ht="15.75" customHeight="1">
      <c r="A476" s="216"/>
      <c r="B476" s="216"/>
      <c r="C476" s="216"/>
      <c r="D476" s="216"/>
      <c r="E476" s="197"/>
      <c r="F476" s="197"/>
    </row>
    <row r="477" spans="1:6" ht="15.75" customHeight="1">
      <c r="A477" s="216"/>
      <c r="B477" s="216"/>
      <c r="C477" s="216"/>
      <c r="D477" s="216"/>
      <c r="E477" s="197"/>
      <c r="F477" s="197"/>
    </row>
    <row r="478" spans="1:6" ht="15.75" customHeight="1">
      <c r="A478" s="216"/>
      <c r="B478" s="216"/>
      <c r="C478" s="216"/>
      <c r="D478" s="216"/>
      <c r="E478" s="197"/>
      <c r="F478" s="197"/>
    </row>
    <row r="479" spans="1:6" ht="15.75" customHeight="1">
      <c r="A479" s="216"/>
      <c r="B479" s="216"/>
      <c r="C479" s="216"/>
      <c r="D479" s="216"/>
      <c r="E479" s="197"/>
      <c r="F479" s="197"/>
    </row>
    <row r="480" spans="1:6" ht="15.75" customHeight="1">
      <c r="A480" s="216"/>
      <c r="B480" s="216"/>
      <c r="C480" s="216"/>
      <c r="D480" s="216"/>
      <c r="E480" s="197"/>
      <c r="F480" s="197"/>
    </row>
    <row r="481" spans="1:6" ht="15.75" customHeight="1">
      <c r="A481" s="216"/>
      <c r="B481" s="216"/>
      <c r="C481" s="216"/>
      <c r="D481" s="216"/>
      <c r="E481" s="197"/>
      <c r="F481" s="197"/>
    </row>
    <row r="482" spans="1:6" ht="15.75" customHeight="1">
      <c r="A482" s="216"/>
      <c r="B482" s="216"/>
      <c r="C482" s="216"/>
      <c r="D482" s="216"/>
      <c r="E482" s="197"/>
      <c r="F482" s="197"/>
    </row>
    <row r="483" spans="1:6" ht="15.75" customHeight="1">
      <c r="A483" s="216"/>
      <c r="B483" s="216"/>
      <c r="C483" s="216"/>
      <c r="D483" s="216"/>
      <c r="E483" s="197"/>
      <c r="F483" s="197"/>
    </row>
    <row r="484" spans="1:6" ht="15.75" customHeight="1">
      <c r="A484" s="216"/>
      <c r="B484" s="216"/>
      <c r="C484" s="216"/>
      <c r="D484" s="216"/>
      <c r="E484" s="197"/>
      <c r="F484" s="197"/>
    </row>
    <row r="485" spans="1:6" ht="15.75" customHeight="1">
      <c r="A485" s="216"/>
      <c r="B485" s="216"/>
      <c r="C485" s="216"/>
      <c r="D485" s="216"/>
      <c r="E485" s="197"/>
      <c r="F485" s="197"/>
    </row>
    <row r="486" spans="1:6" ht="15.75" customHeight="1">
      <c r="A486" s="216"/>
      <c r="B486" s="216"/>
      <c r="C486" s="216"/>
      <c r="D486" s="216"/>
      <c r="E486" s="197"/>
      <c r="F486" s="197"/>
    </row>
    <row r="487" spans="1:6" ht="15.75" customHeight="1">
      <c r="A487" s="216"/>
      <c r="B487" s="216"/>
      <c r="C487" s="216"/>
      <c r="D487" s="216"/>
      <c r="E487" s="197"/>
      <c r="F487" s="197"/>
    </row>
    <row r="488" spans="1:6" ht="15.75" customHeight="1">
      <c r="A488" s="216"/>
      <c r="B488" s="216"/>
      <c r="C488" s="216"/>
      <c r="D488" s="216"/>
      <c r="E488" s="197"/>
      <c r="F488" s="197"/>
    </row>
    <row r="489" spans="1:6" ht="15.75" customHeight="1">
      <c r="A489" s="216"/>
      <c r="B489" s="216"/>
      <c r="C489" s="216"/>
      <c r="D489" s="216"/>
      <c r="E489" s="197"/>
      <c r="F489" s="197"/>
    </row>
    <row r="490" spans="1:6" ht="15.75" customHeight="1">
      <c r="A490" s="216"/>
      <c r="B490" s="216"/>
      <c r="C490" s="216"/>
      <c r="D490" s="216"/>
      <c r="E490" s="197"/>
      <c r="F490" s="197"/>
    </row>
    <row r="491" spans="1:6" ht="15.75" customHeight="1">
      <c r="A491" s="216"/>
      <c r="B491" s="216"/>
      <c r="C491" s="216"/>
      <c r="D491" s="216"/>
      <c r="E491" s="197"/>
      <c r="F491" s="197"/>
    </row>
    <row r="492" spans="1:6" ht="15.75" customHeight="1">
      <c r="A492" s="216"/>
      <c r="B492" s="216"/>
      <c r="C492" s="216"/>
      <c r="D492" s="216"/>
      <c r="E492" s="197"/>
      <c r="F492" s="197"/>
    </row>
    <row r="493" spans="1:6" ht="15.75" customHeight="1">
      <c r="A493" s="216"/>
      <c r="B493" s="216"/>
      <c r="C493" s="216"/>
      <c r="D493" s="216"/>
      <c r="E493" s="197"/>
      <c r="F493" s="197"/>
    </row>
    <row r="494" spans="1:6" ht="15.75" customHeight="1">
      <c r="A494" s="216"/>
      <c r="B494" s="216"/>
      <c r="C494" s="216"/>
      <c r="D494" s="216"/>
      <c r="E494" s="197"/>
      <c r="F494" s="197"/>
    </row>
    <row r="495" spans="1:6" ht="15.75" customHeight="1">
      <c r="A495" s="216"/>
      <c r="B495" s="216"/>
      <c r="C495" s="216"/>
      <c r="D495" s="216"/>
      <c r="E495" s="197"/>
      <c r="F495" s="197"/>
    </row>
    <row r="496" spans="1:6" ht="15.75" customHeight="1">
      <c r="A496" s="216"/>
      <c r="B496" s="216"/>
      <c r="C496" s="216"/>
      <c r="D496" s="216"/>
      <c r="E496" s="197"/>
      <c r="F496" s="197"/>
    </row>
    <row r="497" spans="1:6" ht="15.75" customHeight="1">
      <c r="A497" s="216"/>
      <c r="B497" s="216"/>
      <c r="C497" s="216"/>
      <c r="D497" s="216"/>
      <c r="E497" s="197"/>
      <c r="F497" s="197"/>
    </row>
    <row r="498" spans="1:6" ht="15.75" customHeight="1">
      <c r="A498" s="216"/>
      <c r="B498" s="216"/>
      <c r="C498" s="216"/>
      <c r="D498" s="216"/>
      <c r="E498" s="197"/>
      <c r="F498" s="197"/>
    </row>
    <row r="499" spans="1:6" ht="15.75" customHeight="1">
      <c r="A499" s="216"/>
      <c r="B499" s="216"/>
      <c r="C499" s="216"/>
      <c r="D499" s="216"/>
      <c r="E499" s="197"/>
      <c r="F499" s="197"/>
    </row>
    <row r="500" spans="1:6" ht="15.75" customHeight="1">
      <c r="A500" s="216"/>
      <c r="B500" s="216"/>
      <c r="C500" s="216"/>
      <c r="D500" s="216"/>
      <c r="E500" s="197"/>
      <c r="F500" s="197"/>
    </row>
    <row r="501" spans="1:6" ht="15.75" customHeight="1">
      <c r="A501" s="216"/>
      <c r="B501" s="216"/>
      <c r="C501" s="216"/>
      <c r="D501" s="216"/>
      <c r="E501" s="197"/>
      <c r="F501" s="197"/>
    </row>
    <row r="502" spans="1:6" ht="15.75" customHeight="1">
      <c r="A502" s="216"/>
      <c r="B502" s="216"/>
      <c r="C502" s="216"/>
      <c r="D502" s="216"/>
      <c r="E502" s="197"/>
      <c r="F502" s="197"/>
    </row>
    <row r="503" spans="1:6" ht="15.75" customHeight="1">
      <c r="A503" s="216"/>
      <c r="B503" s="216"/>
      <c r="C503" s="216"/>
      <c r="D503" s="216"/>
      <c r="E503" s="197"/>
      <c r="F503" s="197"/>
    </row>
    <row r="504" spans="1:6" ht="15.75" customHeight="1">
      <c r="A504" s="216"/>
      <c r="B504" s="216"/>
      <c r="C504" s="216"/>
      <c r="D504" s="216"/>
      <c r="E504" s="197"/>
      <c r="F504" s="197"/>
    </row>
    <row r="505" spans="1:6" ht="15.75" customHeight="1">
      <c r="A505" s="216"/>
      <c r="B505" s="216"/>
      <c r="C505" s="216"/>
      <c r="D505" s="216"/>
      <c r="E505" s="197"/>
      <c r="F505" s="197"/>
    </row>
    <row r="506" spans="1:6" ht="15.75" customHeight="1">
      <c r="A506" s="216"/>
      <c r="B506" s="216"/>
      <c r="C506" s="216"/>
      <c r="D506" s="216"/>
      <c r="E506" s="197"/>
      <c r="F506" s="197"/>
    </row>
    <row r="507" spans="1:6" ht="15.75" customHeight="1">
      <c r="A507" s="216"/>
      <c r="B507" s="216"/>
      <c r="C507" s="216"/>
      <c r="D507" s="216"/>
      <c r="E507" s="197"/>
      <c r="F507" s="197"/>
    </row>
    <row r="508" spans="1:6" ht="15.75" customHeight="1">
      <c r="A508" s="216"/>
      <c r="B508" s="216"/>
      <c r="C508" s="216"/>
      <c r="D508" s="216"/>
      <c r="E508" s="197"/>
      <c r="F508" s="197"/>
    </row>
    <row r="509" spans="1:6" ht="15.75" customHeight="1">
      <c r="A509" s="216"/>
      <c r="B509" s="216"/>
      <c r="C509" s="216"/>
      <c r="D509" s="216"/>
      <c r="E509" s="197"/>
      <c r="F509" s="197"/>
    </row>
    <row r="510" spans="1:6" ht="15.75" customHeight="1">
      <c r="A510" s="216"/>
      <c r="B510" s="216"/>
      <c r="C510" s="216"/>
      <c r="D510" s="216"/>
      <c r="E510" s="197"/>
      <c r="F510" s="197"/>
    </row>
    <row r="511" spans="1:6" ht="15.75" customHeight="1">
      <c r="A511" s="216"/>
      <c r="B511" s="216"/>
      <c r="C511" s="216"/>
      <c r="D511" s="216"/>
      <c r="E511" s="197"/>
      <c r="F511" s="197"/>
    </row>
    <row r="512" spans="1:6" ht="15.75" customHeight="1">
      <c r="A512" s="216"/>
      <c r="B512" s="216"/>
      <c r="C512" s="216"/>
      <c r="D512" s="216"/>
      <c r="E512" s="197"/>
      <c r="F512" s="197"/>
    </row>
    <row r="513" spans="1:6" ht="15.75" customHeight="1">
      <c r="A513" s="216"/>
      <c r="B513" s="216"/>
      <c r="C513" s="216"/>
      <c r="D513" s="216"/>
      <c r="E513" s="197"/>
      <c r="F513" s="197"/>
    </row>
    <row r="514" spans="1:6" ht="15.75" customHeight="1">
      <c r="A514" s="216"/>
      <c r="B514" s="216"/>
      <c r="C514" s="216"/>
      <c r="D514" s="216"/>
      <c r="E514" s="197"/>
      <c r="F514" s="197"/>
    </row>
    <row r="515" spans="1:6" ht="15.75" customHeight="1">
      <c r="A515" s="216"/>
      <c r="B515" s="216"/>
      <c r="C515" s="216"/>
      <c r="D515" s="216"/>
      <c r="E515" s="197"/>
      <c r="F515" s="197"/>
    </row>
    <row r="516" spans="1:6" ht="15.75" customHeight="1">
      <c r="A516" s="216"/>
      <c r="B516" s="216"/>
      <c r="C516" s="216"/>
      <c r="D516" s="216"/>
      <c r="E516" s="197"/>
      <c r="F516" s="197"/>
    </row>
    <row r="517" spans="1:6" ht="15.75" customHeight="1">
      <c r="A517" s="216"/>
      <c r="B517" s="216"/>
      <c r="C517" s="216"/>
      <c r="D517" s="216"/>
      <c r="E517" s="197"/>
      <c r="F517" s="197"/>
    </row>
    <row r="518" spans="1:6" ht="15.75" customHeight="1">
      <c r="A518" s="216"/>
      <c r="B518" s="216"/>
      <c r="C518" s="216"/>
      <c r="D518" s="216"/>
      <c r="E518" s="197"/>
      <c r="F518" s="197"/>
    </row>
    <row r="519" spans="1:6" ht="15.75" customHeight="1">
      <c r="A519" s="216"/>
      <c r="B519" s="216"/>
      <c r="C519" s="216"/>
      <c r="D519" s="216"/>
      <c r="E519" s="197"/>
      <c r="F519" s="197"/>
    </row>
    <row r="520" spans="1:6" ht="15.75" customHeight="1">
      <c r="A520" s="216"/>
      <c r="B520" s="216"/>
      <c r="C520" s="216"/>
      <c r="D520" s="216"/>
      <c r="E520" s="197"/>
      <c r="F520" s="197"/>
    </row>
    <row r="521" spans="1:6" ht="15.75" customHeight="1">
      <c r="A521" s="216"/>
      <c r="B521" s="216"/>
      <c r="C521" s="216"/>
      <c r="D521" s="216"/>
      <c r="E521" s="197"/>
      <c r="F521" s="197"/>
    </row>
    <row r="522" spans="1:6" ht="15.75" customHeight="1">
      <c r="A522" s="216"/>
      <c r="B522" s="216"/>
      <c r="C522" s="216"/>
      <c r="D522" s="216"/>
      <c r="E522" s="197"/>
      <c r="F522" s="197"/>
    </row>
    <row r="523" spans="1:6" ht="15.75" customHeight="1">
      <c r="A523" s="216"/>
      <c r="B523" s="216"/>
      <c r="C523" s="216"/>
      <c r="D523" s="216"/>
      <c r="E523" s="197"/>
      <c r="F523" s="197"/>
    </row>
    <row r="524" spans="1:6" ht="15.75" customHeight="1">
      <c r="A524" s="216"/>
      <c r="B524" s="216"/>
      <c r="C524" s="216"/>
      <c r="D524" s="216"/>
      <c r="E524" s="197"/>
      <c r="F524" s="197"/>
    </row>
    <row r="525" spans="1:6" ht="15.75" customHeight="1">
      <c r="A525" s="216"/>
      <c r="B525" s="216"/>
      <c r="C525" s="216"/>
      <c r="D525" s="216"/>
      <c r="E525" s="197"/>
      <c r="F525" s="197"/>
    </row>
    <row r="526" spans="1:6" ht="15.75" customHeight="1">
      <c r="A526" s="216"/>
      <c r="B526" s="216"/>
      <c r="C526" s="216"/>
      <c r="D526" s="216"/>
      <c r="E526" s="197"/>
      <c r="F526" s="197"/>
    </row>
    <row r="527" spans="1:6" ht="15.75" customHeight="1">
      <c r="A527" s="216"/>
      <c r="B527" s="216"/>
      <c r="C527" s="216"/>
      <c r="D527" s="216"/>
      <c r="E527" s="197"/>
      <c r="F527" s="197"/>
    </row>
    <row r="528" spans="1:6" ht="15.75" customHeight="1">
      <c r="A528" s="216"/>
      <c r="B528" s="216"/>
      <c r="C528" s="216"/>
      <c r="D528" s="216"/>
      <c r="E528" s="197"/>
      <c r="F528" s="197"/>
    </row>
    <row r="529" spans="1:6" ht="15.75" customHeight="1">
      <c r="A529" s="216"/>
      <c r="B529" s="216"/>
      <c r="C529" s="216"/>
      <c r="D529" s="216"/>
      <c r="E529" s="197"/>
      <c r="F529" s="197"/>
    </row>
    <row r="530" spans="1:6" ht="15.75" customHeight="1">
      <c r="A530" s="216"/>
      <c r="B530" s="216"/>
      <c r="C530" s="216"/>
      <c r="D530" s="216"/>
      <c r="E530" s="197"/>
      <c r="F530" s="197"/>
    </row>
    <row r="531" spans="1:6" ht="15.75" customHeight="1">
      <c r="A531" s="216"/>
      <c r="B531" s="216"/>
      <c r="C531" s="216"/>
      <c r="D531" s="216"/>
      <c r="E531" s="197"/>
      <c r="F531" s="197"/>
    </row>
    <row r="532" spans="1:6" ht="15.75" customHeight="1">
      <c r="A532" s="216"/>
      <c r="B532" s="216"/>
      <c r="C532" s="216"/>
      <c r="D532" s="216"/>
      <c r="E532" s="197"/>
      <c r="F532" s="197"/>
    </row>
    <row r="533" spans="1:6" ht="15.75" customHeight="1">
      <c r="A533" s="216"/>
      <c r="B533" s="216"/>
      <c r="C533" s="216"/>
      <c r="D533" s="216"/>
      <c r="E533" s="197"/>
      <c r="F533" s="197"/>
    </row>
    <row r="534" spans="1:6" ht="15.75" customHeight="1">
      <c r="A534" s="216"/>
      <c r="B534" s="216"/>
      <c r="C534" s="216"/>
      <c r="D534" s="216"/>
      <c r="E534" s="197"/>
      <c r="F534" s="197"/>
    </row>
    <row r="535" spans="1:6" ht="15.75" customHeight="1">
      <c r="A535" s="216"/>
      <c r="B535" s="216"/>
      <c r="C535" s="216"/>
      <c r="D535" s="216"/>
      <c r="E535" s="197"/>
      <c r="F535" s="197"/>
    </row>
    <row r="536" spans="1:6" ht="15.75" customHeight="1">
      <c r="A536" s="216"/>
      <c r="B536" s="216"/>
      <c r="C536" s="216"/>
      <c r="D536" s="216"/>
      <c r="E536" s="197"/>
      <c r="F536" s="197"/>
    </row>
    <row r="537" spans="1:6" ht="15.75" customHeight="1">
      <c r="A537" s="216"/>
      <c r="B537" s="216"/>
      <c r="C537" s="216"/>
      <c r="D537" s="216"/>
      <c r="E537" s="197"/>
      <c r="F537" s="197"/>
    </row>
    <row r="538" spans="1:6" ht="15.75" customHeight="1">
      <c r="A538" s="216"/>
      <c r="B538" s="216"/>
      <c r="C538" s="216"/>
      <c r="D538" s="216"/>
      <c r="E538" s="197"/>
      <c r="F538" s="197"/>
    </row>
    <row r="539" spans="1:6" ht="15.75" customHeight="1">
      <c r="A539" s="216"/>
      <c r="B539" s="216"/>
      <c r="C539" s="216"/>
      <c r="D539" s="216"/>
      <c r="E539" s="197"/>
      <c r="F539" s="197"/>
    </row>
    <row r="540" spans="1:6" ht="15.75" customHeight="1">
      <c r="A540" s="216"/>
      <c r="B540" s="216"/>
      <c r="C540" s="216"/>
      <c r="D540" s="216"/>
      <c r="E540" s="197"/>
      <c r="F540" s="197"/>
    </row>
    <row r="541" spans="1:6" ht="15.75" customHeight="1">
      <c r="A541" s="216"/>
      <c r="B541" s="216"/>
      <c r="C541" s="216"/>
      <c r="D541" s="216"/>
      <c r="E541" s="197"/>
      <c r="F541" s="197"/>
    </row>
    <row r="542" spans="1:6" ht="15.75" customHeight="1">
      <c r="A542" s="216"/>
      <c r="B542" s="216"/>
      <c r="C542" s="216"/>
      <c r="D542" s="216"/>
      <c r="E542" s="197"/>
      <c r="F542" s="197"/>
    </row>
    <row r="543" spans="1:6" ht="15.75" customHeight="1">
      <c r="A543" s="216"/>
      <c r="B543" s="216"/>
      <c r="C543" s="216"/>
      <c r="D543" s="216"/>
      <c r="E543" s="197"/>
      <c r="F543" s="197"/>
    </row>
    <row r="544" spans="1:6" ht="15.75" customHeight="1">
      <c r="A544" s="216"/>
      <c r="B544" s="216"/>
      <c r="C544" s="216"/>
      <c r="D544" s="216"/>
      <c r="E544" s="197"/>
      <c r="F544" s="197"/>
    </row>
    <row r="545" spans="1:6" ht="15.75" customHeight="1">
      <c r="A545" s="216"/>
      <c r="B545" s="216"/>
      <c r="C545" s="216"/>
      <c r="D545" s="216"/>
      <c r="E545" s="197"/>
      <c r="F545" s="197"/>
    </row>
    <row r="546" spans="1:6" ht="15.75" customHeight="1">
      <c r="A546" s="216"/>
      <c r="B546" s="216"/>
      <c r="C546" s="216"/>
      <c r="D546" s="216"/>
      <c r="E546" s="197"/>
      <c r="F546" s="197"/>
    </row>
    <row r="547" spans="1:6" ht="15.75" customHeight="1">
      <c r="A547" s="216"/>
      <c r="B547" s="216"/>
      <c r="C547" s="216"/>
      <c r="D547" s="216"/>
      <c r="E547" s="197"/>
      <c r="F547" s="197"/>
    </row>
    <row r="548" spans="1:6" ht="15.75" customHeight="1">
      <c r="A548" s="216"/>
      <c r="B548" s="216"/>
      <c r="C548" s="216"/>
      <c r="D548" s="216"/>
      <c r="E548" s="197"/>
      <c r="F548" s="197"/>
    </row>
    <row r="549" spans="1:6" ht="15.75" customHeight="1">
      <c r="A549" s="216"/>
      <c r="B549" s="216"/>
      <c r="C549" s="216"/>
      <c r="D549" s="216"/>
      <c r="E549" s="197"/>
      <c r="F549" s="197"/>
    </row>
    <row r="550" spans="1:6" ht="15.75" customHeight="1">
      <c r="A550" s="216"/>
      <c r="B550" s="216"/>
      <c r="C550" s="216"/>
      <c r="D550" s="216"/>
      <c r="E550" s="197"/>
      <c r="F550" s="197"/>
    </row>
    <row r="551" spans="1:6" ht="15.75" customHeight="1">
      <c r="A551" s="216"/>
      <c r="B551" s="216"/>
      <c r="C551" s="216"/>
      <c r="D551" s="216"/>
      <c r="E551" s="197"/>
      <c r="F551" s="197"/>
    </row>
    <row r="552" spans="1:6" ht="15.75" customHeight="1">
      <c r="A552" s="216"/>
      <c r="B552" s="216"/>
      <c r="C552" s="216"/>
      <c r="D552" s="216"/>
      <c r="E552" s="197"/>
      <c r="F552" s="197"/>
    </row>
    <row r="553" spans="1:6" ht="15.75" customHeight="1">
      <c r="A553" s="216"/>
      <c r="B553" s="216"/>
      <c r="C553" s="216"/>
      <c r="D553" s="216"/>
      <c r="E553" s="197"/>
      <c r="F553" s="197"/>
    </row>
    <row r="554" spans="1:6" ht="15.75" customHeight="1">
      <c r="A554" s="216"/>
      <c r="B554" s="216"/>
      <c r="C554" s="216"/>
      <c r="D554" s="216"/>
      <c r="E554" s="197"/>
      <c r="F554" s="197"/>
    </row>
    <row r="555" spans="1:6" ht="15.75" customHeight="1">
      <c r="A555" s="216"/>
      <c r="B555" s="216"/>
      <c r="C555" s="216"/>
      <c r="D555" s="216"/>
      <c r="E555" s="197"/>
      <c r="F555" s="197"/>
    </row>
    <row r="556" spans="1:6" ht="15.75" customHeight="1">
      <c r="A556" s="216"/>
      <c r="B556" s="216"/>
      <c r="C556" s="216"/>
      <c r="D556" s="216"/>
      <c r="E556" s="197"/>
      <c r="F556" s="197"/>
    </row>
    <row r="557" spans="1:6" ht="15.75" customHeight="1">
      <c r="A557" s="216"/>
      <c r="B557" s="216"/>
      <c r="C557" s="216"/>
      <c r="D557" s="216"/>
      <c r="E557" s="197"/>
      <c r="F557" s="197"/>
    </row>
    <row r="558" spans="1:6" ht="15.75" customHeight="1">
      <c r="A558" s="216"/>
      <c r="B558" s="216"/>
      <c r="C558" s="216"/>
      <c r="D558" s="216"/>
      <c r="E558" s="197"/>
      <c r="F558" s="197"/>
    </row>
    <row r="559" spans="1:6" ht="15.75" customHeight="1">
      <c r="A559" s="216"/>
      <c r="B559" s="216"/>
      <c r="C559" s="216"/>
      <c r="D559" s="216"/>
      <c r="E559" s="197"/>
      <c r="F559" s="197"/>
    </row>
    <row r="560" spans="1:6" ht="15.75" customHeight="1">
      <c r="A560" s="216"/>
      <c r="B560" s="216"/>
      <c r="C560" s="216"/>
      <c r="D560" s="216"/>
      <c r="E560" s="197"/>
      <c r="F560" s="197"/>
    </row>
    <row r="561" spans="1:6" ht="15.75" customHeight="1">
      <c r="A561" s="216"/>
      <c r="B561" s="216"/>
      <c r="C561" s="216"/>
      <c r="D561" s="216"/>
      <c r="E561" s="197"/>
      <c r="F561" s="197"/>
    </row>
    <row r="562" spans="1:6" ht="15.75" customHeight="1">
      <c r="A562" s="216"/>
      <c r="B562" s="216"/>
      <c r="C562" s="216"/>
      <c r="D562" s="216"/>
      <c r="E562" s="197"/>
      <c r="F562" s="197"/>
    </row>
    <row r="563" spans="1:6" ht="15.75" customHeight="1">
      <c r="A563" s="216"/>
      <c r="B563" s="216"/>
      <c r="C563" s="216"/>
      <c r="D563" s="216"/>
      <c r="E563" s="197"/>
      <c r="F563" s="197"/>
    </row>
    <row r="564" spans="1:6" ht="15.75" customHeight="1">
      <c r="A564" s="216"/>
      <c r="B564" s="216"/>
      <c r="C564" s="216"/>
      <c r="D564" s="216"/>
      <c r="E564" s="197"/>
      <c r="F564" s="197"/>
    </row>
    <row r="565" spans="1:6" ht="15.75" customHeight="1">
      <c r="A565" s="216"/>
      <c r="B565" s="216"/>
      <c r="C565" s="216"/>
      <c r="D565" s="216"/>
      <c r="E565" s="197"/>
      <c r="F565" s="197"/>
    </row>
    <row r="566" spans="1:6" ht="15.75" customHeight="1">
      <c r="A566" s="216"/>
      <c r="B566" s="216"/>
      <c r="C566" s="216"/>
      <c r="D566" s="216"/>
      <c r="E566" s="197"/>
      <c r="F566" s="197"/>
    </row>
    <row r="567" spans="1:6" ht="15.75" customHeight="1">
      <c r="A567" s="216"/>
      <c r="B567" s="216"/>
      <c r="C567" s="216"/>
      <c r="D567" s="216"/>
      <c r="E567" s="197"/>
      <c r="F567" s="197"/>
    </row>
    <row r="568" spans="1:6" ht="15.75" customHeight="1">
      <c r="A568" s="216"/>
      <c r="B568" s="216"/>
      <c r="C568" s="216"/>
      <c r="D568" s="216"/>
      <c r="E568" s="197"/>
      <c r="F568" s="197"/>
    </row>
    <row r="569" spans="1:6" ht="15.75" customHeight="1">
      <c r="A569" s="216"/>
      <c r="B569" s="216"/>
      <c r="C569" s="216"/>
      <c r="D569" s="216"/>
      <c r="E569" s="197"/>
      <c r="F569" s="197"/>
    </row>
    <row r="570" spans="1:6" ht="15.75" customHeight="1">
      <c r="A570" s="216"/>
      <c r="B570" s="216"/>
      <c r="C570" s="216"/>
      <c r="D570" s="216"/>
      <c r="E570" s="197"/>
      <c r="F570" s="197"/>
    </row>
    <row r="571" spans="1:6" ht="15.75" customHeight="1">
      <c r="A571" s="216"/>
      <c r="B571" s="216"/>
      <c r="C571" s="216"/>
      <c r="D571" s="216"/>
      <c r="E571" s="197"/>
      <c r="F571" s="197"/>
    </row>
    <row r="572" spans="1:6" ht="15.75" customHeight="1">
      <c r="A572" s="216"/>
      <c r="B572" s="216"/>
      <c r="C572" s="216"/>
      <c r="D572" s="216"/>
      <c r="E572" s="197"/>
      <c r="F572" s="197"/>
    </row>
    <row r="573" spans="1:6" ht="15.75" customHeight="1">
      <c r="A573" s="216"/>
      <c r="B573" s="216"/>
      <c r="C573" s="216"/>
      <c r="D573" s="216"/>
      <c r="E573" s="197"/>
      <c r="F573" s="197"/>
    </row>
    <row r="574" spans="1:6" ht="15.75" customHeight="1">
      <c r="A574" s="216"/>
      <c r="B574" s="216"/>
      <c r="C574" s="216"/>
      <c r="D574" s="216"/>
      <c r="E574" s="197"/>
      <c r="F574" s="197"/>
    </row>
    <row r="575" spans="1:6" ht="15.75" customHeight="1">
      <c r="A575" s="216"/>
      <c r="B575" s="216"/>
      <c r="C575" s="216"/>
      <c r="D575" s="216"/>
      <c r="E575" s="197"/>
      <c r="F575" s="197"/>
    </row>
    <row r="576" spans="1:6" ht="15.75" customHeight="1">
      <c r="A576" s="216"/>
      <c r="B576" s="216"/>
      <c r="C576" s="216"/>
      <c r="D576" s="216"/>
      <c r="E576" s="197"/>
      <c r="F576" s="197"/>
    </row>
    <row r="577" spans="1:6" ht="15.75" customHeight="1">
      <c r="A577" s="216"/>
      <c r="B577" s="216"/>
      <c r="C577" s="216"/>
      <c r="D577" s="216"/>
      <c r="E577" s="197"/>
      <c r="F577" s="197"/>
    </row>
    <row r="578" spans="1:6" ht="15.75" customHeight="1">
      <c r="A578" s="216"/>
      <c r="B578" s="216"/>
      <c r="C578" s="216"/>
      <c r="D578" s="216"/>
      <c r="E578" s="197"/>
      <c r="F578" s="197"/>
    </row>
    <row r="579" spans="1:6" ht="15.75" customHeight="1">
      <c r="A579" s="216"/>
      <c r="B579" s="216"/>
      <c r="C579" s="216"/>
      <c r="D579" s="216"/>
      <c r="E579" s="197"/>
      <c r="F579" s="197"/>
    </row>
    <row r="580" spans="1:6" ht="15.75" customHeight="1">
      <c r="A580" s="216"/>
      <c r="B580" s="216"/>
      <c r="C580" s="216"/>
      <c r="D580" s="216"/>
      <c r="E580" s="197"/>
      <c r="F580" s="197"/>
    </row>
    <row r="581" spans="1:6" ht="15.75" customHeight="1">
      <c r="A581" s="216"/>
      <c r="B581" s="216"/>
      <c r="C581" s="216"/>
      <c r="D581" s="216"/>
      <c r="E581" s="197"/>
      <c r="F581" s="197"/>
    </row>
    <row r="582" spans="1:6" ht="15.75" customHeight="1">
      <c r="A582" s="216"/>
      <c r="B582" s="216"/>
      <c r="C582" s="216"/>
      <c r="D582" s="216"/>
      <c r="E582" s="197"/>
      <c r="F582" s="197"/>
    </row>
    <row r="583" spans="1:6" ht="15.75" customHeight="1">
      <c r="A583" s="216"/>
      <c r="B583" s="216"/>
      <c r="C583" s="216"/>
      <c r="D583" s="216"/>
      <c r="E583" s="197"/>
      <c r="F583" s="197"/>
    </row>
    <row r="584" spans="1:6" ht="15.75" customHeight="1">
      <c r="A584" s="216"/>
      <c r="B584" s="216"/>
      <c r="C584" s="216"/>
      <c r="D584" s="216"/>
      <c r="E584" s="197"/>
      <c r="F584" s="197"/>
    </row>
    <row r="585" spans="1:6" ht="15.75" customHeight="1">
      <c r="A585" s="216"/>
      <c r="B585" s="216"/>
      <c r="C585" s="216"/>
      <c r="D585" s="216"/>
      <c r="E585" s="197"/>
      <c r="F585" s="197"/>
    </row>
    <row r="586" spans="1:6" ht="15.75" customHeight="1">
      <c r="A586" s="216"/>
      <c r="B586" s="216"/>
      <c r="C586" s="216"/>
      <c r="D586" s="216"/>
      <c r="E586" s="197"/>
      <c r="F586" s="197"/>
    </row>
    <row r="587" spans="1:6" ht="15.75" customHeight="1">
      <c r="A587" s="216"/>
      <c r="B587" s="216"/>
      <c r="C587" s="216"/>
      <c r="D587" s="216"/>
      <c r="E587" s="197"/>
      <c r="F587" s="197"/>
    </row>
    <row r="588" spans="1:6" ht="15.75" customHeight="1">
      <c r="A588" s="216"/>
      <c r="B588" s="216"/>
      <c r="C588" s="216"/>
      <c r="D588" s="216"/>
      <c r="E588" s="197"/>
      <c r="F588" s="197"/>
    </row>
    <row r="589" spans="1:6" ht="15.75" customHeight="1">
      <c r="A589" s="216"/>
      <c r="B589" s="216"/>
      <c r="C589" s="216"/>
      <c r="D589" s="216"/>
      <c r="E589" s="197"/>
      <c r="F589" s="197"/>
    </row>
    <row r="590" spans="1:6" ht="15.75" customHeight="1">
      <c r="A590" s="216"/>
      <c r="B590" s="216"/>
      <c r="C590" s="216"/>
      <c r="D590" s="216"/>
      <c r="E590" s="197"/>
      <c r="F590" s="197"/>
    </row>
    <row r="591" spans="1:6" ht="15.75" customHeight="1">
      <c r="A591" s="216"/>
      <c r="B591" s="216"/>
      <c r="C591" s="216"/>
      <c r="D591" s="216"/>
      <c r="E591" s="197"/>
      <c r="F591" s="197"/>
    </row>
    <row r="592" spans="1:6" ht="15.75" customHeight="1">
      <c r="A592" s="216"/>
      <c r="B592" s="216"/>
      <c r="C592" s="216"/>
      <c r="D592" s="216"/>
      <c r="E592" s="197"/>
      <c r="F592" s="197"/>
    </row>
    <row r="593" spans="1:6" ht="15.75" customHeight="1">
      <c r="A593" s="216"/>
      <c r="B593" s="216"/>
      <c r="C593" s="216"/>
      <c r="D593" s="216"/>
      <c r="E593" s="197"/>
      <c r="F593" s="197"/>
    </row>
    <row r="594" spans="1:6" ht="15.75" customHeight="1">
      <c r="A594" s="216"/>
      <c r="B594" s="216"/>
      <c r="C594" s="216"/>
      <c r="D594" s="216"/>
      <c r="E594" s="197"/>
      <c r="F594" s="197"/>
    </row>
    <row r="595" spans="1:6" ht="15.75" customHeight="1">
      <c r="A595" s="216"/>
      <c r="B595" s="216"/>
      <c r="C595" s="216"/>
      <c r="D595" s="216"/>
      <c r="E595" s="197"/>
      <c r="F595" s="197"/>
    </row>
    <row r="596" spans="1:6" ht="15.75" customHeight="1">
      <c r="A596" s="216"/>
      <c r="B596" s="216"/>
      <c r="C596" s="216"/>
      <c r="D596" s="216"/>
      <c r="E596" s="197"/>
      <c r="F596" s="197"/>
    </row>
    <row r="597" spans="1:6" ht="15.75" customHeight="1">
      <c r="A597" s="216"/>
      <c r="B597" s="216"/>
      <c r="C597" s="216"/>
      <c r="D597" s="216"/>
      <c r="E597" s="197"/>
      <c r="F597" s="197"/>
    </row>
    <row r="598" spans="1:6" ht="15.75" customHeight="1">
      <c r="A598" s="216"/>
      <c r="B598" s="216"/>
      <c r="C598" s="216"/>
      <c r="D598" s="216"/>
      <c r="E598" s="197"/>
      <c r="F598" s="197"/>
    </row>
    <row r="599" spans="1:6" ht="15.75" customHeight="1">
      <c r="A599" s="216"/>
      <c r="B599" s="216"/>
      <c r="C599" s="216"/>
      <c r="D599" s="216"/>
      <c r="E599" s="197"/>
      <c r="F599" s="197"/>
    </row>
    <row r="600" spans="1:6" ht="15.75" customHeight="1">
      <c r="A600" s="216"/>
      <c r="B600" s="216"/>
      <c r="C600" s="216"/>
      <c r="D600" s="216"/>
      <c r="E600" s="197"/>
      <c r="F600" s="197"/>
    </row>
    <row r="601" spans="1:6" ht="15.75" customHeight="1">
      <c r="A601" s="216"/>
      <c r="B601" s="216"/>
      <c r="C601" s="216"/>
      <c r="D601" s="216"/>
      <c r="E601" s="197"/>
      <c r="F601" s="197"/>
    </row>
    <row r="602" spans="1:6" ht="15.75" customHeight="1">
      <c r="A602" s="216"/>
      <c r="B602" s="216"/>
      <c r="C602" s="216"/>
      <c r="D602" s="216"/>
      <c r="E602" s="197"/>
      <c r="F602" s="197"/>
    </row>
    <row r="603" spans="1:6" ht="15.75" customHeight="1">
      <c r="A603" s="216"/>
      <c r="B603" s="216"/>
      <c r="C603" s="216"/>
      <c r="D603" s="216"/>
      <c r="E603" s="197"/>
      <c r="F603" s="197"/>
    </row>
    <row r="604" spans="1:6" ht="15.75" customHeight="1">
      <c r="A604" s="216"/>
      <c r="B604" s="216"/>
      <c r="C604" s="216"/>
      <c r="D604" s="216"/>
      <c r="E604" s="197"/>
      <c r="F604" s="197"/>
    </row>
    <row r="605" spans="1:6" ht="15.75" customHeight="1">
      <c r="A605" s="216"/>
      <c r="B605" s="216"/>
      <c r="C605" s="216"/>
      <c r="D605" s="216"/>
      <c r="E605" s="197"/>
      <c r="F605" s="197"/>
    </row>
    <row r="606" spans="1:6" ht="15.75" customHeight="1">
      <c r="A606" s="216"/>
      <c r="B606" s="216"/>
      <c r="C606" s="216"/>
      <c r="D606" s="216"/>
      <c r="E606" s="197"/>
      <c r="F606" s="197"/>
    </row>
    <row r="607" spans="1:6" ht="15.75" customHeight="1">
      <c r="A607" s="216"/>
      <c r="B607" s="216"/>
      <c r="C607" s="216"/>
      <c r="D607" s="216"/>
      <c r="E607" s="197"/>
      <c r="F607" s="197"/>
    </row>
    <row r="608" spans="1:6" ht="15.75" customHeight="1">
      <c r="A608" s="216"/>
      <c r="B608" s="216"/>
      <c r="C608" s="216"/>
      <c r="D608" s="216"/>
      <c r="E608" s="197"/>
      <c r="F608" s="197"/>
    </row>
    <row r="609" spans="1:6" ht="15.75" customHeight="1">
      <c r="A609" s="216"/>
      <c r="B609" s="216"/>
      <c r="C609" s="216"/>
      <c r="D609" s="216"/>
      <c r="E609" s="197"/>
      <c r="F609" s="197"/>
    </row>
    <row r="610" spans="1:6" ht="15.75" customHeight="1">
      <c r="A610" s="216"/>
      <c r="B610" s="216"/>
      <c r="C610" s="216"/>
      <c r="D610" s="216"/>
      <c r="E610" s="197"/>
      <c r="F610" s="197"/>
    </row>
    <row r="611" spans="1:6" ht="15.75" customHeight="1">
      <c r="A611" s="216"/>
      <c r="B611" s="216"/>
      <c r="C611" s="216"/>
      <c r="D611" s="216"/>
      <c r="E611" s="197"/>
      <c r="F611" s="197"/>
    </row>
    <row r="612" spans="1:6" ht="15.75" customHeight="1">
      <c r="A612" s="216"/>
      <c r="B612" s="216"/>
      <c r="C612" s="216"/>
      <c r="D612" s="216"/>
      <c r="E612" s="197"/>
      <c r="F612" s="197"/>
    </row>
    <row r="613" spans="1:6" ht="15.75" customHeight="1">
      <c r="A613" s="216"/>
      <c r="B613" s="216"/>
      <c r="C613" s="216"/>
      <c r="D613" s="216"/>
      <c r="E613" s="197"/>
      <c r="F613" s="197"/>
    </row>
    <row r="614" spans="1:6" ht="15.75" customHeight="1">
      <c r="A614" s="216"/>
      <c r="B614" s="216"/>
      <c r="C614" s="216"/>
      <c r="D614" s="216"/>
      <c r="E614" s="197"/>
      <c r="F614" s="197"/>
    </row>
    <row r="615" spans="1:6" ht="15.75" customHeight="1">
      <c r="A615" s="216"/>
      <c r="B615" s="216"/>
      <c r="C615" s="216"/>
      <c r="D615" s="216"/>
      <c r="E615" s="197"/>
      <c r="F615" s="197"/>
    </row>
    <row r="616" spans="1:6" ht="15.75" customHeight="1">
      <c r="A616" s="216"/>
      <c r="B616" s="216"/>
      <c r="C616" s="216"/>
      <c r="D616" s="216"/>
      <c r="E616" s="197"/>
      <c r="F616" s="197"/>
    </row>
    <row r="617" spans="1:6" ht="15.75" customHeight="1">
      <c r="A617" s="216"/>
      <c r="B617" s="216"/>
      <c r="C617" s="216"/>
      <c r="D617" s="216"/>
      <c r="E617" s="197"/>
      <c r="F617" s="197"/>
    </row>
    <row r="618" spans="1:6" ht="15.75" customHeight="1">
      <c r="A618" s="216"/>
      <c r="B618" s="216"/>
      <c r="C618" s="216"/>
      <c r="D618" s="216"/>
      <c r="E618" s="197"/>
      <c r="F618" s="197"/>
    </row>
    <row r="619" spans="1:6" ht="15.75" customHeight="1">
      <c r="A619" s="216"/>
      <c r="B619" s="216"/>
      <c r="C619" s="216"/>
      <c r="D619" s="216"/>
      <c r="E619" s="197"/>
      <c r="F619" s="197"/>
    </row>
    <row r="620" spans="1:6" ht="15.75" customHeight="1">
      <c r="A620" s="216"/>
      <c r="B620" s="216"/>
      <c r="C620" s="216"/>
      <c r="D620" s="216"/>
      <c r="E620" s="197"/>
      <c r="F620" s="197"/>
    </row>
    <row r="621" spans="1:6" ht="15.75" customHeight="1">
      <c r="A621" s="216"/>
      <c r="B621" s="216"/>
      <c r="C621" s="216"/>
      <c r="D621" s="216"/>
      <c r="E621" s="197"/>
      <c r="F621" s="197"/>
    </row>
    <row r="622" spans="1:6" ht="15.75" customHeight="1">
      <c r="A622" s="216"/>
      <c r="B622" s="216"/>
      <c r="C622" s="216"/>
      <c r="D622" s="216"/>
      <c r="E622" s="197"/>
      <c r="F622" s="197"/>
    </row>
    <row r="623" spans="1:6" ht="15.75" customHeight="1">
      <c r="A623" s="216"/>
      <c r="B623" s="216"/>
      <c r="C623" s="216"/>
      <c r="D623" s="216"/>
      <c r="E623" s="197"/>
      <c r="F623" s="197"/>
    </row>
    <row r="624" spans="1:6" ht="15.75" customHeight="1">
      <c r="A624" s="216"/>
      <c r="B624" s="216"/>
      <c r="C624" s="216"/>
      <c r="D624" s="216"/>
      <c r="E624" s="197"/>
      <c r="F624" s="197"/>
    </row>
    <row r="625" spans="1:6" ht="15.75" customHeight="1">
      <c r="A625" s="216"/>
      <c r="B625" s="216"/>
      <c r="C625" s="216"/>
      <c r="D625" s="216"/>
      <c r="E625" s="197"/>
      <c r="F625" s="197"/>
    </row>
    <row r="626" spans="1:6" ht="15.75" customHeight="1">
      <c r="A626" s="216"/>
      <c r="B626" s="216"/>
      <c r="C626" s="216"/>
      <c r="D626" s="216"/>
      <c r="E626" s="197"/>
      <c r="F626" s="197"/>
    </row>
    <row r="627" spans="1:6" ht="15.75" customHeight="1">
      <c r="A627" s="216"/>
      <c r="B627" s="216"/>
      <c r="C627" s="216"/>
      <c r="D627" s="216"/>
      <c r="E627" s="197"/>
      <c r="F627" s="197"/>
    </row>
    <row r="628" spans="1:6" ht="15.75" customHeight="1">
      <c r="A628" s="216"/>
      <c r="B628" s="216"/>
      <c r="C628" s="216"/>
      <c r="D628" s="216"/>
      <c r="E628" s="197"/>
      <c r="F628" s="197"/>
    </row>
    <row r="629" spans="1:6" ht="15.75" customHeight="1">
      <c r="A629" s="216"/>
      <c r="B629" s="216"/>
      <c r="C629" s="216"/>
      <c r="D629" s="216"/>
      <c r="E629" s="197"/>
      <c r="F629" s="197"/>
    </row>
    <row r="630" spans="1:6" ht="15.75" customHeight="1">
      <c r="A630" s="216"/>
      <c r="B630" s="216"/>
      <c r="C630" s="216"/>
      <c r="D630" s="216"/>
      <c r="E630" s="197"/>
      <c r="F630" s="197"/>
    </row>
    <row r="631" spans="1:6" ht="15.75" customHeight="1">
      <c r="A631" s="216"/>
      <c r="B631" s="216"/>
      <c r="C631" s="216"/>
      <c r="D631" s="216"/>
      <c r="E631" s="197"/>
      <c r="F631" s="197"/>
    </row>
    <row r="632" spans="1:6" ht="15.75" customHeight="1">
      <c r="A632" s="216"/>
      <c r="B632" s="216"/>
      <c r="C632" s="216"/>
      <c r="D632" s="216"/>
      <c r="E632" s="197"/>
      <c r="F632" s="197"/>
    </row>
    <row r="633" spans="1:6" ht="15.75" customHeight="1">
      <c r="A633" s="216"/>
      <c r="B633" s="216"/>
      <c r="C633" s="216"/>
      <c r="D633" s="216"/>
      <c r="E633" s="197"/>
      <c r="F633" s="197"/>
    </row>
    <row r="634" spans="1:6" ht="15.75" customHeight="1">
      <c r="A634" s="216"/>
      <c r="B634" s="216"/>
      <c r="C634" s="216"/>
      <c r="D634" s="216"/>
      <c r="E634" s="197"/>
      <c r="F634" s="197"/>
    </row>
    <row r="635" spans="1:6" ht="15.75" customHeight="1">
      <c r="A635" s="216"/>
      <c r="B635" s="216"/>
      <c r="C635" s="216"/>
      <c r="D635" s="216"/>
      <c r="E635" s="197"/>
      <c r="F635" s="197"/>
    </row>
    <row r="636" spans="1:6" ht="15.75" customHeight="1">
      <c r="A636" s="216"/>
      <c r="B636" s="216"/>
      <c r="C636" s="216"/>
      <c r="D636" s="216"/>
      <c r="E636" s="197"/>
      <c r="F636" s="197"/>
    </row>
    <row r="637" spans="1:6" ht="15.75" customHeight="1">
      <c r="A637" s="216"/>
      <c r="B637" s="216"/>
      <c r="C637" s="216"/>
      <c r="D637" s="216"/>
      <c r="E637" s="197"/>
      <c r="F637" s="197"/>
    </row>
    <row r="638" spans="1:6" ht="15.75" customHeight="1">
      <c r="A638" s="216"/>
      <c r="B638" s="216"/>
      <c r="C638" s="216"/>
      <c r="D638" s="216"/>
      <c r="E638" s="197"/>
      <c r="F638" s="197"/>
    </row>
    <row r="639" spans="1:6" ht="15.75" customHeight="1">
      <c r="A639" s="216"/>
      <c r="B639" s="216"/>
      <c r="C639" s="216"/>
      <c r="D639" s="216"/>
      <c r="E639" s="197"/>
      <c r="F639" s="197"/>
    </row>
    <row r="640" spans="1:6" ht="15.75" customHeight="1">
      <c r="A640" s="216"/>
      <c r="B640" s="216"/>
      <c r="C640" s="216"/>
      <c r="D640" s="216"/>
      <c r="E640" s="197"/>
      <c r="F640" s="197"/>
    </row>
    <row r="641" spans="1:6" ht="15.75" customHeight="1">
      <c r="A641" s="216"/>
      <c r="B641" s="216"/>
      <c r="C641" s="216"/>
      <c r="D641" s="216"/>
      <c r="E641" s="197"/>
      <c r="F641" s="197"/>
    </row>
    <row r="642" spans="1:6" ht="15.75" customHeight="1">
      <c r="A642" s="216"/>
      <c r="B642" s="216"/>
      <c r="C642" s="216"/>
      <c r="D642" s="216"/>
      <c r="E642" s="197"/>
      <c r="F642" s="197"/>
    </row>
    <row r="643" spans="1:6" ht="15.75" customHeight="1">
      <c r="A643" s="216"/>
      <c r="B643" s="216"/>
      <c r="C643" s="216"/>
      <c r="D643" s="216"/>
      <c r="E643" s="197"/>
      <c r="F643" s="197"/>
    </row>
    <row r="644" spans="1:6" ht="15.75" customHeight="1">
      <c r="A644" s="216"/>
      <c r="B644" s="216"/>
      <c r="C644" s="216"/>
      <c r="D644" s="216"/>
      <c r="E644" s="197"/>
      <c r="F644" s="197"/>
    </row>
    <row r="645" spans="1:6" ht="15.75" customHeight="1">
      <c r="A645" s="216"/>
      <c r="B645" s="216"/>
      <c r="C645" s="216"/>
      <c r="D645" s="216"/>
      <c r="E645" s="197"/>
      <c r="F645" s="197"/>
    </row>
    <row r="646" spans="1:6" ht="15.75" customHeight="1">
      <c r="A646" s="216"/>
      <c r="B646" s="216"/>
      <c r="C646" s="216"/>
      <c r="D646" s="216"/>
      <c r="E646" s="197"/>
      <c r="F646" s="197"/>
    </row>
    <row r="647" spans="1:6" ht="15.75" customHeight="1">
      <c r="A647" s="216"/>
      <c r="B647" s="216"/>
      <c r="C647" s="216"/>
      <c r="D647" s="216"/>
      <c r="E647" s="197"/>
      <c r="F647" s="197"/>
    </row>
    <row r="648" spans="1:6" ht="15.75" customHeight="1">
      <c r="A648" s="216"/>
      <c r="B648" s="216"/>
      <c r="C648" s="216"/>
      <c r="D648" s="216"/>
      <c r="E648" s="197"/>
      <c r="F648" s="197"/>
    </row>
    <row r="649" spans="1:6" ht="15.75" customHeight="1">
      <c r="A649" s="216"/>
      <c r="B649" s="216"/>
      <c r="C649" s="216"/>
      <c r="D649" s="216"/>
      <c r="E649" s="197"/>
      <c r="F649" s="197"/>
    </row>
    <row r="650" spans="1:6" ht="15.75" customHeight="1">
      <c r="A650" s="216"/>
      <c r="B650" s="216"/>
      <c r="C650" s="216"/>
      <c r="D650" s="216"/>
      <c r="E650" s="197"/>
      <c r="F650" s="197"/>
    </row>
    <row r="651" spans="1:6" ht="15.75" customHeight="1">
      <c r="A651" s="216"/>
      <c r="B651" s="216"/>
      <c r="C651" s="216"/>
      <c r="D651" s="216"/>
      <c r="E651" s="197"/>
      <c r="F651" s="197"/>
    </row>
    <row r="652" spans="1:6" ht="15.75" customHeight="1">
      <c r="A652" s="216"/>
      <c r="B652" s="216"/>
      <c r="C652" s="216"/>
      <c r="D652" s="216"/>
      <c r="E652" s="197"/>
      <c r="F652" s="197"/>
    </row>
    <row r="653" spans="1:6" ht="15.75" customHeight="1">
      <c r="A653" s="216"/>
      <c r="B653" s="216"/>
      <c r="C653" s="216"/>
      <c r="D653" s="216"/>
      <c r="E653" s="197"/>
      <c r="F653" s="197"/>
    </row>
    <row r="654" spans="1:6" ht="15.75" customHeight="1">
      <c r="A654" s="216"/>
      <c r="B654" s="216"/>
      <c r="C654" s="216"/>
      <c r="D654" s="216"/>
      <c r="E654" s="197"/>
      <c r="F654" s="197"/>
    </row>
    <row r="655" spans="1:6" ht="15.75" customHeight="1">
      <c r="A655" s="216"/>
      <c r="B655" s="216"/>
      <c r="C655" s="216"/>
      <c r="D655" s="216"/>
      <c r="E655" s="197"/>
      <c r="F655" s="197"/>
    </row>
    <row r="656" spans="1:6" ht="15.75" customHeight="1">
      <c r="A656" s="216"/>
      <c r="B656" s="216"/>
      <c r="C656" s="216"/>
      <c r="D656" s="216"/>
      <c r="E656" s="197"/>
      <c r="F656" s="197"/>
    </row>
    <row r="657" spans="1:6" ht="15.75" customHeight="1">
      <c r="A657" s="216"/>
      <c r="B657" s="216"/>
      <c r="C657" s="216"/>
      <c r="D657" s="216"/>
      <c r="E657" s="197"/>
      <c r="F657" s="197"/>
    </row>
    <row r="658" spans="1:6" ht="15.75" customHeight="1">
      <c r="A658" s="216"/>
      <c r="B658" s="216"/>
      <c r="C658" s="216"/>
      <c r="D658" s="216"/>
      <c r="E658" s="197"/>
      <c r="F658" s="197"/>
    </row>
    <row r="659" spans="1:6" ht="15.75" customHeight="1">
      <c r="A659" s="216"/>
      <c r="B659" s="216"/>
      <c r="C659" s="216"/>
      <c r="D659" s="216"/>
      <c r="E659" s="197"/>
      <c r="F659" s="197"/>
    </row>
    <row r="660" spans="1:6" ht="15.75" customHeight="1">
      <c r="A660" s="216"/>
      <c r="B660" s="216"/>
      <c r="C660" s="216"/>
      <c r="D660" s="216"/>
      <c r="E660" s="197"/>
      <c r="F660" s="197"/>
    </row>
    <row r="661" spans="1:6" ht="15.75" customHeight="1">
      <c r="A661" s="216"/>
      <c r="B661" s="216"/>
      <c r="C661" s="216"/>
      <c r="D661" s="216"/>
      <c r="E661" s="197"/>
      <c r="F661" s="197"/>
    </row>
    <row r="662" spans="1:6" ht="15.75" customHeight="1">
      <c r="A662" s="216"/>
      <c r="B662" s="216"/>
      <c r="C662" s="216"/>
      <c r="D662" s="216"/>
      <c r="E662" s="197"/>
      <c r="F662" s="197"/>
    </row>
    <row r="663" spans="1:6" ht="15.75" customHeight="1">
      <c r="A663" s="216"/>
      <c r="B663" s="216"/>
      <c r="C663" s="216"/>
      <c r="D663" s="216"/>
      <c r="E663" s="197"/>
      <c r="F663" s="197"/>
    </row>
    <row r="664" spans="1:6" ht="15.75" customHeight="1">
      <c r="A664" s="216"/>
      <c r="B664" s="216"/>
      <c r="C664" s="216"/>
      <c r="D664" s="216"/>
      <c r="E664" s="197"/>
      <c r="F664" s="197"/>
    </row>
    <row r="665" spans="1:6" ht="15.75" customHeight="1">
      <c r="A665" s="216"/>
      <c r="B665" s="216"/>
      <c r="C665" s="216"/>
      <c r="D665" s="216"/>
      <c r="E665" s="197"/>
      <c r="F665" s="197"/>
    </row>
    <row r="666" spans="1:6" ht="15.75" customHeight="1">
      <c r="A666" s="216"/>
      <c r="B666" s="216"/>
      <c r="C666" s="216"/>
      <c r="D666" s="216"/>
      <c r="E666" s="197"/>
      <c r="F666" s="197"/>
    </row>
    <row r="667" spans="1:6" ht="15.75" customHeight="1">
      <c r="A667" s="216"/>
      <c r="B667" s="216"/>
      <c r="C667" s="216"/>
      <c r="D667" s="216"/>
      <c r="E667" s="197"/>
      <c r="F667" s="197"/>
    </row>
    <row r="668" spans="1:6" ht="15.75" customHeight="1">
      <c r="A668" s="216"/>
      <c r="B668" s="216"/>
      <c r="C668" s="216"/>
      <c r="D668" s="216"/>
      <c r="E668" s="197"/>
      <c r="F668" s="197"/>
    </row>
    <row r="669" spans="1:6" ht="15.75" customHeight="1">
      <c r="A669" s="216"/>
      <c r="B669" s="216"/>
      <c r="C669" s="216"/>
      <c r="D669" s="216"/>
      <c r="E669" s="197"/>
      <c r="F669" s="197"/>
    </row>
    <row r="670" spans="1:6" ht="15.75" customHeight="1">
      <c r="A670" s="216"/>
      <c r="B670" s="216"/>
      <c r="C670" s="216"/>
      <c r="D670" s="216"/>
      <c r="E670" s="197"/>
      <c r="F670" s="197"/>
    </row>
    <row r="671" spans="1:6" ht="15.75" customHeight="1">
      <c r="A671" s="216"/>
      <c r="B671" s="216"/>
      <c r="C671" s="216"/>
      <c r="D671" s="216"/>
      <c r="E671" s="197"/>
      <c r="F671" s="197"/>
    </row>
    <row r="672" spans="1:6" ht="15.75" customHeight="1">
      <c r="A672" s="216"/>
      <c r="B672" s="216"/>
      <c r="C672" s="216"/>
      <c r="D672" s="216"/>
      <c r="E672" s="197"/>
      <c r="F672" s="197"/>
    </row>
    <row r="673" spans="1:6" ht="15.75" customHeight="1">
      <c r="A673" s="216"/>
      <c r="B673" s="216"/>
      <c r="C673" s="216"/>
      <c r="D673" s="216"/>
      <c r="E673" s="197"/>
      <c r="F673" s="197"/>
    </row>
    <row r="674" spans="1:6" ht="15.75" customHeight="1">
      <c r="A674" s="216"/>
      <c r="B674" s="216"/>
      <c r="C674" s="216"/>
      <c r="D674" s="216"/>
      <c r="E674" s="197"/>
      <c r="F674" s="197"/>
    </row>
    <row r="675" spans="1:6" ht="15.75" customHeight="1">
      <c r="A675" s="216"/>
      <c r="B675" s="216"/>
      <c r="C675" s="216"/>
      <c r="D675" s="216"/>
      <c r="E675" s="197"/>
      <c r="F675" s="197"/>
    </row>
    <row r="676" spans="1:6" ht="15.75" customHeight="1">
      <c r="A676" s="216"/>
      <c r="B676" s="216"/>
      <c r="C676" s="216"/>
      <c r="D676" s="216"/>
      <c r="E676" s="197"/>
      <c r="F676" s="197"/>
    </row>
    <row r="677" spans="1:6" ht="15.75" customHeight="1">
      <c r="A677" s="216"/>
      <c r="B677" s="216"/>
      <c r="C677" s="216"/>
      <c r="D677" s="216"/>
      <c r="E677" s="197"/>
      <c r="F677" s="197"/>
    </row>
    <row r="678" spans="1:6" ht="15.75" customHeight="1">
      <c r="A678" s="216"/>
      <c r="B678" s="216"/>
      <c r="C678" s="216"/>
      <c r="D678" s="216"/>
      <c r="E678" s="197"/>
      <c r="F678" s="197"/>
    </row>
    <row r="679" spans="1:6" ht="15.75" customHeight="1">
      <c r="A679" s="216"/>
      <c r="B679" s="216"/>
      <c r="C679" s="216"/>
      <c r="D679" s="216"/>
      <c r="E679" s="197"/>
      <c r="F679" s="197"/>
    </row>
    <row r="680" spans="1:6" ht="15.75" customHeight="1">
      <c r="A680" s="216"/>
      <c r="B680" s="216"/>
      <c r="C680" s="216"/>
      <c r="D680" s="216"/>
      <c r="E680" s="197"/>
      <c r="F680" s="197"/>
    </row>
    <row r="681" spans="1:6" ht="15.75" customHeight="1">
      <c r="A681" s="216"/>
      <c r="B681" s="216"/>
      <c r="C681" s="216"/>
      <c r="D681" s="216"/>
      <c r="E681" s="197"/>
      <c r="F681" s="197"/>
    </row>
    <row r="682" spans="1:6" ht="15.75" customHeight="1">
      <c r="A682" s="216"/>
      <c r="B682" s="216"/>
      <c r="C682" s="216"/>
      <c r="D682" s="216"/>
      <c r="E682" s="197"/>
      <c r="F682" s="197"/>
    </row>
    <row r="683" spans="1:6" ht="15.75" customHeight="1">
      <c r="A683" s="216"/>
      <c r="B683" s="216"/>
      <c r="C683" s="216"/>
      <c r="D683" s="216"/>
      <c r="E683" s="197"/>
      <c r="F683" s="197"/>
    </row>
    <row r="684" spans="1:6" ht="15.75" customHeight="1">
      <c r="A684" s="216"/>
      <c r="B684" s="216"/>
      <c r="C684" s="216"/>
      <c r="D684" s="216"/>
      <c r="E684" s="197"/>
      <c r="F684" s="197"/>
    </row>
    <row r="685" spans="1:6" ht="15.75" customHeight="1">
      <c r="A685" s="216"/>
      <c r="B685" s="216"/>
      <c r="C685" s="216"/>
      <c r="D685" s="216"/>
      <c r="E685" s="197"/>
      <c r="F685" s="197"/>
    </row>
    <row r="686" spans="1:6" ht="15.75" customHeight="1">
      <c r="A686" s="216"/>
      <c r="B686" s="216"/>
      <c r="C686" s="216"/>
      <c r="D686" s="216"/>
      <c r="E686" s="197"/>
      <c r="F686" s="197"/>
    </row>
    <row r="687" spans="1:6" ht="15.75" customHeight="1">
      <c r="A687" s="216"/>
      <c r="B687" s="216"/>
      <c r="C687" s="216"/>
      <c r="D687" s="216"/>
      <c r="E687" s="197"/>
      <c r="F687" s="197"/>
    </row>
    <row r="688" spans="1:6" ht="15.75" customHeight="1">
      <c r="A688" s="216"/>
      <c r="B688" s="216"/>
      <c r="C688" s="216"/>
      <c r="D688" s="216"/>
      <c r="E688" s="197"/>
      <c r="F688" s="197"/>
    </row>
    <row r="689" spans="1:6" ht="15.75" customHeight="1">
      <c r="A689" s="216"/>
      <c r="B689" s="216"/>
      <c r="C689" s="216"/>
      <c r="D689" s="216"/>
      <c r="E689" s="197"/>
      <c r="F689" s="197"/>
    </row>
    <row r="690" spans="1:6" ht="15.75" customHeight="1">
      <c r="A690" s="216"/>
      <c r="B690" s="216"/>
      <c r="C690" s="216"/>
      <c r="D690" s="216"/>
      <c r="E690" s="197"/>
      <c r="F690" s="197"/>
    </row>
    <row r="691" spans="1:6" ht="15.75" customHeight="1">
      <c r="A691" s="216"/>
      <c r="B691" s="216"/>
      <c r="C691" s="216"/>
      <c r="D691" s="216"/>
      <c r="E691" s="197"/>
      <c r="F691" s="197"/>
    </row>
    <row r="692" spans="1:6" ht="15.75" customHeight="1">
      <c r="A692" s="216"/>
      <c r="B692" s="216"/>
      <c r="C692" s="216"/>
      <c r="D692" s="216"/>
      <c r="E692" s="197"/>
      <c r="F692" s="197"/>
    </row>
    <row r="693" spans="1:6" ht="15.75" customHeight="1">
      <c r="A693" s="216"/>
      <c r="B693" s="216"/>
      <c r="C693" s="216"/>
      <c r="D693" s="216"/>
      <c r="E693" s="197"/>
      <c r="F693" s="197"/>
    </row>
    <row r="694" spans="1:6" ht="15.75" customHeight="1">
      <c r="A694" s="216"/>
      <c r="B694" s="216"/>
      <c r="C694" s="216"/>
      <c r="D694" s="216"/>
      <c r="E694" s="197"/>
      <c r="F694" s="197"/>
    </row>
    <row r="695" spans="1:6" ht="15.75" customHeight="1">
      <c r="A695" s="216"/>
      <c r="B695" s="216"/>
      <c r="C695" s="216"/>
      <c r="D695" s="216"/>
      <c r="E695" s="197"/>
      <c r="F695" s="197"/>
    </row>
    <row r="696" spans="1:6" ht="15.75" customHeight="1">
      <c r="A696" s="216"/>
      <c r="B696" s="216"/>
      <c r="C696" s="216"/>
      <c r="D696" s="216"/>
      <c r="E696" s="197"/>
      <c r="F696" s="197"/>
    </row>
    <row r="697" spans="1:6" ht="15.75" customHeight="1">
      <c r="A697" s="216"/>
      <c r="B697" s="216"/>
      <c r="C697" s="216"/>
      <c r="D697" s="216"/>
      <c r="E697" s="197"/>
      <c r="F697" s="197"/>
    </row>
    <row r="698" spans="1:6" ht="15.75" customHeight="1">
      <c r="A698" s="216"/>
      <c r="B698" s="216"/>
      <c r="C698" s="216"/>
      <c r="D698" s="216"/>
      <c r="E698" s="197"/>
      <c r="F698" s="197"/>
    </row>
    <row r="699" spans="1:6" ht="15.75" customHeight="1">
      <c r="A699" s="216"/>
      <c r="B699" s="216"/>
      <c r="C699" s="216"/>
      <c r="D699" s="216"/>
      <c r="E699" s="197"/>
      <c r="F699" s="197"/>
    </row>
    <row r="700" spans="1:6" ht="15.75" customHeight="1">
      <c r="A700" s="216"/>
      <c r="B700" s="216"/>
      <c r="C700" s="216"/>
      <c r="D700" s="216"/>
      <c r="E700" s="197"/>
      <c r="F700" s="197"/>
    </row>
    <row r="701" spans="1:6" ht="15.75" customHeight="1">
      <c r="A701" s="216"/>
      <c r="B701" s="216"/>
      <c r="C701" s="216"/>
      <c r="D701" s="216"/>
      <c r="E701" s="197"/>
      <c r="F701" s="197"/>
    </row>
    <row r="702" spans="1:6" ht="15.75" customHeight="1">
      <c r="A702" s="216"/>
      <c r="B702" s="216"/>
      <c r="C702" s="216"/>
      <c r="D702" s="216"/>
      <c r="E702" s="197"/>
      <c r="F702" s="197"/>
    </row>
    <row r="703" spans="1:6" ht="15.75" customHeight="1">
      <c r="A703" s="216"/>
      <c r="B703" s="216"/>
      <c r="C703" s="216"/>
      <c r="D703" s="216"/>
      <c r="E703" s="197"/>
      <c r="F703" s="197"/>
    </row>
    <row r="704" spans="1:6" ht="15.75" customHeight="1">
      <c r="A704" s="216"/>
      <c r="B704" s="216"/>
      <c r="C704" s="216"/>
      <c r="D704" s="216"/>
      <c r="E704" s="197"/>
      <c r="F704" s="197"/>
    </row>
    <row r="705" spans="1:6" ht="15.75" customHeight="1">
      <c r="A705" s="216"/>
      <c r="B705" s="216"/>
      <c r="C705" s="216"/>
      <c r="D705" s="216"/>
      <c r="E705" s="197"/>
      <c r="F705" s="197"/>
    </row>
    <row r="706" spans="1:6" ht="15.75" customHeight="1">
      <c r="A706" s="216"/>
      <c r="B706" s="216"/>
      <c r="C706" s="216"/>
      <c r="D706" s="216"/>
      <c r="E706" s="197"/>
      <c r="F706" s="197"/>
    </row>
    <row r="707" spans="1:6" ht="15.75" customHeight="1">
      <c r="A707" s="216"/>
      <c r="B707" s="216"/>
      <c r="C707" s="216"/>
      <c r="D707" s="216"/>
      <c r="E707" s="197"/>
      <c r="F707" s="197"/>
    </row>
    <row r="708" spans="1:6" ht="15.75" customHeight="1">
      <c r="A708" s="216"/>
      <c r="B708" s="216"/>
      <c r="C708" s="216"/>
      <c r="D708" s="216"/>
      <c r="E708" s="197"/>
      <c r="F708" s="197"/>
    </row>
    <row r="709" spans="1:6" ht="15.75" customHeight="1">
      <c r="A709" s="216"/>
      <c r="B709" s="216"/>
      <c r="C709" s="216"/>
      <c r="D709" s="216"/>
      <c r="E709" s="197"/>
      <c r="F709" s="197"/>
    </row>
    <row r="710" spans="1:6" ht="15.75" customHeight="1">
      <c r="A710" s="216"/>
      <c r="B710" s="216"/>
      <c r="C710" s="216"/>
      <c r="D710" s="216"/>
      <c r="E710" s="197"/>
      <c r="F710" s="197"/>
    </row>
    <row r="711" spans="1:6" ht="15.75" customHeight="1">
      <c r="A711" s="216"/>
      <c r="B711" s="216"/>
      <c r="C711" s="216"/>
      <c r="D711" s="216"/>
      <c r="E711" s="197"/>
      <c r="F711" s="197"/>
    </row>
    <row r="712" spans="1:6" ht="15.75" customHeight="1">
      <c r="A712" s="216"/>
      <c r="B712" s="216"/>
      <c r="C712" s="216"/>
      <c r="D712" s="216"/>
      <c r="E712" s="197"/>
      <c r="F712" s="197"/>
    </row>
    <row r="713" spans="1:6" ht="15.75" customHeight="1">
      <c r="A713" s="216"/>
      <c r="B713" s="216"/>
      <c r="C713" s="216"/>
      <c r="D713" s="216"/>
      <c r="E713" s="197"/>
      <c r="F713" s="197"/>
    </row>
    <row r="714" spans="1:6" ht="15.75" customHeight="1">
      <c r="A714" s="216"/>
      <c r="B714" s="216"/>
      <c r="C714" s="216"/>
      <c r="D714" s="216"/>
      <c r="E714" s="197"/>
      <c r="F714" s="197"/>
    </row>
    <row r="715" spans="1:6" ht="15.75" customHeight="1">
      <c r="A715" s="216"/>
      <c r="B715" s="216"/>
      <c r="C715" s="216"/>
      <c r="D715" s="216"/>
      <c r="E715" s="197"/>
      <c r="F715" s="197"/>
    </row>
    <row r="716" spans="1:6" ht="15.75" customHeight="1">
      <c r="A716" s="216"/>
      <c r="B716" s="216"/>
      <c r="C716" s="216"/>
      <c r="D716" s="216"/>
      <c r="E716" s="197"/>
      <c r="F716" s="197"/>
    </row>
    <row r="717" spans="1:6" ht="15.75" customHeight="1">
      <c r="A717" s="216"/>
      <c r="B717" s="216"/>
      <c r="C717" s="216"/>
      <c r="D717" s="216"/>
      <c r="E717" s="197"/>
      <c r="F717" s="197"/>
    </row>
    <row r="718" spans="1:6" ht="15.75" customHeight="1">
      <c r="A718" s="216"/>
      <c r="B718" s="216"/>
      <c r="C718" s="216"/>
      <c r="D718" s="216"/>
      <c r="E718" s="197"/>
      <c r="F718" s="197"/>
    </row>
    <row r="719" spans="1:6" ht="15.75" customHeight="1">
      <c r="A719" s="216"/>
      <c r="B719" s="216"/>
      <c r="C719" s="216"/>
      <c r="D719" s="216"/>
      <c r="E719" s="197"/>
      <c r="F719" s="197"/>
    </row>
    <row r="720" spans="1:6" ht="15.75" customHeight="1">
      <c r="A720" s="216"/>
      <c r="B720" s="216"/>
      <c r="C720" s="216"/>
      <c r="D720" s="216"/>
      <c r="E720" s="197"/>
      <c r="F720" s="197"/>
    </row>
    <row r="721" spans="1:6" ht="15.75" customHeight="1">
      <c r="A721" s="216"/>
      <c r="B721" s="216"/>
      <c r="C721" s="216"/>
      <c r="D721" s="216"/>
      <c r="E721" s="197"/>
      <c r="F721" s="197"/>
    </row>
    <row r="722" spans="1:6" ht="15.75" customHeight="1">
      <c r="A722" s="216"/>
      <c r="B722" s="216"/>
      <c r="C722" s="216"/>
      <c r="D722" s="216"/>
      <c r="E722" s="197"/>
      <c r="F722" s="197"/>
    </row>
    <row r="723" spans="1:6" ht="15.75" customHeight="1">
      <c r="A723" s="216"/>
      <c r="B723" s="216"/>
      <c r="C723" s="216"/>
      <c r="D723" s="216"/>
      <c r="E723" s="197"/>
      <c r="F723" s="197"/>
    </row>
    <row r="724" spans="1:6" ht="15.75" customHeight="1">
      <c r="A724" s="216"/>
      <c r="B724" s="216"/>
      <c r="C724" s="216"/>
      <c r="D724" s="216"/>
      <c r="E724" s="197"/>
      <c r="F724" s="197"/>
    </row>
    <row r="725" spans="1:6" ht="15.75" customHeight="1">
      <c r="A725" s="216"/>
      <c r="B725" s="216"/>
      <c r="C725" s="216"/>
      <c r="D725" s="216"/>
      <c r="E725" s="197"/>
      <c r="F725" s="197"/>
    </row>
    <row r="726" spans="1:6" ht="15.75" customHeight="1">
      <c r="A726" s="216"/>
      <c r="B726" s="216"/>
      <c r="C726" s="216"/>
      <c r="D726" s="216"/>
      <c r="E726" s="197"/>
      <c r="F726" s="197"/>
    </row>
    <row r="727" spans="1:6" ht="15.75" customHeight="1">
      <c r="A727" s="216"/>
      <c r="B727" s="216"/>
      <c r="C727" s="216"/>
      <c r="D727" s="216"/>
      <c r="E727" s="197"/>
      <c r="F727" s="197"/>
    </row>
    <row r="728" spans="1:6" ht="15.75" customHeight="1">
      <c r="A728" s="216"/>
      <c r="B728" s="216"/>
      <c r="C728" s="216"/>
      <c r="D728" s="216"/>
      <c r="E728" s="197"/>
      <c r="F728" s="197"/>
    </row>
    <row r="729" spans="1:6" ht="15.75" customHeight="1">
      <c r="A729" s="216"/>
      <c r="B729" s="216"/>
      <c r="C729" s="216"/>
      <c r="D729" s="216"/>
      <c r="E729" s="197"/>
      <c r="F729" s="197"/>
    </row>
    <row r="730" spans="1:6" ht="15.75" customHeight="1">
      <c r="A730" s="216"/>
      <c r="B730" s="216"/>
      <c r="C730" s="216"/>
      <c r="D730" s="216"/>
      <c r="E730" s="197"/>
      <c r="F730" s="197"/>
    </row>
    <row r="731" spans="1:6" ht="15.75" customHeight="1">
      <c r="A731" s="216"/>
      <c r="B731" s="216"/>
      <c r="C731" s="216"/>
      <c r="D731" s="216"/>
      <c r="E731" s="197"/>
      <c r="F731" s="197"/>
    </row>
    <row r="732" spans="1:6" ht="15.75" customHeight="1">
      <c r="A732" s="216"/>
      <c r="B732" s="216"/>
      <c r="C732" s="216"/>
      <c r="D732" s="216"/>
      <c r="E732" s="197"/>
      <c r="F732" s="197"/>
    </row>
    <row r="733" spans="1:6" ht="15.75" customHeight="1">
      <c r="A733" s="216"/>
      <c r="B733" s="216"/>
      <c r="C733" s="216"/>
      <c r="D733" s="216"/>
      <c r="E733" s="197"/>
      <c r="F733" s="197"/>
    </row>
    <row r="734" spans="1:6" ht="15.75" customHeight="1">
      <c r="A734" s="216"/>
      <c r="B734" s="216"/>
      <c r="C734" s="216"/>
      <c r="D734" s="216"/>
      <c r="E734" s="197"/>
      <c r="F734" s="197"/>
    </row>
    <row r="735" spans="1:6" ht="15.75" customHeight="1">
      <c r="A735" s="216"/>
      <c r="B735" s="216"/>
      <c r="C735" s="216"/>
      <c r="D735" s="216"/>
      <c r="E735" s="197"/>
      <c r="F735" s="197"/>
    </row>
    <row r="736" spans="1:6" ht="15.75" customHeight="1">
      <c r="A736" s="216"/>
      <c r="B736" s="216"/>
      <c r="C736" s="216"/>
      <c r="D736" s="216"/>
      <c r="E736" s="197"/>
      <c r="F736" s="197"/>
    </row>
    <row r="737" spans="1:6" ht="15.75" customHeight="1">
      <c r="A737" s="216"/>
      <c r="B737" s="216"/>
      <c r="C737" s="216"/>
      <c r="D737" s="216"/>
      <c r="E737" s="197"/>
      <c r="F737" s="197"/>
    </row>
    <row r="738" spans="1:6" ht="15.75" customHeight="1">
      <c r="A738" s="216"/>
      <c r="B738" s="216"/>
      <c r="C738" s="216"/>
      <c r="D738" s="216"/>
      <c r="E738" s="197"/>
      <c r="F738" s="197"/>
    </row>
    <row r="739" spans="1:6" ht="15.75" customHeight="1">
      <c r="A739" s="216"/>
      <c r="B739" s="216"/>
      <c r="C739" s="216"/>
      <c r="D739" s="216"/>
      <c r="E739" s="197"/>
      <c r="F739" s="197"/>
    </row>
    <row r="740" spans="1:6" ht="15.75" customHeight="1">
      <c r="A740" s="216"/>
      <c r="B740" s="216"/>
      <c r="C740" s="216"/>
      <c r="D740" s="216"/>
      <c r="E740" s="197"/>
      <c r="F740" s="197"/>
    </row>
    <row r="741" spans="1:6" ht="15.75" customHeight="1">
      <c r="A741" s="216"/>
      <c r="B741" s="216"/>
      <c r="C741" s="216"/>
      <c r="D741" s="216"/>
      <c r="E741" s="197"/>
      <c r="F741" s="197"/>
    </row>
    <row r="742" spans="1:6" ht="15.75" customHeight="1">
      <c r="A742" s="216"/>
      <c r="B742" s="216"/>
      <c r="C742" s="216"/>
      <c r="D742" s="216"/>
      <c r="E742" s="197"/>
      <c r="F742" s="197"/>
    </row>
    <row r="743" spans="1:6" ht="15.75" customHeight="1">
      <c r="A743" s="216"/>
      <c r="B743" s="216"/>
      <c r="C743" s="216"/>
      <c r="D743" s="216"/>
      <c r="E743" s="197"/>
      <c r="F743" s="197"/>
    </row>
    <row r="744" spans="1:6" ht="15.75" customHeight="1">
      <c r="A744" s="216"/>
      <c r="B744" s="216"/>
      <c r="C744" s="216"/>
      <c r="D744" s="216"/>
      <c r="E744" s="197"/>
      <c r="F744" s="197"/>
    </row>
    <row r="745" spans="1:6" ht="15.75" customHeight="1">
      <c r="A745" s="216"/>
      <c r="B745" s="216"/>
      <c r="C745" s="216"/>
      <c r="D745" s="216"/>
      <c r="E745" s="197"/>
      <c r="F745" s="197"/>
    </row>
    <row r="746" spans="1:6" ht="15.75" customHeight="1">
      <c r="A746" s="216"/>
      <c r="B746" s="216"/>
      <c r="C746" s="216"/>
      <c r="D746" s="216"/>
      <c r="E746" s="197"/>
      <c r="F746" s="197"/>
    </row>
    <row r="747" spans="1:6" ht="15.75" customHeight="1">
      <c r="A747" s="216"/>
      <c r="B747" s="216"/>
      <c r="C747" s="216"/>
      <c r="D747" s="216"/>
      <c r="E747" s="197"/>
      <c r="F747" s="197"/>
    </row>
    <row r="748" spans="1:6" ht="15.75" customHeight="1">
      <c r="A748" s="216"/>
      <c r="B748" s="216"/>
      <c r="C748" s="216"/>
      <c r="D748" s="216"/>
      <c r="E748" s="197"/>
      <c r="F748" s="197"/>
    </row>
    <row r="749" spans="1:6" ht="15.75" customHeight="1">
      <c r="A749" s="216"/>
      <c r="B749" s="216"/>
      <c r="C749" s="216"/>
      <c r="D749" s="216"/>
      <c r="E749" s="197"/>
      <c r="F749" s="197"/>
    </row>
    <row r="750" spans="1:6" ht="15.75" customHeight="1">
      <c r="A750" s="216"/>
      <c r="B750" s="216"/>
      <c r="C750" s="216"/>
      <c r="D750" s="216"/>
      <c r="E750" s="197"/>
      <c r="F750" s="197"/>
    </row>
    <row r="751" spans="1:6" ht="15.75" customHeight="1">
      <c r="A751" s="216"/>
      <c r="B751" s="216"/>
      <c r="C751" s="216"/>
      <c r="D751" s="216"/>
      <c r="E751" s="197"/>
      <c r="F751" s="197"/>
    </row>
    <row r="752" spans="1:6" ht="15.75" customHeight="1">
      <c r="A752" s="216"/>
      <c r="B752" s="216"/>
      <c r="C752" s="216"/>
      <c r="D752" s="216"/>
      <c r="E752" s="197"/>
      <c r="F752" s="197"/>
    </row>
    <row r="753" spans="1:6" ht="15.75" customHeight="1">
      <c r="A753" s="216"/>
      <c r="B753" s="216"/>
      <c r="C753" s="216"/>
      <c r="D753" s="216"/>
      <c r="E753" s="197"/>
      <c r="F753" s="197"/>
    </row>
    <row r="754" spans="1:6" ht="15.75" customHeight="1">
      <c r="A754" s="216"/>
      <c r="B754" s="216"/>
      <c r="C754" s="216"/>
      <c r="D754" s="216"/>
      <c r="E754" s="197"/>
      <c r="F754" s="197"/>
    </row>
    <row r="755" spans="1:6" ht="15.75" customHeight="1">
      <c r="A755" s="216"/>
      <c r="B755" s="216"/>
      <c r="C755" s="216"/>
      <c r="D755" s="216"/>
      <c r="E755" s="197"/>
      <c r="F755" s="197"/>
    </row>
    <row r="756" spans="1:6" ht="15.75" customHeight="1">
      <c r="A756" s="216"/>
      <c r="B756" s="216"/>
      <c r="C756" s="216"/>
      <c r="D756" s="216"/>
      <c r="E756" s="197"/>
      <c r="F756" s="197"/>
    </row>
    <row r="757" spans="1:6" ht="15.75" customHeight="1">
      <c r="A757" s="216"/>
      <c r="B757" s="216"/>
      <c r="C757" s="216"/>
      <c r="D757" s="216"/>
      <c r="E757" s="197"/>
      <c r="F757" s="197"/>
    </row>
    <row r="758" spans="1:6" ht="15.75" customHeight="1">
      <c r="A758" s="216"/>
      <c r="B758" s="216"/>
      <c r="C758" s="216"/>
      <c r="D758" s="216"/>
      <c r="E758" s="197"/>
      <c r="F758" s="197"/>
    </row>
    <row r="759" spans="1:6" ht="15.75" customHeight="1">
      <c r="A759" s="216"/>
      <c r="B759" s="216"/>
      <c r="C759" s="216"/>
      <c r="D759" s="216"/>
      <c r="E759" s="197"/>
      <c r="F759" s="197"/>
    </row>
    <row r="760" spans="1:6" ht="15.75" customHeight="1">
      <c r="A760" s="216"/>
      <c r="B760" s="216"/>
      <c r="C760" s="216"/>
      <c r="D760" s="216"/>
      <c r="E760" s="197"/>
      <c r="F760" s="197"/>
    </row>
    <row r="761" spans="1:6" ht="15.75" customHeight="1">
      <c r="A761" s="216"/>
      <c r="B761" s="216"/>
      <c r="C761" s="216"/>
      <c r="D761" s="216"/>
      <c r="E761" s="197"/>
      <c r="F761" s="197"/>
    </row>
    <row r="762" spans="1:6" ht="15.75" customHeight="1">
      <c r="A762" s="216"/>
      <c r="B762" s="216"/>
      <c r="C762" s="216"/>
      <c r="D762" s="216"/>
      <c r="E762" s="197"/>
      <c r="F762" s="197"/>
    </row>
    <row r="763" spans="1:6" ht="15.75" customHeight="1">
      <c r="A763" s="216"/>
      <c r="B763" s="216"/>
      <c r="C763" s="216"/>
      <c r="D763" s="216"/>
      <c r="E763" s="197"/>
      <c r="F763" s="197"/>
    </row>
    <row r="764" spans="1:6" ht="15.75" customHeight="1">
      <c r="A764" s="216"/>
      <c r="B764" s="216"/>
      <c r="C764" s="216"/>
      <c r="D764" s="216"/>
      <c r="E764" s="197"/>
      <c r="F764" s="197"/>
    </row>
    <row r="765" spans="1:6" ht="15.75" customHeight="1">
      <c r="A765" s="216"/>
      <c r="B765" s="216"/>
      <c r="C765" s="216"/>
      <c r="D765" s="216"/>
      <c r="E765" s="197"/>
      <c r="F765" s="197"/>
    </row>
    <row r="766" spans="1:6" ht="15.75" customHeight="1">
      <c r="A766" s="216"/>
      <c r="B766" s="216"/>
      <c r="C766" s="216"/>
      <c r="D766" s="216"/>
      <c r="E766" s="197"/>
      <c r="F766" s="197"/>
    </row>
    <row r="767" spans="1:6" ht="15.75" customHeight="1">
      <c r="A767" s="216"/>
      <c r="B767" s="216"/>
      <c r="C767" s="216"/>
      <c r="D767" s="216"/>
      <c r="E767" s="197"/>
      <c r="F767" s="197"/>
    </row>
    <row r="768" spans="1:6" ht="15.75" customHeight="1">
      <c r="A768" s="216"/>
      <c r="B768" s="216"/>
      <c r="C768" s="216"/>
      <c r="D768" s="216"/>
      <c r="E768" s="197"/>
      <c r="F768" s="197"/>
    </row>
    <row r="769" spans="1:6" ht="15.75" customHeight="1">
      <c r="A769" s="216"/>
      <c r="B769" s="216"/>
      <c r="C769" s="216"/>
      <c r="D769" s="216"/>
      <c r="E769" s="197"/>
      <c r="F769" s="197"/>
    </row>
    <row r="770" spans="1:6" ht="15.75" customHeight="1">
      <c r="A770" s="216"/>
      <c r="B770" s="216"/>
      <c r="C770" s="216"/>
      <c r="D770" s="216"/>
      <c r="E770" s="197"/>
      <c r="F770" s="197"/>
    </row>
    <row r="771" spans="1:6" ht="15.75" customHeight="1">
      <c r="A771" s="216"/>
      <c r="B771" s="216"/>
      <c r="C771" s="216"/>
      <c r="D771" s="216"/>
      <c r="E771" s="197"/>
      <c r="F771" s="197"/>
    </row>
    <row r="772" spans="1:6" ht="15.75" customHeight="1">
      <c r="A772" s="216"/>
      <c r="B772" s="216"/>
      <c r="C772" s="216"/>
      <c r="D772" s="216"/>
      <c r="E772" s="197"/>
      <c r="F772" s="197"/>
    </row>
    <row r="773" spans="1:6" ht="15.75" customHeight="1">
      <c r="A773" s="216"/>
      <c r="B773" s="216"/>
      <c r="C773" s="216"/>
      <c r="D773" s="216"/>
      <c r="E773" s="197"/>
      <c r="F773" s="197"/>
    </row>
    <row r="774" spans="1:6" ht="15.75" customHeight="1">
      <c r="A774" s="216"/>
      <c r="B774" s="216"/>
      <c r="C774" s="216"/>
      <c r="D774" s="216"/>
      <c r="E774" s="197"/>
      <c r="F774" s="197"/>
    </row>
    <row r="775" spans="1:6" ht="15.75" customHeight="1">
      <c r="A775" s="216"/>
      <c r="B775" s="216"/>
      <c r="C775" s="216"/>
      <c r="D775" s="216"/>
      <c r="E775" s="197"/>
      <c r="F775" s="197"/>
    </row>
    <row r="776" spans="1:6" ht="15.75" customHeight="1">
      <c r="A776" s="216"/>
      <c r="B776" s="216"/>
      <c r="C776" s="216"/>
      <c r="D776" s="216"/>
      <c r="E776" s="197"/>
      <c r="F776" s="197"/>
    </row>
    <row r="777" spans="1:6" ht="15.75" customHeight="1">
      <c r="A777" s="216"/>
      <c r="B777" s="216"/>
      <c r="C777" s="216"/>
      <c r="D777" s="216"/>
      <c r="E777" s="197"/>
      <c r="F777" s="197"/>
    </row>
    <row r="778" spans="1:6" ht="15.75" customHeight="1">
      <c r="A778" s="216"/>
      <c r="B778" s="216"/>
      <c r="C778" s="216"/>
      <c r="D778" s="216"/>
      <c r="E778" s="197"/>
      <c r="F778" s="197"/>
    </row>
    <row r="779" spans="1:6" ht="15.75" customHeight="1">
      <c r="A779" s="216"/>
      <c r="B779" s="216"/>
      <c r="C779" s="216"/>
      <c r="D779" s="216"/>
      <c r="E779" s="197"/>
      <c r="F779" s="197"/>
    </row>
    <row r="780" spans="1:6" ht="15.75" customHeight="1">
      <c r="A780" s="216"/>
      <c r="B780" s="216"/>
      <c r="C780" s="216"/>
      <c r="D780" s="216"/>
      <c r="E780" s="197"/>
      <c r="F780" s="197"/>
    </row>
    <row r="781" spans="1:6" ht="15.75" customHeight="1">
      <c r="A781" s="216"/>
      <c r="B781" s="216"/>
      <c r="C781" s="216"/>
      <c r="D781" s="216"/>
      <c r="E781" s="197"/>
      <c r="F781" s="197"/>
    </row>
    <row r="782" spans="1:6" ht="15.75" customHeight="1">
      <c r="A782" s="216"/>
      <c r="B782" s="216"/>
      <c r="C782" s="216"/>
      <c r="D782" s="216"/>
      <c r="E782" s="197"/>
      <c r="F782" s="197"/>
    </row>
    <row r="783" spans="1:6" ht="15.75" customHeight="1">
      <c r="A783" s="216"/>
      <c r="B783" s="216"/>
      <c r="C783" s="216"/>
      <c r="D783" s="216"/>
      <c r="E783" s="197"/>
      <c r="F783" s="197"/>
    </row>
    <row r="784" spans="1:6" ht="15.75" customHeight="1">
      <c r="A784" s="216"/>
      <c r="B784" s="216"/>
      <c r="C784" s="216"/>
      <c r="D784" s="216"/>
      <c r="E784" s="197"/>
      <c r="F784" s="197"/>
    </row>
    <row r="785" spans="1:6" ht="15.75" customHeight="1">
      <c r="A785" s="216"/>
      <c r="B785" s="216"/>
      <c r="C785" s="216"/>
      <c r="D785" s="216"/>
      <c r="E785" s="197"/>
      <c r="F785" s="197"/>
    </row>
    <row r="786" spans="1:6" ht="15.75" customHeight="1">
      <c r="A786" s="216"/>
      <c r="B786" s="216"/>
      <c r="C786" s="216"/>
      <c r="D786" s="216"/>
      <c r="E786" s="197"/>
      <c r="F786" s="197"/>
    </row>
    <row r="787" spans="1:6" ht="15.75" customHeight="1">
      <c r="A787" s="216"/>
      <c r="B787" s="216"/>
      <c r="C787" s="216"/>
      <c r="D787" s="216"/>
      <c r="E787" s="197"/>
      <c r="F787" s="197"/>
    </row>
    <row r="788" spans="1:6" ht="15.75" customHeight="1">
      <c r="A788" s="216"/>
      <c r="B788" s="216"/>
      <c r="C788" s="216"/>
      <c r="D788" s="216"/>
      <c r="E788" s="197"/>
      <c r="F788" s="197"/>
    </row>
    <row r="789" spans="1:6" ht="15.75" customHeight="1">
      <c r="A789" s="216"/>
      <c r="B789" s="216"/>
      <c r="C789" s="216"/>
      <c r="D789" s="216"/>
      <c r="E789" s="197"/>
      <c r="F789" s="197"/>
    </row>
    <row r="790" spans="1:6" ht="15.75" customHeight="1">
      <c r="A790" s="216"/>
      <c r="B790" s="216"/>
      <c r="C790" s="216"/>
      <c r="D790" s="216"/>
      <c r="E790" s="197"/>
      <c r="F790" s="197"/>
    </row>
    <row r="791" spans="1:6" ht="15.75" customHeight="1">
      <c r="A791" s="216"/>
      <c r="B791" s="216"/>
      <c r="C791" s="216"/>
      <c r="D791" s="216"/>
      <c r="E791" s="197"/>
      <c r="F791" s="197"/>
    </row>
    <row r="792" spans="1:6" ht="15.75" customHeight="1">
      <c r="A792" s="216"/>
      <c r="B792" s="216"/>
      <c r="C792" s="216"/>
      <c r="D792" s="216"/>
      <c r="E792" s="197"/>
      <c r="F792" s="197"/>
    </row>
    <row r="793" spans="1:6" ht="15.75" customHeight="1">
      <c r="A793" s="216"/>
      <c r="B793" s="216"/>
      <c r="C793" s="216"/>
      <c r="D793" s="216"/>
      <c r="E793" s="197"/>
      <c r="F793" s="197"/>
    </row>
    <row r="794" spans="1:6" ht="15.75" customHeight="1">
      <c r="A794" s="216"/>
      <c r="B794" s="216"/>
      <c r="C794" s="216"/>
      <c r="D794" s="216"/>
      <c r="E794" s="197"/>
      <c r="F794" s="197"/>
    </row>
    <row r="795" spans="1:6" ht="15.75" customHeight="1">
      <c r="A795" s="216"/>
      <c r="B795" s="216"/>
      <c r="C795" s="216"/>
      <c r="D795" s="216"/>
      <c r="E795" s="197"/>
      <c r="F795" s="197"/>
    </row>
    <row r="796" spans="1:6" ht="15.75" customHeight="1">
      <c r="A796" s="216"/>
      <c r="B796" s="216"/>
      <c r="C796" s="216"/>
      <c r="D796" s="216"/>
      <c r="E796" s="197"/>
      <c r="F796" s="197"/>
    </row>
    <row r="797" spans="1:6" ht="15.75" customHeight="1">
      <c r="A797" s="216"/>
      <c r="B797" s="216"/>
      <c r="C797" s="216"/>
      <c r="D797" s="216"/>
      <c r="E797" s="197"/>
      <c r="F797" s="197"/>
    </row>
    <row r="798" spans="1:6" ht="15.75" customHeight="1">
      <c r="A798" s="216"/>
      <c r="B798" s="216"/>
      <c r="C798" s="216"/>
      <c r="D798" s="216"/>
      <c r="E798" s="197"/>
      <c r="F798" s="197"/>
    </row>
    <row r="799" spans="1:6" ht="15.75" customHeight="1">
      <c r="A799" s="216"/>
      <c r="B799" s="216"/>
      <c r="C799" s="216"/>
      <c r="D799" s="216"/>
      <c r="E799" s="197"/>
      <c r="F799" s="197"/>
    </row>
    <row r="800" spans="1:6" ht="15.75" customHeight="1">
      <c r="A800" s="216"/>
      <c r="B800" s="216"/>
      <c r="C800" s="216"/>
      <c r="D800" s="216"/>
      <c r="E800" s="197"/>
      <c r="F800" s="197"/>
    </row>
    <row r="801" spans="1:6" ht="15.75" customHeight="1">
      <c r="A801" s="216"/>
      <c r="B801" s="216"/>
      <c r="C801" s="216"/>
      <c r="D801" s="216"/>
      <c r="E801" s="197"/>
      <c r="F801" s="197"/>
    </row>
    <row r="802" spans="1:6" ht="15.75" customHeight="1">
      <c r="A802" s="216"/>
      <c r="B802" s="216"/>
      <c r="C802" s="216"/>
      <c r="D802" s="216"/>
      <c r="E802" s="197"/>
      <c r="F802" s="197"/>
    </row>
    <row r="803" spans="1:6" ht="15.75" customHeight="1">
      <c r="A803" s="216"/>
      <c r="B803" s="216"/>
      <c r="C803" s="216"/>
      <c r="D803" s="216"/>
      <c r="E803" s="197"/>
      <c r="F803" s="197"/>
    </row>
    <row r="804" spans="1:6" ht="15.75" customHeight="1">
      <c r="A804" s="216"/>
      <c r="B804" s="216"/>
      <c r="C804" s="216"/>
      <c r="D804" s="216"/>
      <c r="E804" s="197"/>
      <c r="F804" s="197"/>
    </row>
    <row r="805" spans="1:6" ht="15.75" customHeight="1">
      <c r="A805" s="216"/>
      <c r="B805" s="216"/>
      <c r="C805" s="216"/>
      <c r="D805" s="216"/>
      <c r="E805" s="197"/>
      <c r="F805" s="197"/>
    </row>
    <row r="806" spans="1:6" ht="15.75" customHeight="1">
      <c r="A806" s="216"/>
      <c r="B806" s="216"/>
      <c r="C806" s="216"/>
      <c r="D806" s="216"/>
      <c r="E806" s="197"/>
      <c r="F806" s="197"/>
    </row>
    <row r="807" spans="1:6" ht="15.75" customHeight="1">
      <c r="A807" s="216"/>
      <c r="B807" s="216"/>
      <c r="C807" s="216"/>
      <c r="D807" s="216"/>
      <c r="E807" s="197"/>
      <c r="F807" s="197"/>
    </row>
    <row r="808" spans="1:6" ht="15.75" customHeight="1">
      <c r="A808" s="216"/>
      <c r="B808" s="216"/>
      <c r="C808" s="216"/>
      <c r="D808" s="216"/>
      <c r="E808" s="197"/>
      <c r="F808" s="197"/>
    </row>
    <row r="809" spans="1:6" ht="15.75" customHeight="1">
      <c r="A809" s="216"/>
      <c r="B809" s="216"/>
      <c r="C809" s="216"/>
      <c r="D809" s="216"/>
      <c r="E809" s="197"/>
      <c r="F809" s="197"/>
    </row>
    <row r="810" spans="1:6" ht="15.75" customHeight="1">
      <c r="A810" s="216"/>
      <c r="B810" s="216"/>
      <c r="C810" s="216"/>
      <c r="D810" s="216"/>
      <c r="E810" s="197"/>
      <c r="F810" s="197"/>
    </row>
    <row r="811" spans="1:6" ht="15.75" customHeight="1">
      <c r="A811" s="216"/>
      <c r="B811" s="216"/>
      <c r="C811" s="216"/>
      <c r="D811" s="216"/>
      <c r="E811" s="197"/>
      <c r="F811" s="197"/>
    </row>
    <row r="812" spans="1:6" ht="15.75" customHeight="1">
      <c r="A812" s="216"/>
      <c r="B812" s="216"/>
      <c r="C812" s="216"/>
      <c r="D812" s="216"/>
      <c r="E812" s="197"/>
      <c r="F812" s="197"/>
    </row>
    <row r="813" spans="1:6" ht="15.75" customHeight="1">
      <c r="A813" s="216"/>
      <c r="B813" s="216"/>
      <c r="C813" s="216"/>
      <c r="D813" s="216"/>
      <c r="E813" s="197"/>
      <c r="F813" s="197"/>
    </row>
    <row r="814" spans="1:6" ht="15.75" customHeight="1">
      <c r="A814" s="216"/>
      <c r="B814" s="216"/>
      <c r="C814" s="216"/>
      <c r="D814" s="216"/>
      <c r="E814" s="197"/>
      <c r="F814" s="197"/>
    </row>
    <row r="815" spans="1:6" ht="15.75" customHeight="1">
      <c r="A815" s="216"/>
      <c r="B815" s="216"/>
      <c r="C815" s="216"/>
      <c r="D815" s="216"/>
      <c r="E815" s="197"/>
      <c r="F815" s="197"/>
    </row>
    <row r="816" spans="1:6" ht="15.75" customHeight="1">
      <c r="A816" s="216"/>
      <c r="B816" s="216"/>
      <c r="C816" s="216"/>
      <c r="D816" s="216"/>
      <c r="E816" s="197"/>
      <c r="F816" s="197"/>
    </row>
    <row r="817" spans="1:6" ht="15.75" customHeight="1">
      <c r="A817" s="216"/>
      <c r="B817" s="216"/>
      <c r="C817" s="216"/>
      <c r="D817" s="216"/>
      <c r="E817" s="197"/>
      <c r="F817" s="197"/>
    </row>
    <row r="818" spans="1:6" ht="15.75" customHeight="1">
      <c r="A818" s="216"/>
      <c r="B818" s="216"/>
      <c r="C818" s="216"/>
      <c r="D818" s="216"/>
      <c r="E818" s="197"/>
      <c r="F818" s="197"/>
    </row>
    <row r="819" spans="1:6" ht="15.75" customHeight="1">
      <c r="A819" s="216"/>
      <c r="B819" s="216"/>
      <c r="C819" s="216"/>
      <c r="D819" s="216"/>
      <c r="E819" s="197"/>
      <c r="F819" s="197"/>
    </row>
    <row r="820" spans="1:6" ht="15.75" customHeight="1">
      <c r="A820" s="216"/>
      <c r="B820" s="216"/>
      <c r="C820" s="216"/>
      <c r="D820" s="216"/>
      <c r="E820" s="197"/>
      <c r="F820" s="197"/>
    </row>
    <row r="821" spans="1:6" ht="15.75" customHeight="1">
      <c r="A821" s="216"/>
      <c r="B821" s="216"/>
      <c r="C821" s="216"/>
      <c r="D821" s="216"/>
      <c r="E821" s="197"/>
      <c r="F821" s="197"/>
    </row>
    <row r="822" spans="1:6" ht="15.75" customHeight="1">
      <c r="A822" s="216"/>
      <c r="B822" s="216"/>
      <c r="C822" s="216"/>
      <c r="D822" s="216"/>
      <c r="E822" s="197"/>
      <c r="F822" s="197"/>
    </row>
    <row r="823" spans="1:6" ht="15.75" customHeight="1">
      <c r="A823" s="216"/>
      <c r="B823" s="216"/>
      <c r="C823" s="216"/>
      <c r="D823" s="216"/>
      <c r="E823" s="197"/>
      <c r="F823" s="197"/>
    </row>
    <row r="824" spans="1:6" ht="15.75" customHeight="1">
      <c r="A824" s="216"/>
      <c r="B824" s="216"/>
      <c r="C824" s="216"/>
      <c r="D824" s="216"/>
      <c r="E824" s="197"/>
      <c r="F824" s="197"/>
    </row>
    <row r="825" spans="1:6" ht="15.75" customHeight="1">
      <c r="A825" s="216"/>
      <c r="B825" s="216"/>
      <c r="C825" s="216"/>
      <c r="D825" s="216"/>
      <c r="E825" s="197"/>
      <c r="F825" s="197"/>
    </row>
    <row r="826" spans="1:6" ht="15.75" customHeight="1">
      <c r="A826" s="216"/>
      <c r="B826" s="216"/>
      <c r="C826" s="216"/>
      <c r="D826" s="216"/>
      <c r="E826" s="197"/>
      <c r="F826" s="197"/>
    </row>
    <row r="827" spans="1:6" ht="15.75" customHeight="1">
      <c r="A827" s="216"/>
      <c r="B827" s="216"/>
      <c r="C827" s="216"/>
      <c r="D827" s="216"/>
      <c r="E827" s="197"/>
      <c r="F827" s="197"/>
    </row>
    <row r="828" spans="1:6" ht="15.75" customHeight="1">
      <c r="A828" s="216"/>
      <c r="B828" s="216"/>
      <c r="C828" s="216"/>
      <c r="D828" s="216"/>
      <c r="E828" s="197"/>
      <c r="F828" s="197"/>
    </row>
    <row r="829" spans="1:6" ht="15.75" customHeight="1">
      <c r="A829" s="216"/>
      <c r="B829" s="216"/>
      <c r="C829" s="216"/>
      <c r="D829" s="216"/>
      <c r="E829" s="197"/>
      <c r="F829" s="197"/>
    </row>
    <row r="830" spans="1:6" ht="15.75" customHeight="1">
      <c r="A830" s="216"/>
      <c r="B830" s="216"/>
      <c r="C830" s="216"/>
      <c r="D830" s="216"/>
      <c r="E830" s="197"/>
      <c r="F830" s="197"/>
    </row>
    <row r="831" spans="1:6" ht="15.75" customHeight="1">
      <c r="A831" s="216"/>
      <c r="B831" s="216"/>
      <c r="C831" s="216"/>
      <c r="D831" s="216"/>
      <c r="E831" s="197"/>
      <c r="F831" s="197"/>
    </row>
    <row r="832" spans="1:6" ht="15.75" customHeight="1">
      <c r="A832" s="216"/>
      <c r="B832" s="216"/>
      <c r="C832" s="216"/>
      <c r="D832" s="216"/>
      <c r="E832" s="197"/>
      <c r="F832" s="197"/>
    </row>
    <row r="833" spans="1:6" ht="15.75" customHeight="1">
      <c r="A833" s="216"/>
      <c r="B833" s="216"/>
      <c r="C833" s="216"/>
      <c r="D833" s="216"/>
      <c r="E833" s="197"/>
      <c r="F833" s="197"/>
    </row>
    <row r="834" spans="1:6" ht="15.75" customHeight="1">
      <c r="A834" s="216"/>
      <c r="B834" s="216"/>
      <c r="C834" s="216"/>
      <c r="D834" s="216"/>
      <c r="E834" s="197"/>
      <c r="F834" s="197"/>
    </row>
    <row r="835" spans="1:6" ht="15.75" customHeight="1">
      <c r="A835" s="216"/>
      <c r="B835" s="216"/>
      <c r="C835" s="216"/>
      <c r="D835" s="216"/>
      <c r="E835" s="197"/>
      <c r="F835" s="197"/>
    </row>
    <row r="836" spans="1:6" ht="15.75" customHeight="1">
      <c r="A836" s="216"/>
      <c r="B836" s="216"/>
      <c r="C836" s="216"/>
      <c r="D836" s="216"/>
      <c r="E836" s="197"/>
      <c r="F836" s="197"/>
    </row>
    <row r="837" spans="1:6" ht="15.75" customHeight="1">
      <c r="A837" s="216"/>
      <c r="B837" s="216"/>
      <c r="C837" s="216"/>
      <c r="D837" s="216"/>
      <c r="E837" s="197"/>
      <c r="F837" s="197"/>
    </row>
    <row r="838" spans="1:6" ht="15.75" customHeight="1">
      <c r="A838" s="216"/>
      <c r="B838" s="216"/>
      <c r="C838" s="216"/>
      <c r="D838" s="216"/>
      <c r="E838" s="197"/>
      <c r="F838" s="197"/>
    </row>
    <row r="839" spans="1:6" ht="15.75" customHeight="1">
      <c r="A839" s="216"/>
      <c r="B839" s="216"/>
      <c r="C839" s="216"/>
      <c r="D839" s="216"/>
      <c r="E839" s="197"/>
      <c r="F839" s="197"/>
    </row>
    <row r="840" spans="1:6" ht="15.75" customHeight="1">
      <c r="A840" s="216"/>
      <c r="B840" s="216"/>
      <c r="C840" s="216"/>
      <c r="D840" s="216"/>
      <c r="E840" s="197"/>
      <c r="F840" s="197"/>
    </row>
    <row r="841" spans="1:6" ht="15.75" customHeight="1">
      <c r="A841" s="216"/>
      <c r="B841" s="216"/>
      <c r="C841" s="216"/>
      <c r="D841" s="216"/>
      <c r="E841" s="197"/>
      <c r="F841" s="197"/>
    </row>
    <row r="842" spans="1:6" ht="15.75" customHeight="1">
      <c r="A842" s="216"/>
      <c r="B842" s="216"/>
      <c r="C842" s="216"/>
      <c r="D842" s="216"/>
      <c r="E842" s="197"/>
      <c r="F842" s="197"/>
    </row>
    <row r="843" spans="1:6" ht="15.75" customHeight="1">
      <c r="A843" s="216"/>
      <c r="B843" s="216"/>
      <c r="C843" s="216"/>
      <c r="D843" s="216"/>
      <c r="E843" s="197"/>
      <c r="F843" s="197"/>
    </row>
    <row r="844" spans="1:6" ht="15.75" customHeight="1">
      <c r="A844" s="216"/>
      <c r="B844" s="216"/>
      <c r="C844" s="216"/>
      <c r="D844" s="216"/>
      <c r="E844" s="197"/>
      <c r="F844" s="197"/>
    </row>
    <row r="845" spans="1:6" ht="15.75" customHeight="1">
      <c r="A845" s="216"/>
      <c r="B845" s="216"/>
      <c r="C845" s="216"/>
      <c r="D845" s="216"/>
      <c r="E845" s="197"/>
      <c r="F845" s="197"/>
    </row>
    <row r="846" spans="1:6" ht="15.75" customHeight="1">
      <c r="A846" s="216"/>
      <c r="B846" s="216"/>
      <c r="C846" s="216"/>
      <c r="D846" s="216"/>
      <c r="E846" s="197"/>
      <c r="F846" s="197"/>
    </row>
    <row r="847" spans="1:6" ht="15.75" customHeight="1">
      <c r="A847" s="216"/>
      <c r="B847" s="216"/>
      <c r="C847" s="216"/>
      <c r="D847" s="216"/>
      <c r="E847" s="197"/>
      <c r="F847" s="197"/>
    </row>
    <row r="848" spans="1:6" ht="15.75" customHeight="1">
      <c r="A848" s="216"/>
      <c r="B848" s="216"/>
      <c r="C848" s="216"/>
      <c r="D848" s="216"/>
      <c r="E848" s="197"/>
      <c r="F848" s="197"/>
    </row>
    <row r="849" spans="1:6" ht="15.75" customHeight="1">
      <c r="A849" s="216"/>
      <c r="B849" s="216"/>
      <c r="C849" s="216"/>
      <c r="D849" s="216"/>
      <c r="E849" s="197"/>
      <c r="F849" s="197"/>
    </row>
    <row r="850" spans="1:6" ht="15.75" customHeight="1">
      <c r="A850" s="216"/>
      <c r="B850" s="216"/>
      <c r="C850" s="216"/>
      <c r="D850" s="216"/>
      <c r="E850" s="197"/>
      <c r="F850" s="197"/>
    </row>
    <row r="851" spans="1:6" ht="15.75" customHeight="1">
      <c r="A851" s="216"/>
      <c r="B851" s="216"/>
      <c r="C851" s="216"/>
      <c r="D851" s="216"/>
      <c r="E851" s="197"/>
      <c r="F851" s="197"/>
    </row>
    <row r="852" spans="1:6" ht="15.75" customHeight="1">
      <c r="A852" s="216"/>
      <c r="B852" s="216"/>
      <c r="C852" s="216"/>
      <c r="D852" s="216"/>
      <c r="E852" s="197"/>
      <c r="F852" s="197"/>
    </row>
    <row r="853" spans="1:6" ht="15.75" customHeight="1">
      <c r="A853" s="216"/>
      <c r="B853" s="216"/>
      <c r="C853" s="216"/>
      <c r="D853" s="216"/>
      <c r="E853" s="197"/>
      <c r="F853" s="197"/>
    </row>
    <row r="854" spans="1:6" ht="15.75" customHeight="1">
      <c r="A854" s="216"/>
      <c r="B854" s="216"/>
      <c r="C854" s="216"/>
      <c r="D854" s="216"/>
      <c r="E854" s="197"/>
      <c r="F854" s="197"/>
    </row>
    <row r="855" spans="1:6" ht="15.75" customHeight="1">
      <c r="A855" s="216"/>
      <c r="B855" s="216"/>
      <c r="C855" s="216"/>
      <c r="D855" s="216"/>
      <c r="E855" s="197"/>
      <c r="F855" s="197"/>
    </row>
    <row r="856" spans="1:6" ht="15.75" customHeight="1">
      <c r="A856" s="216"/>
      <c r="B856" s="216"/>
      <c r="C856" s="216"/>
      <c r="D856" s="216"/>
      <c r="E856" s="197"/>
      <c r="F856" s="197"/>
    </row>
    <row r="857" spans="1:6" ht="15.75" customHeight="1">
      <c r="A857" s="216"/>
      <c r="B857" s="216"/>
      <c r="C857" s="216"/>
      <c r="D857" s="216"/>
      <c r="E857" s="197"/>
      <c r="F857" s="197"/>
    </row>
    <row r="858" spans="1:6" ht="15.75" customHeight="1">
      <c r="A858" s="216"/>
      <c r="B858" s="216"/>
      <c r="C858" s="216"/>
      <c r="D858" s="216"/>
      <c r="E858" s="197"/>
      <c r="F858" s="197"/>
    </row>
    <row r="859" spans="1:6" ht="15.75" customHeight="1">
      <c r="A859" s="216"/>
      <c r="B859" s="216"/>
      <c r="C859" s="216"/>
      <c r="D859" s="216"/>
      <c r="E859" s="197"/>
      <c r="F859" s="197"/>
    </row>
    <row r="860" spans="1:6" ht="15.75" customHeight="1">
      <c r="A860" s="216"/>
      <c r="B860" s="216"/>
      <c r="C860" s="216"/>
      <c r="D860" s="216"/>
      <c r="E860" s="197"/>
      <c r="F860" s="197"/>
    </row>
    <row r="861" spans="1:6" ht="15.75" customHeight="1">
      <c r="A861" s="216"/>
      <c r="B861" s="216"/>
      <c r="C861" s="216"/>
      <c r="D861" s="216"/>
      <c r="E861" s="197"/>
      <c r="F861" s="197"/>
    </row>
    <row r="862" spans="1:6" ht="15.75" customHeight="1">
      <c r="A862" s="216"/>
      <c r="B862" s="216"/>
      <c r="C862" s="216"/>
      <c r="D862" s="216"/>
      <c r="E862" s="197"/>
      <c r="F862" s="197"/>
    </row>
    <row r="863" spans="1:6" ht="15.75" customHeight="1">
      <c r="A863" s="216"/>
      <c r="B863" s="216"/>
      <c r="C863" s="216"/>
      <c r="D863" s="216"/>
      <c r="E863" s="197"/>
      <c r="F863" s="197"/>
    </row>
    <row r="864" spans="1:6" ht="15.75" customHeight="1">
      <c r="A864" s="216"/>
      <c r="B864" s="216"/>
      <c r="C864" s="216"/>
      <c r="D864" s="216"/>
      <c r="E864" s="197"/>
      <c r="F864" s="197"/>
    </row>
    <row r="865" spans="1:6" ht="15.75" customHeight="1">
      <c r="A865" s="216"/>
      <c r="B865" s="216"/>
      <c r="C865" s="216"/>
      <c r="D865" s="216"/>
      <c r="E865" s="197"/>
      <c r="F865" s="197"/>
    </row>
    <row r="866" spans="1:6" ht="15.75" customHeight="1">
      <c r="A866" s="216"/>
      <c r="B866" s="216"/>
      <c r="C866" s="216"/>
      <c r="D866" s="216"/>
      <c r="E866" s="197"/>
      <c r="F866" s="197"/>
    </row>
    <row r="867" spans="1:6" ht="15.75" customHeight="1">
      <c r="A867" s="216"/>
      <c r="B867" s="216"/>
      <c r="C867" s="216"/>
      <c r="D867" s="216"/>
      <c r="E867" s="197"/>
      <c r="F867" s="197"/>
    </row>
    <row r="868" spans="1:6" ht="15.75" customHeight="1">
      <c r="A868" s="216"/>
      <c r="B868" s="216"/>
      <c r="C868" s="216"/>
      <c r="D868" s="216"/>
      <c r="E868" s="197"/>
      <c r="F868" s="197"/>
    </row>
    <row r="869" spans="1:6" ht="15.75" customHeight="1">
      <c r="A869" s="216"/>
      <c r="B869" s="216"/>
      <c r="C869" s="216"/>
      <c r="D869" s="216"/>
      <c r="E869" s="197"/>
      <c r="F869" s="197"/>
    </row>
    <row r="870" spans="1:6" ht="15.75" customHeight="1">
      <c r="A870" s="216"/>
      <c r="B870" s="216"/>
      <c r="C870" s="216"/>
      <c r="D870" s="216"/>
      <c r="E870" s="197"/>
      <c r="F870" s="197"/>
    </row>
    <row r="871" spans="1:6" ht="15.75" customHeight="1">
      <c r="A871" s="216"/>
      <c r="B871" s="216"/>
      <c r="C871" s="216"/>
      <c r="D871" s="216"/>
      <c r="E871" s="197"/>
      <c r="F871" s="197"/>
    </row>
    <row r="872" spans="1:6" ht="15.75" customHeight="1">
      <c r="A872" s="216"/>
      <c r="B872" s="216"/>
      <c r="C872" s="216"/>
      <c r="D872" s="216"/>
      <c r="E872" s="197"/>
      <c r="F872" s="197"/>
    </row>
    <row r="873" spans="1:6" ht="15.75" customHeight="1">
      <c r="A873" s="216"/>
      <c r="B873" s="216"/>
      <c r="C873" s="216"/>
      <c r="D873" s="216"/>
      <c r="E873" s="197"/>
      <c r="F873" s="197"/>
    </row>
    <row r="874" spans="1:6" ht="15.75" customHeight="1">
      <c r="A874" s="216"/>
      <c r="B874" s="216"/>
      <c r="C874" s="216"/>
      <c r="D874" s="216"/>
      <c r="E874" s="197"/>
      <c r="F874" s="197"/>
    </row>
    <row r="875" spans="1:6" ht="15.75" customHeight="1">
      <c r="A875" s="216"/>
      <c r="B875" s="216"/>
      <c r="C875" s="216"/>
      <c r="D875" s="216"/>
      <c r="E875" s="197"/>
      <c r="F875" s="197"/>
    </row>
    <row r="876" spans="1:6" ht="15.75" customHeight="1">
      <c r="A876" s="216"/>
      <c r="B876" s="216"/>
      <c r="C876" s="216"/>
      <c r="D876" s="216"/>
      <c r="E876" s="197"/>
      <c r="F876" s="197"/>
    </row>
    <row r="877" spans="1:6" ht="15.75" customHeight="1">
      <c r="A877" s="216"/>
      <c r="B877" s="216"/>
      <c r="C877" s="216"/>
      <c r="D877" s="216"/>
      <c r="E877" s="197"/>
      <c r="F877" s="197"/>
    </row>
    <row r="878" spans="1:6" ht="15.75" customHeight="1">
      <c r="A878" s="216"/>
      <c r="B878" s="216"/>
      <c r="C878" s="216"/>
      <c r="D878" s="216"/>
      <c r="E878" s="197"/>
      <c r="F878" s="197"/>
    </row>
    <row r="879" spans="1:6" ht="15.75" customHeight="1">
      <c r="A879" s="216"/>
      <c r="B879" s="216"/>
      <c r="C879" s="216"/>
      <c r="D879" s="216"/>
      <c r="E879" s="197"/>
      <c r="F879" s="197"/>
    </row>
    <row r="880" spans="1:6" ht="15.75" customHeight="1">
      <c r="A880" s="216"/>
      <c r="B880" s="216"/>
      <c r="C880" s="216"/>
      <c r="D880" s="216"/>
      <c r="E880" s="197"/>
      <c r="F880" s="197"/>
    </row>
    <row r="881" spans="1:6" ht="15.75" customHeight="1">
      <c r="A881" s="216"/>
      <c r="B881" s="216"/>
      <c r="C881" s="216"/>
      <c r="D881" s="216"/>
      <c r="E881" s="197"/>
      <c r="F881" s="197"/>
    </row>
    <row r="882" spans="1:6" ht="15.75" customHeight="1">
      <c r="A882" s="216"/>
      <c r="B882" s="216"/>
      <c r="C882" s="216"/>
      <c r="D882" s="216"/>
      <c r="E882" s="197"/>
      <c r="F882" s="197"/>
    </row>
    <row r="883" spans="1:6" ht="15.75" customHeight="1">
      <c r="A883" s="216"/>
      <c r="B883" s="216"/>
      <c r="C883" s="216"/>
      <c r="D883" s="216"/>
      <c r="E883" s="197"/>
      <c r="F883" s="197"/>
    </row>
    <row r="884" spans="1:6" ht="15.75" customHeight="1">
      <c r="A884" s="216"/>
      <c r="B884" s="216"/>
      <c r="C884" s="216"/>
      <c r="D884" s="216"/>
      <c r="E884" s="197"/>
      <c r="F884" s="197"/>
    </row>
    <row r="885" spans="1:6" ht="15.75" customHeight="1">
      <c r="A885" s="216"/>
      <c r="B885" s="216"/>
      <c r="C885" s="216"/>
      <c r="D885" s="216"/>
      <c r="E885" s="197"/>
      <c r="F885" s="197"/>
    </row>
    <row r="886" spans="1:6" ht="15.75" customHeight="1">
      <c r="A886" s="216"/>
      <c r="B886" s="216"/>
      <c r="C886" s="216"/>
      <c r="D886" s="216"/>
      <c r="E886" s="197"/>
      <c r="F886" s="197"/>
    </row>
    <row r="887" spans="1:6" ht="15.75" customHeight="1">
      <c r="A887" s="216"/>
      <c r="B887" s="216"/>
      <c r="C887" s="216"/>
      <c r="D887" s="216"/>
      <c r="E887" s="197"/>
      <c r="F887" s="197"/>
    </row>
    <row r="888" spans="1:6" ht="15.75" customHeight="1">
      <c r="A888" s="216"/>
      <c r="B888" s="216"/>
      <c r="C888" s="216"/>
      <c r="D888" s="216"/>
      <c r="E888" s="197"/>
      <c r="F888" s="197"/>
    </row>
    <row r="889" spans="1:6" ht="15.75" customHeight="1">
      <c r="A889" s="216"/>
      <c r="B889" s="216"/>
      <c r="C889" s="216"/>
      <c r="D889" s="216"/>
      <c r="E889" s="197"/>
      <c r="F889" s="197"/>
    </row>
    <row r="890" spans="1:6" ht="15.75" customHeight="1">
      <c r="A890" s="216"/>
      <c r="B890" s="216"/>
      <c r="C890" s="216"/>
      <c r="D890" s="216"/>
      <c r="E890" s="197"/>
      <c r="F890" s="197"/>
    </row>
    <row r="891" spans="1:6" ht="15.75" customHeight="1">
      <c r="A891" s="216"/>
      <c r="B891" s="216"/>
      <c r="C891" s="216"/>
      <c r="D891" s="216"/>
      <c r="E891" s="197"/>
      <c r="F891" s="197"/>
    </row>
    <row r="892" spans="1:6" ht="15.75" customHeight="1">
      <c r="A892" s="216"/>
      <c r="B892" s="216"/>
      <c r="C892" s="216"/>
      <c r="D892" s="216"/>
      <c r="E892" s="197"/>
      <c r="F892" s="197"/>
    </row>
    <row r="893" spans="1:6" ht="15.75" customHeight="1">
      <c r="A893" s="216"/>
      <c r="B893" s="216"/>
      <c r="C893" s="216"/>
      <c r="D893" s="216"/>
      <c r="E893" s="197"/>
      <c r="F893" s="197"/>
    </row>
    <row r="894" spans="1:6" ht="15.75" customHeight="1">
      <c r="A894" s="216"/>
      <c r="B894" s="216"/>
      <c r="C894" s="216"/>
      <c r="D894" s="216"/>
      <c r="E894" s="197"/>
      <c r="F894" s="197"/>
    </row>
    <row r="895" spans="1:6" ht="15.75" customHeight="1">
      <c r="A895" s="216"/>
      <c r="B895" s="216"/>
      <c r="C895" s="216"/>
      <c r="D895" s="216"/>
      <c r="E895" s="197"/>
      <c r="F895" s="197"/>
    </row>
    <row r="896" spans="1:6" ht="15.75" customHeight="1">
      <c r="A896" s="216"/>
      <c r="B896" s="216"/>
      <c r="C896" s="216"/>
      <c r="D896" s="216"/>
      <c r="E896" s="197"/>
      <c r="F896" s="197"/>
    </row>
    <row r="897" spans="1:6" ht="15.75" customHeight="1">
      <c r="A897" s="216"/>
      <c r="B897" s="216"/>
      <c r="C897" s="216"/>
      <c r="D897" s="216"/>
      <c r="E897" s="197"/>
      <c r="F897" s="197"/>
    </row>
    <row r="898" spans="1:6" ht="15.75" customHeight="1">
      <c r="A898" s="216"/>
      <c r="B898" s="216"/>
      <c r="C898" s="216"/>
      <c r="D898" s="216"/>
      <c r="E898" s="197"/>
      <c r="F898" s="197"/>
    </row>
    <row r="899" spans="1:6" ht="15.75" customHeight="1">
      <c r="A899" s="216"/>
      <c r="B899" s="216"/>
      <c r="C899" s="216"/>
      <c r="D899" s="216"/>
      <c r="E899" s="197"/>
      <c r="F899" s="197"/>
    </row>
    <row r="900" spans="1:6" ht="15.75" customHeight="1">
      <c r="A900" s="216"/>
      <c r="B900" s="216"/>
      <c r="C900" s="216"/>
      <c r="D900" s="216"/>
      <c r="E900" s="197"/>
      <c r="F900" s="197"/>
    </row>
    <row r="901" spans="1:6" ht="15.75" customHeight="1">
      <c r="A901" s="216"/>
      <c r="B901" s="216"/>
      <c r="C901" s="216"/>
      <c r="D901" s="216"/>
      <c r="E901" s="197"/>
      <c r="F901" s="197"/>
    </row>
    <row r="902" spans="1:6" ht="15.75" customHeight="1">
      <c r="A902" s="216"/>
      <c r="B902" s="216"/>
      <c r="C902" s="216"/>
      <c r="D902" s="216"/>
      <c r="E902" s="197"/>
      <c r="F902" s="197"/>
    </row>
    <row r="903" spans="1:6" ht="15.75" customHeight="1">
      <c r="A903" s="216"/>
      <c r="B903" s="216"/>
      <c r="C903" s="216"/>
      <c r="D903" s="216"/>
      <c r="E903" s="197"/>
      <c r="F903" s="197"/>
    </row>
    <row r="904" spans="1:6" ht="15" customHeight="1">
      <c r="A904" s="216"/>
      <c r="B904" s="216"/>
      <c r="C904" s="216"/>
      <c r="D904" s="216"/>
      <c r="E904" s="197"/>
      <c r="F904" s="197"/>
    </row>
    <row r="905" spans="1:6" ht="15" customHeight="1">
      <c r="A905" s="216"/>
      <c r="B905" s="216"/>
      <c r="C905" s="216"/>
      <c r="D905" s="216"/>
      <c r="E905" s="197"/>
      <c r="F905" s="197"/>
    </row>
    <row r="906" spans="1:6" ht="15" customHeight="1">
      <c r="A906" s="216"/>
      <c r="B906" s="216"/>
      <c r="C906" s="216"/>
      <c r="D906" s="216"/>
      <c r="E906" s="197"/>
      <c r="F906" s="197"/>
    </row>
    <row r="907" spans="1:6" ht="15" customHeight="1">
      <c r="A907" s="216"/>
      <c r="B907" s="216"/>
      <c r="C907" s="216"/>
      <c r="D907" s="216"/>
      <c r="E907" s="197"/>
      <c r="F907" s="197"/>
    </row>
    <row r="908" spans="1:6" ht="15" customHeight="1">
      <c r="A908" s="216"/>
      <c r="B908" s="216"/>
      <c r="C908" s="216"/>
      <c r="D908" s="216"/>
      <c r="E908" s="197"/>
      <c r="F908" s="197"/>
    </row>
    <row r="909" spans="1:6" ht="15" customHeight="1">
      <c r="A909" s="216"/>
      <c r="B909" s="216"/>
      <c r="C909" s="216"/>
      <c r="D909" s="216"/>
      <c r="E909" s="197"/>
      <c r="F909" s="197"/>
    </row>
    <row r="910" spans="1:6" ht="15" customHeight="1">
      <c r="A910" s="216"/>
      <c r="B910" s="216"/>
      <c r="C910" s="216"/>
      <c r="D910" s="216"/>
      <c r="E910" s="197"/>
      <c r="F910" s="197"/>
    </row>
    <row r="911" spans="1:6" ht="15" customHeight="1">
      <c r="A911" s="216"/>
      <c r="B911" s="216"/>
      <c r="C911" s="216"/>
      <c r="D911" s="216"/>
      <c r="E911" s="197"/>
      <c r="F911" s="197"/>
    </row>
    <row r="912" spans="1:6" ht="15" customHeight="1">
      <c r="A912" s="216"/>
      <c r="B912" s="216"/>
      <c r="C912" s="216"/>
      <c r="D912" s="216"/>
      <c r="E912" s="197"/>
      <c r="F912" s="197"/>
    </row>
    <row r="913" spans="1:6" ht="15" customHeight="1">
      <c r="A913" s="216"/>
      <c r="B913" s="216"/>
      <c r="C913" s="216"/>
      <c r="D913" s="216"/>
      <c r="E913" s="197"/>
      <c r="F913" s="197"/>
    </row>
    <row r="914" spans="1:6" ht="15" customHeight="1">
      <c r="A914" s="216"/>
      <c r="B914" s="216"/>
      <c r="C914" s="216"/>
      <c r="D914" s="216"/>
      <c r="E914" s="197"/>
      <c r="F914" s="197"/>
    </row>
    <row r="915" spans="1:6" ht="15" customHeight="1">
      <c r="A915" s="216"/>
      <c r="B915" s="216"/>
      <c r="C915" s="216"/>
      <c r="D915" s="216"/>
      <c r="E915" s="197"/>
      <c r="F915" s="197"/>
    </row>
    <row r="916" spans="1:6" ht="15" customHeight="1">
      <c r="A916" s="216"/>
      <c r="B916" s="216"/>
      <c r="C916" s="216"/>
      <c r="D916" s="216"/>
      <c r="E916" s="197"/>
      <c r="F916" s="197"/>
    </row>
    <row r="917" spans="1:6" ht="15" customHeight="1">
      <c r="A917" s="216"/>
      <c r="B917" s="216"/>
      <c r="C917" s="216"/>
      <c r="D917" s="216"/>
      <c r="E917" s="197"/>
      <c r="F917" s="197"/>
    </row>
    <row r="918" spans="1:6" ht="15" customHeight="1">
      <c r="A918" s="216"/>
      <c r="B918" s="216"/>
      <c r="C918" s="216"/>
      <c r="D918" s="216"/>
      <c r="E918" s="197"/>
      <c r="F918" s="197"/>
    </row>
    <row r="919" spans="1:6" ht="15" customHeight="1">
      <c r="A919" s="216"/>
      <c r="B919" s="216"/>
      <c r="C919" s="216"/>
      <c r="D919" s="216"/>
      <c r="E919" s="197"/>
      <c r="F919" s="197"/>
    </row>
    <row r="920" spans="1:6" ht="15" customHeight="1">
      <c r="A920" s="216"/>
      <c r="B920" s="216"/>
      <c r="C920" s="216"/>
      <c r="D920" s="216"/>
      <c r="E920" s="197"/>
      <c r="F920" s="197"/>
    </row>
    <row r="921" spans="1:6" ht="15" customHeight="1">
      <c r="A921" s="216"/>
      <c r="B921" s="216"/>
      <c r="C921" s="216"/>
      <c r="D921" s="216"/>
      <c r="E921" s="197"/>
      <c r="F921" s="197"/>
    </row>
    <row r="922" spans="1:6" ht="15" customHeight="1">
      <c r="A922" s="216"/>
      <c r="B922" s="216"/>
      <c r="C922" s="216"/>
      <c r="D922" s="216"/>
      <c r="E922" s="197"/>
      <c r="F922" s="197"/>
    </row>
    <row r="923" spans="1:6" ht="15" customHeight="1">
      <c r="A923" s="216"/>
      <c r="B923" s="216"/>
      <c r="C923" s="216"/>
      <c r="D923" s="216"/>
      <c r="E923" s="197"/>
      <c r="F923" s="197"/>
    </row>
    <row r="924" spans="1:6" ht="15" customHeight="1">
      <c r="A924" s="216"/>
      <c r="B924" s="216"/>
      <c r="C924" s="216"/>
      <c r="D924" s="216"/>
      <c r="E924" s="197"/>
      <c r="F924" s="197"/>
    </row>
    <row r="925" spans="1:6" ht="15" customHeight="1">
      <c r="A925" s="216"/>
      <c r="B925" s="216"/>
      <c r="C925" s="216"/>
      <c r="D925" s="216"/>
      <c r="E925" s="197"/>
      <c r="F925" s="197"/>
    </row>
    <row r="926" spans="1:6" ht="15" customHeight="1">
      <c r="A926" s="216"/>
      <c r="B926" s="216"/>
      <c r="C926" s="216"/>
      <c r="D926" s="216"/>
      <c r="E926" s="197"/>
      <c r="F926" s="197"/>
    </row>
    <row r="927" spans="1:6" ht="15" customHeight="1">
      <c r="A927" s="216"/>
      <c r="B927" s="216"/>
      <c r="C927" s="216"/>
      <c r="D927" s="216"/>
      <c r="E927" s="197"/>
      <c r="F927" s="197"/>
    </row>
    <row r="928" spans="1:6" ht="15" customHeight="1">
      <c r="A928" s="216"/>
      <c r="B928" s="216"/>
      <c r="C928" s="216"/>
      <c r="D928" s="216"/>
      <c r="E928" s="197"/>
      <c r="F928" s="197"/>
    </row>
    <row r="929" spans="1:6" ht="15" customHeight="1">
      <c r="A929" s="216"/>
      <c r="B929" s="216"/>
      <c r="C929" s="216"/>
      <c r="D929" s="216"/>
      <c r="E929" s="197"/>
      <c r="F929" s="197"/>
    </row>
    <row r="930" spans="1:6" ht="15" customHeight="1">
      <c r="A930" s="216"/>
      <c r="B930" s="216"/>
      <c r="C930" s="216"/>
      <c r="D930" s="216"/>
      <c r="E930" s="197"/>
      <c r="F930" s="197"/>
    </row>
    <row r="931" spans="1:6" ht="15" customHeight="1">
      <c r="A931" s="216"/>
      <c r="B931" s="216"/>
      <c r="C931" s="216"/>
      <c r="D931" s="216"/>
      <c r="E931" s="197"/>
      <c r="F931" s="197"/>
    </row>
    <row r="932" spans="1:6" ht="15" customHeight="1">
      <c r="A932" s="216"/>
      <c r="B932" s="216"/>
      <c r="C932" s="216"/>
      <c r="D932" s="216"/>
      <c r="E932" s="197"/>
      <c r="F932" s="197"/>
    </row>
    <row r="933" spans="1:6" ht="15" customHeight="1">
      <c r="A933" s="216"/>
      <c r="B933" s="216"/>
      <c r="C933" s="216"/>
      <c r="D933" s="216"/>
      <c r="E933" s="197"/>
      <c r="F933" s="197"/>
    </row>
    <row r="934" spans="1:6" ht="15" customHeight="1">
      <c r="A934" s="216"/>
      <c r="B934" s="216"/>
      <c r="C934" s="216"/>
      <c r="D934" s="216"/>
      <c r="E934" s="197"/>
      <c r="F934" s="197"/>
    </row>
    <row r="935" spans="1:6" ht="15" customHeight="1">
      <c r="A935" s="216"/>
      <c r="B935" s="216"/>
      <c r="C935" s="216"/>
      <c r="D935" s="216"/>
      <c r="E935" s="197"/>
      <c r="F935" s="197"/>
    </row>
    <row r="936" spans="1:6" ht="15" customHeight="1">
      <c r="A936" s="216"/>
      <c r="B936" s="216"/>
      <c r="C936" s="216"/>
      <c r="D936" s="216"/>
      <c r="E936" s="197"/>
      <c r="F936" s="197"/>
    </row>
    <row r="937" spans="1:6" ht="15" customHeight="1">
      <c r="A937" s="216"/>
      <c r="B937" s="216"/>
      <c r="C937" s="216"/>
      <c r="D937" s="216"/>
      <c r="E937" s="197"/>
      <c r="F937" s="197"/>
    </row>
    <row r="938" spans="1:6" ht="15" customHeight="1">
      <c r="A938" s="216"/>
      <c r="B938" s="216"/>
      <c r="C938" s="216"/>
      <c r="D938" s="216"/>
      <c r="E938" s="197"/>
      <c r="F938" s="197"/>
    </row>
    <row r="939" spans="1:6" ht="15" customHeight="1">
      <c r="A939" s="216"/>
      <c r="B939" s="216"/>
      <c r="C939" s="216"/>
      <c r="D939" s="216"/>
      <c r="E939" s="197"/>
      <c r="F939" s="197"/>
    </row>
    <row r="940" spans="1:6" ht="15" customHeight="1">
      <c r="A940" s="216"/>
      <c r="B940" s="216"/>
      <c r="C940" s="216"/>
      <c r="D940" s="216"/>
      <c r="E940" s="197"/>
      <c r="F940" s="197"/>
    </row>
    <row r="941" spans="1:6" ht="15" customHeight="1">
      <c r="A941" s="216"/>
      <c r="B941" s="216"/>
      <c r="C941" s="216"/>
      <c r="D941" s="216"/>
      <c r="E941" s="197"/>
      <c r="F941" s="197"/>
    </row>
    <row r="942" spans="1:6" ht="15" customHeight="1">
      <c r="A942" s="216"/>
      <c r="B942" s="216"/>
      <c r="C942" s="216"/>
      <c r="D942" s="216"/>
      <c r="E942" s="197"/>
      <c r="F942" s="197"/>
    </row>
    <row r="943" spans="1:6" ht="15" customHeight="1">
      <c r="A943" s="216"/>
      <c r="B943" s="216"/>
      <c r="C943" s="216"/>
      <c r="D943" s="216"/>
      <c r="E943" s="197"/>
      <c r="F943" s="197"/>
    </row>
    <row r="944" spans="1:6" ht="15" customHeight="1">
      <c r="A944" s="216"/>
      <c r="B944" s="216"/>
      <c r="C944" s="216"/>
      <c r="D944" s="216"/>
      <c r="E944" s="197"/>
      <c r="F944" s="197"/>
    </row>
    <row r="945" spans="1:6" ht="15" customHeight="1">
      <c r="A945" s="216"/>
      <c r="B945" s="216"/>
      <c r="C945" s="216"/>
      <c r="D945" s="216"/>
      <c r="E945" s="197"/>
      <c r="F945" s="197"/>
    </row>
    <row r="946" spans="1:6" ht="15" customHeight="1">
      <c r="A946" s="216"/>
      <c r="B946" s="216"/>
      <c r="C946" s="216"/>
      <c r="D946" s="216"/>
      <c r="E946" s="197"/>
      <c r="F946" s="197"/>
    </row>
    <row r="947" spans="1:6" ht="15" customHeight="1">
      <c r="A947" s="216"/>
      <c r="B947" s="216"/>
      <c r="C947" s="216"/>
      <c r="D947" s="216"/>
      <c r="E947" s="197"/>
      <c r="F947" s="197"/>
    </row>
    <row r="948" spans="1:6" ht="15" customHeight="1">
      <c r="A948" s="216"/>
      <c r="B948" s="216"/>
      <c r="C948" s="216"/>
      <c r="D948" s="216"/>
      <c r="E948" s="197"/>
      <c r="F948" s="197"/>
    </row>
    <row r="949" spans="1:6" ht="15" customHeight="1">
      <c r="A949" s="216"/>
      <c r="B949" s="216"/>
      <c r="C949" s="216"/>
      <c r="D949" s="216"/>
      <c r="E949" s="197"/>
      <c r="F949" s="197"/>
    </row>
    <row r="950" spans="1:6" ht="15" customHeight="1">
      <c r="A950" s="216"/>
      <c r="B950" s="216"/>
      <c r="C950" s="216"/>
      <c r="D950" s="216"/>
      <c r="E950" s="197"/>
      <c r="F950" s="197"/>
    </row>
    <row r="951" spans="1:6" ht="15" customHeight="1">
      <c r="A951" s="216"/>
      <c r="B951" s="216"/>
      <c r="C951" s="216"/>
      <c r="D951" s="216"/>
      <c r="E951" s="197"/>
      <c r="F951" s="197"/>
    </row>
    <row r="952" spans="1:6" ht="15" customHeight="1">
      <c r="A952" s="216"/>
      <c r="B952" s="216"/>
      <c r="C952" s="216"/>
      <c r="D952" s="216"/>
      <c r="E952" s="197"/>
      <c r="F952" s="197"/>
    </row>
    <row r="953" spans="1:6" ht="15" customHeight="1">
      <c r="A953" s="216"/>
      <c r="B953" s="216"/>
      <c r="C953" s="216"/>
      <c r="D953" s="216"/>
      <c r="E953" s="197"/>
      <c r="F953" s="197"/>
    </row>
    <row r="954" spans="1:6" ht="15" customHeight="1">
      <c r="A954" s="216"/>
      <c r="B954" s="216"/>
      <c r="C954" s="216"/>
      <c r="D954" s="216"/>
      <c r="E954" s="197"/>
      <c r="F954" s="197"/>
    </row>
    <row r="955" spans="1:6" ht="15" customHeight="1">
      <c r="A955" s="216"/>
      <c r="B955" s="216"/>
      <c r="C955" s="216"/>
      <c r="D955" s="216"/>
      <c r="E955" s="197"/>
      <c r="F955" s="197"/>
    </row>
    <row r="956" spans="1:6" ht="15" customHeight="1">
      <c r="A956" s="216"/>
      <c r="B956" s="216"/>
      <c r="C956" s="216"/>
      <c r="D956" s="216"/>
      <c r="E956" s="197"/>
      <c r="F956" s="197"/>
    </row>
    <row r="957" spans="1:6" ht="15" customHeight="1">
      <c r="A957" s="216"/>
      <c r="B957" s="216"/>
      <c r="C957" s="216"/>
      <c r="D957" s="216"/>
      <c r="E957" s="197"/>
      <c r="F957" s="197"/>
    </row>
    <row r="958" spans="1:6" ht="15" customHeight="1">
      <c r="A958" s="216"/>
      <c r="B958" s="216"/>
      <c r="C958" s="216"/>
      <c r="D958" s="216"/>
      <c r="E958" s="197"/>
      <c r="F958" s="197"/>
    </row>
    <row r="959" spans="1:6" ht="15" customHeight="1">
      <c r="A959" s="216"/>
      <c r="B959" s="216"/>
      <c r="C959" s="216"/>
      <c r="D959" s="216"/>
      <c r="E959" s="197"/>
      <c r="F959" s="197"/>
    </row>
    <row r="960" spans="1:6" ht="15" customHeight="1">
      <c r="A960" s="216"/>
      <c r="B960" s="216"/>
      <c r="C960" s="216"/>
      <c r="D960" s="216"/>
      <c r="E960" s="197"/>
      <c r="F960" s="197"/>
    </row>
    <row r="961" spans="1:6" ht="15" customHeight="1">
      <c r="A961" s="216"/>
      <c r="B961" s="216"/>
      <c r="C961" s="216"/>
      <c r="D961" s="216"/>
      <c r="E961" s="197"/>
      <c r="F961" s="197"/>
    </row>
    <row r="962" spans="1:6" ht="15" customHeight="1">
      <c r="A962" s="216"/>
      <c r="B962" s="216"/>
      <c r="C962" s="216"/>
      <c r="D962" s="216"/>
      <c r="E962" s="197"/>
      <c r="F962" s="197"/>
    </row>
    <row r="963" spans="1:6" ht="15" customHeight="1">
      <c r="A963" s="216"/>
      <c r="B963" s="216"/>
      <c r="C963" s="216"/>
      <c r="D963" s="216"/>
      <c r="E963" s="197"/>
      <c r="F963" s="197"/>
    </row>
    <row r="964" spans="1:6" ht="15" customHeight="1">
      <c r="A964" s="216"/>
      <c r="B964" s="216"/>
      <c r="C964" s="216"/>
      <c r="D964" s="216"/>
      <c r="E964" s="197"/>
      <c r="F964" s="197"/>
    </row>
    <row r="965" spans="1:6" ht="15" customHeight="1">
      <c r="A965" s="216"/>
      <c r="B965" s="216"/>
      <c r="C965" s="216"/>
      <c r="D965" s="216"/>
      <c r="E965" s="197"/>
      <c r="F965" s="197"/>
    </row>
    <row r="966" spans="1:6" ht="15" customHeight="1">
      <c r="A966" s="216"/>
      <c r="B966" s="216"/>
      <c r="C966" s="216"/>
      <c r="D966" s="216"/>
      <c r="E966" s="197"/>
      <c r="F966" s="197"/>
    </row>
    <row r="967" spans="1:6" ht="15" customHeight="1">
      <c r="A967" s="216"/>
      <c r="B967" s="216"/>
      <c r="C967" s="216"/>
      <c r="D967" s="216"/>
      <c r="E967" s="197"/>
      <c r="F967" s="197"/>
    </row>
    <row r="968" spans="1:6" ht="15" customHeight="1">
      <c r="A968" s="216"/>
      <c r="B968" s="216"/>
      <c r="C968" s="216"/>
      <c r="D968" s="216"/>
      <c r="E968" s="197"/>
      <c r="F968" s="197"/>
    </row>
    <row r="969" spans="1:6" ht="15" customHeight="1">
      <c r="A969" s="216"/>
      <c r="B969" s="216"/>
      <c r="C969" s="216"/>
      <c r="D969" s="216"/>
      <c r="E969" s="197"/>
      <c r="F969" s="197"/>
    </row>
    <row r="970" spans="1:6" ht="15" customHeight="1">
      <c r="A970" s="216"/>
      <c r="B970" s="216"/>
      <c r="C970" s="216"/>
      <c r="D970" s="216"/>
      <c r="E970" s="197"/>
      <c r="F970" s="197"/>
    </row>
    <row r="971" spans="1:6" ht="15" customHeight="1">
      <c r="A971" s="216"/>
      <c r="B971" s="216"/>
      <c r="C971" s="216"/>
      <c r="D971" s="216"/>
      <c r="E971" s="197"/>
      <c r="F971" s="197"/>
    </row>
    <row r="972" spans="1:6" ht="15" customHeight="1">
      <c r="A972" s="216"/>
      <c r="B972" s="216"/>
      <c r="C972" s="216"/>
      <c r="D972" s="216"/>
      <c r="E972" s="197"/>
      <c r="F972" s="197"/>
    </row>
    <row r="973" spans="1:6" ht="15" customHeight="1">
      <c r="A973" s="216"/>
      <c r="B973" s="216"/>
      <c r="C973" s="216"/>
      <c r="D973" s="216"/>
      <c r="E973" s="197"/>
      <c r="F973" s="197"/>
    </row>
    <row r="974" spans="1:6" ht="15" customHeight="1">
      <c r="A974" s="216"/>
      <c r="B974" s="216"/>
      <c r="C974" s="216"/>
      <c r="D974" s="216"/>
      <c r="E974" s="197"/>
      <c r="F974" s="197"/>
    </row>
    <row r="975" spans="1:6" ht="15" customHeight="1">
      <c r="A975" s="216"/>
      <c r="B975" s="216"/>
      <c r="C975" s="216"/>
      <c r="D975" s="216"/>
      <c r="E975" s="197"/>
      <c r="F975" s="197"/>
    </row>
    <row r="976" spans="1:6" ht="15" customHeight="1">
      <c r="A976" s="216"/>
      <c r="B976" s="216"/>
      <c r="C976" s="216"/>
      <c r="D976" s="216"/>
      <c r="E976" s="197"/>
      <c r="F976" s="197"/>
    </row>
    <row r="977" spans="1:6" ht="15" customHeight="1">
      <c r="A977" s="216"/>
      <c r="B977" s="216"/>
      <c r="C977" s="216"/>
      <c r="D977" s="216"/>
      <c r="E977" s="197"/>
      <c r="F977" s="197"/>
    </row>
    <row r="978" spans="1:6" ht="15" customHeight="1">
      <c r="A978" s="216"/>
      <c r="B978" s="216"/>
      <c r="C978" s="216"/>
      <c r="D978" s="216"/>
      <c r="E978" s="197"/>
      <c r="F978" s="197"/>
    </row>
    <row r="979" spans="1:6" ht="15" customHeight="1">
      <c r="A979" s="216"/>
      <c r="B979" s="216"/>
      <c r="C979" s="216"/>
      <c r="D979" s="216"/>
      <c r="E979" s="197"/>
      <c r="F979" s="197"/>
    </row>
    <row r="980" spans="1:6" ht="15" customHeight="1">
      <c r="A980" s="216"/>
      <c r="B980" s="216"/>
      <c r="C980" s="216"/>
      <c r="D980" s="216"/>
      <c r="E980" s="197"/>
      <c r="F980" s="197"/>
    </row>
    <row r="981" spans="1:6" ht="15" customHeight="1">
      <c r="A981" s="216"/>
      <c r="B981" s="216"/>
      <c r="C981" s="216"/>
      <c r="D981" s="216"/>
      <c r="E981" s="197"/>
      <c r="F981" s="197"/>
    </row>
    <row r="982" spans="1:6" ht="15" customHeight="1">
      <c r="A982" s="216"/>
      <c r="B982" s="216"/>
      <c r="C982" s="216"/>
      <c r="D982" s="216"/>
      <c r="E982" s="197"/>
      <c r="F982" s="197"/>
    </row>
    <row r="983" spans="1:6" ht="15" customHeight="1">
      <c r="A983" s="216"/>
      <c r="B983" s="216"/>
      <c r="C983" s="216"/>
      <c r="D983" s="216"/>
      <c r="E983" s="197"/>
      <c r="F983" s="197"/>
    </row>
  </sheetData>
  <mergeCells count="2">
    <mergeCell ref="A1:A3"/>
    <mergeCell ref="A4:B4"/>
  </mergeCells>
  <conditionalFormatting sqref="B1:D1 C2:D3">
    <cfRule type="cellIs" dxfId="0" priority="2" operator="lessThan">
      <formula>0</formula>
    </cfRule>
  </conditionalFormatting>
  <hyperlinks>
    <hyperlink ref="B1" r:id="rId1" xr:uid="{27AA703E-D5E1-4A14-BD65-A9F26F4941E5}"/>
  </hyperlinks>
  <pageMargins left="0.511811024" right="0.511811024" top="0.78740157499999996" bottom="0.78740157499999996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Camara</dc:creator>
  <cp:keywords/>
  <dc:description/>
  <cp:lastModifiedBy>Pedro A Cmara</cp:lastModifiedBy>
  <cp:revision/>
  <dcterms:created xsi:type="dcterms:W3CDTF">2022-07-10T22:38:30Z</dcterms:created>
  <dcterms:modified xsi:type="dcterms:W3CDTF">2025-05-19T12:39:02Z</dcterms:modified>
  <cp:category/>
  <cp:contentStatus/>
</cp:coreProperties>
</file>